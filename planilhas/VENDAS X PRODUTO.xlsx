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rsi\ComprasInteligentes\planilhas\"/>
    </mc:Choice>
  </mc:AlternateContent>
  <xr:revisionPtr revIDLastSave="0" documentId="13_ncr:1_{BD3DF517-6467-475E-8C91-517DA5159637}" xr6:coauthVersionLast="47" xr6:coauthVersionMax="47" xr10:uidLastSave="{00000000-0000-0000-0000-000000000000}"/>
  <bookViews>
    <workbookView xWindow="450" yWindow="375" windowWidth="25530" windowHeight="9960" xr2:uid="{00000000-000D-0000-FFFF-FFFF00000000}"/>
  </bookViews>
  <sheets>
    <sheet name="Planilha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Planilha1!$A$1:$H$1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4" i="1" l="1"/>
  <c r="E211" i="1"/>
  <c r="E217" i="1"/>
  <c r="E382" i="1"/>
  <c r="E416" i="1"/>
  <c r="E415" i="1"/>
  <c r="E414" i="1"/>
  <c r="E430" i="1"/>
  <c r="E436" i="1"/>
  <c r="E586" i="1"/>
  <c r="E703" i="1"/>
  <c r="E926" i="1"/>
  <c r="E985" i="1"/>
  <c r="E1028" i="1"/>
  <c r="E1152" i="1"/>
  <c r="E1406" i="1"/>
  <c r="E1830" i="1" l="1"/>
  <c r="F1830" i="1"/>
  <c r="G1830" i="1"/>
  <c r="H1830" i="1"/>
  <c r="E1831" i="1"/>
  <c r="F1831" i="1"/>
  <c r="G1831" i="1"/>
  <c r="H1831" i="1"/>
  <c r="E1832" i="1"/>
  <c r="F1832" i="1"/>
  <c r="G1832" i="1"/>
  <c r="H1832" i="1"/>
  <c r="E1833" i="1"/>
  <c r="F1833" i="1"/>
  <c r="G1833" i="1"/>
  <c r="H1833" i="1"/>
  <c r="E1834" i="1"/>
  <c r="F1834" i="1"/>
  <c r="G1834" i="1"/>
  <c r="H1834" i="1"/>
  <c r="E1835" i="1"/>
  <c r="F1835" i="1"/>
  <c r="G1835" i="1"/>
  <c r="H1835" i="1"/>
  <c r="E1836" i="1"/>
  <c r="F1836" i="1"/>
  <c r="G1836" i="1"/>
  <c r="H1836" i="1"/>
  <c r="E1837" i="1"/>
  <c r="F1837" i="1"/>
  <c r="G1837" i="1"/>
  <c r="H1837" i="1"/>
  <c r="E1838" i="1"/>
  <c r="F1838" i="1"/>
  <c r="G1838" i="1"/>
  <c r="H1838" i="1"/>
  <c r="E1839" i="1"/>
  <c r="F1839" i="1"/>
  <c r="G1839" i="1"/>
  <c r="H1839" i="1"/>
  <c r="E1840" i="1"/>
  <c r="F1840" i="1"/>
  <c r="G1840" i="1"/>
  <c r="H1840" i="1"/>
  <c r="E1841" i="1"/>
  <c r="F1841" i="1"/>
  <c r="G1841" i="1"/>
  <c r="H1841" i="1"/>
  <c r="E1842" i="1"/>
  <c r="F1842" i="1"/>
  <c r="G1842" i="1"/>
  <c r="H1842" i="1"/>
  <c r="E1843" i="1"/>
  <c r="F1843" i="1"/>
  <c r="G1843" i="1"/>
  <c r="H1843" i="1"/>
  <c r="E1844" i="1"/>
  <c r="F1844" i="1"/>
  <c r="G1844" i="1"/>
  <c r="H1844" i="1"/>
  <c r="E1845" i="1"/>
  <c r="F1845" i="1"/>
  <c r="G1845" i="1"/>
  <c r="H1845" i="1"/>
  <c r="E1846" i="1"/>
  <c r="F1846" i="1"/>
  <c r="G1846" i="1"/>
  <c r="H1846" i="1"/>
  <c r="E1847" i="1"/>
  <c r="F1847" i="1"/>
  <c r="G1847" i="1"/>
  <c r="H1847" i="1"/>
  <c r="E1848" i="1"/>
  <c r="F1848" i="1"/>
  <c r="G1848" i="1"/>
  <c r="H1848" i="1"/>
  <c r="E1849" i="1"/>
  <c r="F1849" i="1"/>
  <c r="G1849" i="1"/>
  <c r="H1849" i="1"/>
  <c r="E1850" i="1"/>
  <c r="F1850" i="1"/>
  <c r="G1850" i="1"/>
  <c r="H1850" i="1"/>
  <c r="E1851" i="1"/>
  <c r="F1851" i="1"/>
  <c r="G1851" i="1"/>
  <c r="H1851" i="1"/>
  <c r="E1852" i="1"/>
  <c r="F1852" i="1"/>
  <c r="G1852" i="1"/>
  <c r="H1852" i="1"/>
  <c r="F1829" i="1"/>
  <c r="G1829" i="1"/>
  <c r="H1829" i="1"/>
  <c r="E1802" i="1"/>
  <c r="F1802" i="1"/>
  <c r="G1802" i="1"/>
  <c r="H1802" i="1"/>
  <c r="E1803" i="1"/>
  <c r="F1803" i="1"/>
  <c r="G1803" i="1"/>
  <c r="H1803" i="1"/>
  <c r="E1804" i="1"/>
  <c r="F1804" i="1"/>
  <c r="G1804" i="1"/>
  <c r="H1804" i="1"/>
  <c r="E1805" i="1"/>
  <c r="F1805" i="1"/>
  <c r="G1805" i="1"/>
  <c r="H1805" i="1"/>
  <c r="E1806" i="1"/>
  <c r="F1806" i="1"/>
  <c r="G1806" i="1"/>
  <c r="H1806" i="1"/>
  <c r="E1807" i="1"/>
  <c r="F1807" i="1"/>
  <c r="G1807" i="1"/>
  <c r="H1807" i="1"/>
  <c r="E1808" i="1"/>
  <c r="F1808" i="1"/>
  <c r="G1808" i="1"/>
  <c r="H1808" i="1"/>
  <c r="E1809" i="1"/>
  <c r="F1809" i="1"/>
  <c r="G1809" i="1"/>
  <c r="H1809" i="1"/>
  <c r="E1810" i="1"/>
  <c r="F1810" i="1"/>
  <c r="G1810" i="1"/>
  <c r="H1810" i="1"/>
  <c r="E1811" i="1"/>
  <c r="F1811" i="1"/>
  <c r="G1811" i="1"/>
  <c r="H1811" i="1"/>
  <c r="E1812" i="1"/>
  <c r="F1812" i="1"/>
  <c r="G1812" i="1"/>
  <c r="H1812" i="1"/>
  <c r="E1813" i="1"/>
  <c r="F1813" i="1"/>
  <c r="G1813" i="1"/>
  <c r="H1813" i="1"/>
  <c r="E1814" i="1"/>
  <c r="F1814" i="1"/>
  <c r="G1814" i="1"/>
  <c r="H1814" i="1"/>
  <c r="E1815" i="1"/>
  <c r="F1815" i="1"/>
  <c r="G1815" i="1"/>
  <c r="H1815" i="1"/>
  <c r="E1816" i="1"/>
  <c r="F1816" i="1"/>
  <c r="G1816" i="1"/>
  <c r="H1816" i="1"/>
  <c r="E1817" i="1"/>
  <c r="F1817" i="1"/>
  <c r="G1817" i="1"/>
  <c r="H1817" i="1"/>
  <c r="E1818" i="1"/>
  <c r="F1818" i="1"/>
  <c r="G1818" i="1"/>
  <c r="H1818" i="1"/>
  <c r="E1819" i="1"/>
  <c r="F1819" i="1"/>
  <c r="G1819" i="1"/>
  <c r="H1819" i="1"/>
  <c r="E1820" i="1"/>
  <c r="F1820" i="1"/>
  <c r="G1820" i="1"/>
  <c r="H1820" i="1"/>
  <c r="E1821" i="1"/>
  <c r="F1821" i="1"/>
  <c r="G1821" i="1"/>
  <c r="H1821" i="1"/>
  <c r="E1822" i="1"/>
  <c r="F1822" i="1"/>
  <c r="G1822" i="1"/>
  <c r="H1822" i="1"/>
  <c r="E1823" i="1"/>
  <c r="F1823" i="1"/>
  <c r="G1823" i="1"/>
  <c r="H1823" i="1"/>
  <c r="E1824" i="1"/>
  <c r="F1824" i="1"/>
  <c r="G1824" i="1"/>
  <c r="H1824" i="1"/>
  <c r="E1825" i="1"/>
  <c r="F1825" i="1"/>
  <c r="G1825" i="1"/>
  <c r="H1825" i="1"/>
  <c r="E1826" i="1"/>
  <c r="F1826" i="1"/>
  <c r="G1826" i="1"/>
  <c r="H1826" i="1"/>
  <c r="E1827" i="1"/>
  <c r="F1827" i="1"/>
  <c r="G1827" i="1"/>
  <c r="H1827" i="1"/>
  <c r="E1828" i="1"/>
  <c r="F1828" i="1"/>
  <c r="G1828" i="1"/>
  <c r="H1828" i="1"/>
  <c r="E1829" i="1"/>
  <c r="E1233" i="1"/>
  <c r="H1801" i="1"/>
  <c r="H1583" i="1"/>
  <c r="H1575" i="1"/>
  <c r="H1574" i="1"/>
  <c r="H1572" i="1"/>
  <c r="H1571" i="1"/>
  <c r="H1570" i="1"/>
  <c r="H1569" i="1"/>
  <c r="H1272" i="1"/>
  <c r="H1269" i="1"/>
  <c r="H1268" i="1"/>
  <c r="H1267" i="1"/>
  <c r="H1263" i="1"/>
  <c r="H1093" i="1"/>
  <c r="H1092" i="1"/>
  <c r="H1091" i="1"/>
  <c r="H1090" i="1"/>
  <c r="H556" i="1"/>
  <c r="H555" i="1"/>
  <c r="G1801" i="1"/>
  <c r="G1583" i="1"/>
  <c r="G1575" i="1"/>
  <c r="G1574" i="1"/>
  <c r="G1572" i="1"/>
  <c r="G1571" i="1"/>
  <c r="G1570" i="1"/>
  <c r="G1569" i="1"/>
  <c r="G1272" i="1"/>
  <c r="G1269" i="1"/>
  <c r="G1268" i="1"/>
  <c r="G1267" i="1"/>
  <c r="G1263" i="1"/>
  <c r="G1093" i="1"/>
  <c r="G1092" i="1"/>
  <c r="G1091" i="1"/>
  <c r="G1090" i="1"/>
  <c r="G556" i="1"/>
  <c r="G555" i="1"/>
  <c r="F1801" i="1"/>
  <c r="F1583" i="1"/>
  <c r="F1575" i="1"/>
  <c r="F1574" i="1"/>
  <c r="F1572" i="1"/>
  <c r="F1571" i="1"/>
  <c r="F1570" i="1"/>
  <c r="F1569" i="1"/>
  <c r="F1272" i="1"/>
  <c r="F1269" i="1"/>
  <c r="F1268" i="1"/>
  <c r="F1267" i="1"/>
  <c r="F1263" i="1"/>
  <c r="F1093" i="1"/>
  <c r="F1092" i="1"/>
  <c r="F1091" i="1"/>
  <c r="F1090" i="1"/>
  <c r="F556" i="1"/>
  <c r="F555" i="1"/>
  <c r="E1801" i="1"/>
  <c r="E1583" i="1"/>
  <c r="E1575" i="1"/>
  <c r="E1574" i="1"/>
  <c r="E1572" i="1"/>
  <c r="E1571" i="1"/>
  <c r="E1570" i="1"/>
  <c r="E1569" i="1"/>
  <c r="E1272" i="1"/>
  <c r="E1269" i="1"/>
  <c r="E1268" i="1"/>
  <c r="E1267" i="1"/>
  <c r="E126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2" i="1"/>
  <c r="F1221" i="1"/>
  <c r="F1224" i="1"/>
  <c r="F1223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4" i="1"/>
  <c r="F1265" i="1"/>
  <c r="F1270" i="1"/>
  <c r="F1271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73" i="1"/>
  <c r="F1576" i="1"/>
  <c r="F1577" i="1"/>
  <c r="F1578" i="1"/>
  <c r="F1579" i="1"/>
  <c r="F1580" i="1"/>
  <c r="F1581" i="1"/>
  <c r="F1582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2" i="1"/>
  <c r="E213" i="1"/>
  <c r="E214" i="1"/>
  <c r="E215" i="1"/>
  <c r="E216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1" i="1"/>
  <c r="E432" i="1"/>
  <c r="E433" i="1"/>
  <c r="E434" i="1"/>
  <c r="E435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4" i="1"/>
  <c r="E705" i="1"/>
  <c r="E706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2" i="1"/>
  <c r="E1221" i="1"/>
  <c r="E1224" i="1"/>
  <c r="E1223" i="1"/>
  <c r="E1225" i="1"/>
  <c r="E1226" i="1"/>
  <c r="E1227" i="1"/>
  <c r="E1228" i="1"/>
  <c r="E1229" i="1"/>
  <c r="E1230" i="1"/>
  <c r="E1231" i="1"/>
  <c r="E1232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4" i="1"/>
  <c r="E1265" i="1"/>
  <c r="E1270" i="1"/>
  <c r="E1271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73" i="1"/>
  <c r="E1576" i="1"/>
  <c r="E1577" i="1"/>
  <c r="E1579" i="1"/>
  <c r="E1580" i="1"/>
  <c r="E1581" i="1"/>
  <c r="E1582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G413" i="1"/>
  <c r="H413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G450" i="1"/>
  <c r="H450" i="1"/>
  <c r="G451" i="1"/>
  <c r="H451" i="1"/>
  <c r="G452" i="1"/>
  <c r="H452" i="1"/>
  <c r="G453" i="1"/>
  <c r="H453" i="1"/>
  <c r="G454" i="1"/>
  <c r="H454" i="1"/>
  <c r="G455" i="1"/>
  <c r="H455" i="1"/>
  <c r="G456" i="1"/>
  <c r="H456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G475" i="1"/>
  <c r="H475" i="1"/>
  <c r="G476" i="1"/>
  <c r="H476" i="1"/>
  <c r="G477" i="1"/>
  <c r="H477" i="1"/>
  <c r="G478" i="1"/>
  <c r="H478" i="1"/>
  <c r="G479" i="1"/>
  <c r="H479" i="1"/>
  <c r="G480" i="1"/>
  <c r="H480" i="1"/>
  <c r="G481" i="1"/>
  <c r="H481" i="1"/>
  <c r="G482" i="1"/>
  <c r="H482" i="1"/>
  <c r="G483" i="1"/>
  <c r="H483" i="1"/>
  <c r="G484" i="1"/>
  <c r="H484" i="1"/>
  <c r="G485" i="1"/>
  <c r="H485" i="1"/>
  <c r="G486" i="1"/>
  <c r="H486" i="1"/>
  <c r="G487" i="1"/>
  <c r="H487" i="1"/>
  <c r="G488" i="1"/>
  <c r="H488" i="1"/>
  <c r="G489" i="1"/>
  <c r="H489" i="1"/>
  <c r="G490" i="1"/>
  <c r="H490" i="1"/>
  <c r="G491" i="1"/>
  <c r="H491" i="1"/>
  <c r="G492" i="1"/>
  <c r="H492" i="1"/>
  <c r="G493" i="1"/>
  <c r="H493" i="1"/>
  <c r="G494" i="1"/>
  <c r="H494" i="1"/>
  <c r="G495" i="1"/>
  <c r="H495" i="1"/>
  <c r="G496" i="1"/>
  <c r="H496" i="1"/>
  <c r="G497" i="1"/>
  <c r="H497" i="1"/>
  <c r="G498" i="1"/>
  <c r="H498" i="1"/>
  <c r="G499" i="1"/>
  <c r="H499" i="1"/>
  <c r="G500" i="1"/>
  <c r="H500" i="1"/>
  <c r="G501" i="1"/>
  <c r="H501" i="1"/>
  <c r="G502" i="1"/>
  <c r="H502" i="1"/>
  <c r="G503" i="1"/>
  <c r="H503" i="1"/>
  <c r="G504" i="1"/>
  <c r="H504" i="1"/>
  <c r="G505" i="1"/>
  <c r="H505" i="1"/>
  <c r="G506" i="1"/>
  <c r="H506" i="1"/>
  <c r="G507" i="1"/>
  <c r="H507" i="1"/>
  <c r="G508" i="1"/>
  <c r="H508" i="1"/>
  <c r="G509" i="1"/>
  <c r="H509" i="1"/>
  <c r="G510" i="1"/>
  <c r="H510" i="1"/>
  <c r="G511" i="1"/>
  <c r="H511" i="1"/>
  <c r="G512" i="1"/>
  <c r="H512" i="1"/>
  <c r="G513" i="1"/>
  <c r="H513" i="1"/>
  <c r="G514" i="1"/>
  <c r="H514" i="1"/>
  <c r="G515" i="1"/>
  <c r="H515" i="1"/>
  <c r="G516" i="1"/>
  <c r="H516" i="1"/>
  <c r="G517" i="1"/>
  <c r="H517" i="1"/>
  <c r="G518" i="1"/>
  <c r="H518" i="1"/>
  <c r="G519" i="1"/>
  <c r="H519" i="1"/>
  <c r="G520" i="1"/>
  <c r="H520" i="1"/>
  <c r="G521" i="1"/>
  <c r="H521" i="1"/>
  <c r="G522" i="1"/>
  <c r="H522" i="1"/>
  <c r="G523" i="1"/>
  <c r="H523" i="1"/>
  <c r="G524" i="1"/>
  <c r="H524" i="1"/>
  <c r="G525" i="1"/>
  <c r="H525" i="1"/>
  <c r="G526" i="1"/>
  <c r="H526" i="1"/>
  <c r="G527" i="1"/>
  <c r="H527" i="1"/>
  <c r="G528" i="1"/>
  <c r="H528" i="1"/>
  <c r="G529" i="1"/>
  <c r="H529" i="1"/>
  <c r="G530" i="1"/>
  <c r="H530" i="1"/>
  <c r="G531" i="1"/>
  <c r="H531" i="1"/>
  <c r="G532" i="1"/>
  <c r="H532" i="1"/>
  <c r="G533" i="1"/>
  <c r="H533" i="1"/>
  <c r="G534" i="1"/>
  <c r="H534" i="1"/>
  <c r="G535" i="1"/>
  <c r="H535" i="1"/>
  <c r="G536" i="1"/>
  <c r="H536" i="1"/>
  <c r="G537" i="1"/>
  <c r="H537" i="1"/>
  <c r="G538" i="1"/>
  <c r="H538" i="1"/>
  <c r="G539" i="1"/>
  <c r="H539" i="1"/>
  <c r="G540" i="1"/>
  <c r="H540" i="1"/>
  <c r="G541" i="1"/>
  <c r="H541" i="1"/>
  <c r="G542" i="1"/>
  <c r="H542" i="1"/>
  <c r="G543" i="1"/>
  <c r="H543" i="1"/>
  <c r="G544" i="1"/>
  <c r="H544" i="1"/>
  <c r="G545" i="1"/>
  <c r="H545" i="1"/>
  <c r="G546" i="1"/>
  <c r="H546" i="1"/>
  <c r="G547" i="1"/>
  <c r="H547" i="1"/>
  <c r="G548" i="1"/>
  <c r="H548" i="1"/>
  <c r="G549" i="1"/>
  <c r="H549" i="1"/>
  <c r="G550" i="1"/>
  <c r="H550" i="1"/>
  <c r="G551" i="1"/>
  <c r="H551" i="1"/>
  <c r="G552" i="1"/>
  <c r="H552" i="1"/>
  <c r="G553" i="1"/>
  <c r="H553" i="1"/>
  <c r="G554" i="1"/>
  <c r="H554" i="1"/>
  <c r="G557" i="1"/>
  <c r="H557" i="1"/>
  <c r="G558" i="1"/>
  <c r="H558" i="1"/>
  <c r="G559" i="1"/>
  <c r="H559" i="1"/>
  <c r="G560" i="1"/>
  <c r="H560" i="1"/>
  <c r="G561" i="1"/>
  <c r="H561" i="1"/>
  <c r="G562" i="1"/>
  <c r="H562" i="1"/>
  <c r="G563" i="1"/>
  <c r="H563" i="1"/>
  <c r="G564" i="1"/>
  <c r="H564" i="1"/>
  <c r="G565" i="1"/>
  <c r="H565" i="1"/>
  <c r="G566" i="1"/>
  <c r="H566" i="1"/>
  <c r="G567" i="1"/>
  <c r="H567" i="1"/>
  <c r="G568" i="1"/>
  <c r="H568" i="1"/>
  <c r="G569" i="1"/>
  <c r="H569" i="1"/>
  <c r="G570" i="1"/>
  <c r="H570" i="1"/>
  <c r="G571" i="1"/>
  <c r="H571" i="1"/>
  <c r="G572" i="1"/>
  <c r="H572" i="1"/>
  <c r="G573" i="1"/>
  <c r="H573" i="1"/>
  <c r="G574" i="1"/>
  <c r="H574" i="1"/>
  <c r="G575" i="1"/>
  <c r="H575" i="1"/>
  <c r="G576" i="1"/>
  <c r="H576" i="1"/>
  <c r="G577" i="1"/>
  <c r="H577" i="1"/>
  <c r="G578" i="1"/>
  <c r="H578" i="1"/>
  <c r="G579" i="1"/>
  <c r="H579" i="1"/>
  <c r="G580" i="1"/>
  <c r="H580" i="1"/>
  <c r="G581" i="1"/>
  <c r="H581" i="1"/>
  <c r="G582" i="1"/>
  <c r="H582" i="1"/>
  <c r="G583" i="1"/>
  <c r="H583" i="1"/>
  <c r="G584" i="1"/>
  <c r="H584" i="1"/>
  <c r="G585" i="1"/>
  <c r="H585" i="1"/>
  <c r="G586" i="1"/>
  <c r="H586" i="1"/>
  <c r="G587" i="1"/>
  <c r="H587" i="1"/>
  <c r="G588" i="1"/>
  <c r="H588" i="1"/>
  <c r="G589" i="1"/>
  <c r="H589" i="1"/>
  <c r="G590" i="1"/>
  <c r="H590" i="1"/>
  <c r="G591" i="1"/>
  <c r="H591" i="1"/>
  <c r="G592" i="1"/>
  <c r="H592" i="1"/>
  <c r="G593" i="1"/>
  <c r="H593" i="1"/>
  <c r="G594" i="1"/>
  <c r="H594" i="1"/>
  <c r="G595" i="1"/>
  <c r="H595" i="1"/>
  <c r="G596" i="1"/>
  <c r="H596" i="1"/>
  <c r="G597" i="1"/>
  <c r="H597" i="1"/>
  <c r="G598" i="1"/>
  <c r="H598" i="1"/>
  <c r="G599" i="1"/>
  <c r="H599" i="1"/>
  <c r="G600" i="1"/>
  <c r="H600" i="1"/>
  <c r="G601" i="1"/>
  <c r="H601" i="1"/>
  <c r="G602" i="1"/>
  <c r="H602" i="1"/>
  <c r="G603" i="1"/>
  <c r="H603" i="1"/>
  <c r="G604" i="1"/>
  <c r="H604" i="1"/>
  <c r="G605" i="1"/>
  <c r="H605" i="1"/>
  <c r="G606" i="1"/>
  <c r="H606" i="1"/>
  <c r="G607" i="1"/>
  <c r="H607" i="1"/>
  <c r="G608" i="1"/>
  <c r="H608" i="1"/>
  <c r="G609" i="1"/>
  <c r="H609" i="1"/>
  <c r="G610" i="1"/>
  <c r="H610" i="1"/>
  <c r="G611" i="1"/>
  <c r="H611" i="1"/>
  <c r="G612" i="1"/>
  <c r="H612" i="1"/>
  <c r="G613" i="1"/>
  <c r="H613" i="1"/>
  <c r="G614" i="1"/>
  <c r="H614" i="1"/>
  <c r="G615" i="1"/>
  <c r="H615" i="1"/>
  <c r="G616" i="1"/>
  <c r="H616" i="1"/>
  <c r="G617" i="1"/>
  <c r="H617" i="1"/>
  <c r="G618" i="1"/>
  <c r="H618" i="1"/>
  <c r="G619" i="1"/>
  <c r="H619" i="1"/>
  <c r="G620" i="1"/>
  <c r="H620" i="1"/>
  <c r="G621" i="1"/>
  <c r="H621" i="1"/>
  <c r="G622" i="1"/>
  <c r="H622" i="1"/>
  <c r="G623" i="1"/>
  <c r="H623" i="1"/>
  <c r="G624" i="1"/>
  <c r="H624" i="1"/>
  <c r="G625" i="1"/>
  <c r="H625" i="1"/>
  <c r="G626" i="1"/>
  <c r="H626" i="1"/>
  <c r="G627" i="1"/>
  <c r="H627" i="1"/>
  <c r="G628" i="1"/>
  <c r="H628" i="1"/>
  <c r="G629" i="1"/>
  <c r="H629" i="1"/>
  <c r="G630" i="1"/>
  <c r="H630" i="1"/>
  <c r="G631" i="1"/>
  <c r="H631" i="1"/>
  <c r="G632" i="1"/>
  <c r="H632" i="1"/>
  <c r="G633" i="1"/>
  <c r="H633" i="1"/>
  <c r="G634" i="1"/>
  <c r="H634" i="1"/>
  <c r="G635" i="1"/>
  <c r="H635" i="1"/>
  <c r="G636" i="1"/>
  <c r="H636" i="1"/>
  <c r="G637" i="1"/>
  <c r="H637" i="1"/>
  <c r="G638" i="1"/>
  <c r="H638" i="1"/>
  <c r="G639" i="1"/>
  <c r="H639" i="1"/>
  <c r="G640" i="1"/>
  <c r="H640" i="1"/>
  <c r="G641" i="1"/>
  <c r="H641" i="1"/>
  <c r="G642" i="1"/>
  <c r="H642" i="1"/>
  <c r="G643" i="1"/>
  <c r="H643" i="1"/>
  <c r="G644" i="1"/>
  <c r="H644" i="1"/>
  <c r="G645" i="1"/>
  <c r="H645" i="1"/>
  <c r="G646" i="1"/>
  <c r="H646" i="1"/>
  <c r="G647" i="1"/>
  <c r="H647" i="1"/>
  <c r="G648" i="1"/>
  <c r="H648" i="1"/>
  <c r="G649" i="1"/>
  <c r="H649" i="1"/>
  <c r="G650" i="1"/>
  <c r="H650" i="1"/>
  <c r="G651" i="1"/>
  <c r="H651" i="1"/>
  <c r="G659" i="1"/>
  <c r="H659" i="1"/>
  <c r="G652" i="1"/>
  <c r="H652" i="1"/>
  <c r="G653" i="1"/>
  <c r="H653" i="1"/>
  <c r="G654" i="1"/>
  <c r="H654" i="1"/>
  <c r="G655" i="1"/>
  <c r="H655" i="1"/>
  <c r="G656" i="1"/>
  <c r="H656" i="1"/>
  <c r="G657" i="1"/>
  <c r="H657" i="1"/>
  <c r="G658" i="1"/>
  <c r="H658" i="1"/>
  <c r="G660" i="1"/>
  <c r="H660" i="1"/>
  <c r="G661" i="1"/>
  <c r="H661" i="1"/>
  <c r="G662" i="1"/>
  <c r="H662" i="1"/>
  <c r="G663" i="1"/>
  <c r="H663" i="1"/>
  <c r="G664" i="1"/>
  <c r="H664" i="1"/>
  <c r="G665" i="1"/>
  <c r="H665" i="1"/>
  <c r="G666" i="1"/>
  <c r="H666" i="1"/>
  <c r="G667" i="1"/>
  <c r="H667" i="1"/>
  <c r="G668" i="1"/>
  <c r="H668" i="1"/>
  <c r="G669" i="1"/>
  <c r="H669" i="1"/>
  <c r="G670" i="1"/>
  <c r="H670" i="1"/>
  <c r="G671" i="1"/>
  <c r="H671" i="1"/>
  <c r="G672" i="1"/>
  <c r="H672" i="1"/>
  <c r="G673" i="1"/>
  <c r="H673" i="1"/>
  <c r="G674" i="1"/>
  <c r="H674" i="1"/>
  <c r="G675" i="1"/>
  <c r="H675" i="1"/>
  <c r="G676" i="1"/>
  <c r="H676" i="1"/>
  <c r="G677" i="1"/>
  <c r="H677" i="1"/>
  <c r="G678" i="1"/>
  <c r="H678" i="1"/>
  <c r="G679" i="1"/>
  <c r="H679" i="1"/>
  <c r="G680" i="1"/>
  <c r="H680" i="1"/>
  <c r="G681" i="1"/>
  <c r="H681" i="1"/>
  <c r="G682" i="1"/>
  <c r="H682" i="1"/>
  <c r="G683" i="1"/>
  <c r="H683" i="1"/>
  <c r="G684" i="1"/>
  <c r="H684" i="1"/>
  <c r="G685" i="1"/>
  <c r="H685" i="1"/>
  <c r="G686" i="1"/>
  <c r="H686" i="1"/>
  <c r="G687" i="1"/>
  <c r="H687" i="1"/>
  <c r="G688" i="1"/>
  <c r="H688" i="1"/>
  <c r="G689" i="1"/>
  <c r="H689" i="1"/>
  <c r="G690" i="1"/>
  <c r="H690" i="1"/>
  <c r="G691" i="1"/>
  <c r="H691" i="1"/>
  <c r="G692" i="1"/>
  <c r="H692" i="1"/>
  <c r="G693" i="1"/>
  <c r="H693" i="1"/>
  <c r="G694" i="1"/>
  <c r="H694" i="1"/>
  <c r="G695" i="1"/>
  <c r="H695" i="1"/>
  <c r="G696" i="1"/>
  <c r="H696" i="1"/>
  <c r="G697" i="1"/>
  <c r="H697" i="1"/>
  <c r="G698" i="1"/>
  <c r="H698" i="1"/>
  <c r="G699" i="1"/>
  <c r="H699" i="1"/>
  <c r="G700" i="1"/>
  <c r="H700" i="1"/>
  <c r="G701" i="1"/>
  <c r="H701" i="1"/>
  <c r="G702" i="1"/>
  <c r="H702" i="1"/>
  <c r="G703" i="1"/>
  <c r="H703" i="1"/>
  <c r="G704" i="1"/>
  <c r="H704" i="1"/>
  <c r="G705" i="1"/>
  <c r="H705" i="1"/>
  <c r="G706" i="1"/>
  <c r="H706" i="1"/>
  <c r="G708" i="1"/>
  <c r="H708" i="1"/>
  <c r="G709" i="1"/>
  <c r="H709" i="1"/>
  <c r="G710" i="1"/>
  <c r="H710" i="1"/>
  <c r="G711" i="1"/>
  <c r="H711" i="1"/>
  <c r="G712" i="1"/>
  <c r="H712" i="1"/>
  <c r="G713" i="1"/>
  <c r="H713" i="1"/>
  <c r="G714" i="1"/>
  <c r="H714" i="1"/>
  <c r="G715" i="1"/>
  <c r="H715" i="1"/>
  <c r="G716" i="1"/>
  <c r="H716" i="1"/>
  <c r="G717" i="1"/>
  <c r="H717" i="1"/>
  <c r="G718" i="1"/>
  <c r="H718" i="1"/>
  <c r="G719" i="1"/>
  <c r="H719" i="1"/>
  <c r="G720" i="1"/>
  <c r="H720" i="1"/>
  <c r="G721" i="1"/>
  <c r="H721" i="1"/>
  <c r="G722" i="1"/>
  <c r="H722" i="1"/>
  <c r="G723" i="1"/>
  <c r="H723" i="1"/>
  <c r="G724" i="1"/>
  <c r="H724" i="1"/>
  <c r="G725" i="1"/>
  <c r="H725" i="1"/>
  <c r="G726" i="1"/>
  <c r="H726" i="1"/>
  <c r="G727" i="1"/>
  <c r="H727" i="1"/>
  <c r="G728" i="1"/>
  <c r="H728" i="1"/>
  <c r="G729" i="1"/>
  <c r="H729" i="1"/>
  <c r="G730" i="1"/>
  <c r="H730" i="1"/>
  <c r="G731" i="1"/>
  <c r="H731" i="1"/>
  <c r="G732" i="1"/>
  <c r="H732" i="1"/>
  <c r="G733" i="1"/>
  <c r="H733" i="1"/>
  <c r="G734" i="1"/>
  <c r="H734" i="1"/>
  <c r="G735" i="1"/>
  <c r="H735" i="1"/>
  <c r="G736" i="1"/>
  <c r="H736" i="1"/>
  <c r="G737" i="1"/>
  <c r="H737" i="1"/>
  <c r="G738" i="1"/>
  <c r="H738" i="1"/>
  <c r="G739" i="1"/>
  <c r="H739" i="1"/>
  <c r="G740" i="1"/>
  <c r="H740" i="1"/>
  <c r="G741" i="1"/>
  <c r="H741" i="1"/>
  <c r="G742" i="1"/>
  <c r="H742" i="1"/>
  <c r="G743" i="1"/>
  <c r="H743" i="1"/>
  <c r="G744" i="1"/>
  <c r="H744" i="1"/>
  <c r="G745" i="1"/>
  <c r="H745" i="1"/>
  <c r="G746" i="1"/>
  <c r="H746" i="1"/>
  <c r="G747" i="1"/>
  <c r="H747" i="1"/>
  <c r="G748" i="1"/>
  <c r="H748" i="1"/>
  <c r="G749" i="1"/>
  <c r="H749" i="1"/>
  <c r="G750" i="1"/>
  <c r="H750" i="1"/>
  <c r="G751" i="1"/>
  <c r="H751" i="1"/>
  <c r="G752" i="1"/>
  <c r="H752" i="1"/>
  <c r="G753" i="1"/>
  <c r="H753" i="1"/>
  <c r="G754" i="1"/>
  <c r="H754" i="1"/>
  <c r="G755" i="1"/>
  <c r="H755" i="1"/>
  <c r="G756" i="1"/>
  <c r="H756" i="1"/>
  <c r="G757" i="1"/>
  <c r="H757" i="1"/>
  <c r="G758" i="1"/>
  <c r="H758" i="1"/>
  <c r="G759" i="1"/>
  <c r="H759" i="1"/>
  <c r="G760" i="1"/>
  <c r="H760" i="1"/>
  <c r="G761" i="1"/>
  <c r="H761" i="1"/>
  <c r="G762" i="1"/>
  <c r="H762" i="1"/>
  <c r="G763" i="1"/>
  <c r="H763" i="1"/>
  <c r="G764" i="1"/>
  <c r="H764" i="1"/>
  <c r="G765" i="1"/>
  <c r="H765" i="1"/>
  <c r="G766" i="1"/>
  <c r="H766" i="1"/>
  <c r="G767" i="1"/>
  <c r="H767" i="1"/>
  <c r="G768" i="1"/>
  <c r="H768" i="1"/>
  <c r="G769" i="1"/>
  <c r="H769" i="1"/>
  <c r="G770" i="1"/>
  <c r="H770" i="1"/>
  <c r="G771" i="1"/>
  <c r="H771" i="1"/>
  <c r="G772" i="1"/>
  <c r="H772" i="1"/>
  <c r="G773" i="1"/>
  <c r="H773" i="1"/>
  <c r="G774" i="1"/>
  <c r="H774" i="1"/>
  <c r="G775" i="1"/>
  <c r="H775" i="1"/>
  <c r="G776" i="1"/>
  <c r="H776" i="1"/>
  <c r="G777" i="1"/>
  <c r="H777" i="1"/>
  <c r="G778" i="1"/>
  <c r="H778" i="1"/>
  <c r="G779" i="1"/>
  <c r="H779" i="1"/>
  <c r="G780" i="1"/>
  <c r="H780" i="1"/>
  <c r="G781" i="1"/>
  <c r="H781" i="1"/>
  <c r="G782" i="1"/>
  <c r="H782" i="1"/>
  <c r="G783" i="1"/>
  <c r="H783" i="1"/>
  <c r="G784" i="1"/>
  <c r="H784" i="1"/>
  <c r="G785" i="1"/>
  <c r="H785" i="1"/>
  <c r="G786" i="1"/>
  <c r="H786" i="1"/>
  <c r="G787" i="1"/>
  <c r="H787" i="1"/>
  <c r="G788" i="1"/>
  <c r="H788" i="1"/>
  <c r="G789" i="1"/>
  <c r="H789" i="1"/>
  <c r="G790" i="1"/>
  <c r="H790" i="1"/>
  <c r="G791" i="1"/>
  <c r="H791" i="1"/>
  <c r="G792" i="1"/>
  <c r="H792" i="1"/>
  <c r="G793" i="1"/>
  <c r="H793" i="1"/>
  <c r="G794" i="1"/>
  <c r="H794" i="1"/>
  <c r="G795" i="1"/>
  <c r="H795" i="1"/>
  <c r="G796" i="1"/>
  <c r="H796" i="1"/>
  <c r="G797" i="1"/>
  <c r="H797" i="1"/>
  <c r="G798" i="1"/>
  <c r="H798" i="1"/>
  <c r="G799" i="1"/>
  <c r="H799" i="1"/>
  <c r="G800" i="1"/>
  <c r="H800" i="1"/>
  <c r="G801" i="1"/>
  <c r="H801" i="1"/>
  <c r="G802" i="1"/>
  <c r="H802" i="1"/>
  <c r="G803" i="1"/>
  <c r="H803" i="1"/>
  <c r="G804" i="1"/>
  <c r="H804" i="1"/>
  <c r="G805" i="1"/>
  <c r="H805" i="1"/>
  <c r="G806" i="1"/>
  <c r="H806" i="1"/>
  <c r="G807" i="1"/>
  <c r="H807" i="1"/>
  <c r="G808" i="1"/>
  <c r="H808" i="1"/>
  <c r="G809" i="1"/>
  <c r="H809" i="1"/>
  <c r="G810" i="1"/>
  <c r="H810" i="1"/>
  <c r="G811" i="1"/>
  <c r="H811" i="1"/>
  <c r="G812" i="1"/>
  <c r="H812" i="1"/>
  <c r="G813" i="1"/>
  <c r="H813" i="1"/>
  <c r="G814" i="1"/>
  <c r="H814" i="1"/>
  <c r="G815" i="1"/>
  <c r="H815" i="1"/>
  <c r="G816" i="1"/>
  <c r="H816" i="1"/>
  <c r="G817" i="1"/>
  <c r="H817" i="1"/>
  <c r="G818" i="1"/>
  <c r="H818" i="1"/>
  <c r="G819" i="1"/>
  <c r="H819" i="1"/>
  <c r="G820" i="1"/>
  <c r="H820" i="1"/>
  <c r="G821" i="1"/>
  <c r="H821" i="1"/>
  <c r="G822" i="1"/>
  <c r="H822" i="1"/>
  <c r="G823" i="1"/>
  <c r="H823" i="1"/>
  <c r="G824" i="1"/>
  <c r="H824" i="1"/>
  <c r="G825" i="1"/>
  <c r="H825" i="1"/>
  <c r="G826" i="1"/>
  <c r="H826" i="1"/>
  <c r="G827" i="1"/>
  <c r="H827" i="1"/>
  <c r="G828" i="1"/>
  <c r="H828" i="1"/>
  <c r="G829" i="1"/>
  <c r="H829" i="1"/>
  <c r="G830" i="1"/>
  <c r="H830" i="1"/>
  <c r="G831" i="1"/>
  <c r="H831" i="1"/>
  <c r="G832" i="1"/>
  <c r="H832" i="1"/>
  <c r="G833" i="1"/>
  <c r="H833" i="1"/>
  <c r="G834" i="1"/>
  <c r="H834" i="1"/>
  <c r="G835" i="1"/>
  <c r="H835" i="1"/>
  <c r="G836" i="1"/>
  <c r="H836" i="1"/>
  <c r="G837" i="1"/>
  <c r="H837" i="1"/>
  <c r="G838" i="1"/>
  <c r="H838" i="1"/>
  <c r="G839" i="1"/>
  <c r="H839" i="1"/>
  <c r="G840" i="1"/>
  <c r="H840" i="1"/>
  <c r="G841" i="1"/>
  <c r="H841" i="1"/>
  <c r="G842" i="1"/>
  <c r="H842" i="1"/>
  <c r="G843" i="1"/>
  <c r="H843" i="1"/>
  <c r="G844" i="1"/>
  <c r="H844" i="1"/>
  <c r="G845" i="1"/>
  <c r="H845" i="1"/>
  <c r="G846" i="1"/>
  <c r="H846" i="1"/>
  <c r="G847" i="1"/>
  <c r="H847" i="1"/>
  <c r="G848" i="1"/>
  <c r="H848" i="1"/>
  <c r="G849" i="1"/>
  <c r="H849" i="1"/>
  <c r="G850" i="1"/>
  <c r="H850" i="1"/>
  <c r="G851" i="1"/>
  <c r="H851" i="1"/>
  <c r="G852" i="1"/>
  <c r="H852" i="1"/>
  <c r="G853" i="1"/>
  <c r="H853" i="1"/>
  <c r="G854" i="1"/>
  <c r="H854" i="1"/>
  <c r="G855" i="1"/>
  <c r="H855" i="1"/>
  <c r="G856" i="1"/>
  <c r="H856" i="1"/>
  <c r="G857" i="1"/>
  <c r="H857" i="1"/>
  <c r="G858" i="1"/>
  <c r="H858" i="1"/>
  <c r="G859" i="1"/>
  <c r="H859" i="1"/>
  <c r="G860" i="1"/>
  <c r="H860" i="1"/>
  <c r="G861" i="1"/>
  <c r="H861" i="1"/>
  <c r="G862" i="1"/>
  <c r="H862" i="1"/>
  <c r="G863" i="1"/>
  <c r="H863" i="1"/>
  <c r="G864" i="1"/>
  <c r="H864" i="1"/>
  <c r="G865" i="1"/>
  <c r="H865" i="1"/>
  <c r="G866" i="1"/>
  <c r="H866" i="1"/>
  <c r="G867" i="1"/>
  <c r="H867" i="1"/>
  <c r="G868" i="1"/>
  <c r="H868" i="1"/>
  <c r="G869" i="1"/>
  <c r="H869" i="1"/>
  <c r="G870" i="1"/>
  <c r="H870" i="1"/>
  <c r="G871" i="1"/>
  <c r="H871" i="1"/>
  <c r="G872" i="1"/>
  <c r="H872" i="1"/>
  <c r="G873" i="1"/>
  <c r="H873" i="1"/>
  <c r="G874" i="1"/>
  <c r="H874" i="1"/>
  <c r="G875" i="1"/>
  <c r="H875" i="1"/>
  <c r="G876" i="1"/>
  <c r="H876" i="1"/>
  <c r="G877" i="1"/>
  <c r="H877" i="1"/>
  <c r="G878" i="1"/>
  <c r="H878" i="1"/>
  <c r="G879" i="1"/>
  <c r="H879" i="1"/>
  <c r="G880" i="1"/>
  <c r="H880" i="1"/>
  <c r="G881" i="1"/>
  <c r="H881" i="1"/>
  <c r="G882" i="1"/>
  <c r="H882" i="1"/>
  <c r="G883" i="1"/>
  <c r="H883" i="1"/>
  <c r="G884" i="1"/>
  <c r="H884" i="1"/>
  <c r="G885" i="1"/>
  <c r="H885" i="1"/>
  <c r="G886" i="1"/>
  <c r="H886" i="1"/>
  <c r="G887" i="1"/>
  <c r="H887" i="1"/>
  <c r="G888" i="1"/>
  <c r="H888" i="1"/>
  <c r="G889" i="1"/>
  <c r="H889" i="1"/>
  <c r="G890" i="1"/>
  <c r="H890" i="1"/>
  <c r="G891" i="1"/>
  <c r="H891" i="1"/>
  <c r="G892" i="1"/>
  <c r="H892" i="1"/>
  <c r="G893" i="1"/>
  <c r="H893" i="1"/>
  <c r="G894" i="1"/>
  <c r="H894" i="1"/>
  <c r="G895" i="1"/>
  <c r="H895" i="1"/>
  <c r="G896" i="1"/>
  <c r="H896" i="1"/>
  <c r="G897" i="1"/>
  <c r="H897" i="1"/>
  <c r="G898" i="1"/>
  <c r="H898" i="1"/>
  <c r="G899" i="1"/>
  <c r="H899" i="1"/>
  <c r="G900" i="1"/>
  <c r="H900" i="1"/>
  <c r="G901" i="1"/>
  <c r="H901" i="1"/>
  <c r="G902" i="1"/>
  <c r="H902" i="1"/>
  <c r="G903" i="1"/>
  <c r="H903" i="1"/>
  <c r="G904" i="1"/>
  <c r="H904" i="1"/>
  <c r="G905" i="1"/>
  <c r="H905" i="1"/>
  <c r="G906" i="1"/>
  <c r="H906" i="1"/>
  <c r="G907" i="1"/>
  <c r="H907" i="1"/>
  <c r="G908" i="1"/>
  <c r="H908" i="1"/>
  <c r="G909" i="1"/>
  <c r="H909" i="1"/>
  <c r="G910" i="1"/>
  <c r="H910" i="1"/>
  <c r="G911" i="1"/>
  <c r="H911" i="1"/>
  <c r="G912" i="1"/>
  <c r="H912" i="1"/>
  <c r="G913" i="1"/>
  <c r="H913" i="1"/>
  <c r="G914" i="1"/>
  <c r="H914" i="1"/>
  <c r="G915" i="1"/>
  <c r="H915" i="1"/>
  <c r="G916" i="1"/>
  <c r="H916" i="1"/>
  <c r="G917" i="1"/>
  <c r="H917" i="1"/>
  <c r="G918" i="1"/>
  <c r="H918" i="1"/>
  <c r="G919" i="1"/>
  <c r="H919" i="1"/>
  <c r="G920" i="1"/>
  <c r="H920" i="1"/>
  <c r="G921" i="1"/>
  <c r="H921" i="1"/>
  <c r="G922" i="1"/>
  <c r="H922" i="1"/>
  <c r="G923" i="1"/>
  <c r="H923" i="1"/>
  <c r="G924" i="1"/>
  <c r="H924" i="1"/>
  <c r="G925" i="1"/>
  <c r="H925" i="1"/>
  <c r="G926" i="1"/>
  <c r="H926" i="1"/>
  <c r="G927" i="1"/>
  <c r="H927" i="1"/>
  <c r="G928" i="1"/>
  <c r="H928" i="1"/>
  <c r="G929" i="1"/>
  <c r="H929" i="1"/>
  <c r="G930" i="1"/>
  <c r="H930" i="1"/>
  <c r="G931" i="1"/>
  <c r="H931" i="1"/>
  <c r="G932" i="1"/>
  <c r="H932" i="1"/>
  <c r="G933" i="1"/>
  <c r="H933" i="1"/>
  <c r="G934" i="1"/>
  <c r="H934" i="1"/>
  <c r="G935" i="1"/>
  <c r="H935" i="1"/>
  <c r="G936" i="1"/>
  <c r="H936" i="1"/>
  <c r="G937" i="1"/>
  <c r="H937" i="1"/>
  <c r="G938" i="1"/>
  <c r="H938" i="1"/>
  <c r="G939" i="1"/>
  <c r="H939" i="1"/>
  <c r="G940" i="1"/>
  <c r="H940" i="1"/>
  <c r="G941" i="1"/>
  <c r="H941" i="1"/>
  <c r="G942" i="1"/>
  <c r="H942" i="1"/>
  <c r="G943" i="1"/>
  <c r="H943" i="1"/>
  <c r="G944" i="1"/>
  <c r="H944" i="1"/>
  <c r="G945" i="1"/>
  <c r="H945" i="1"/>
  <c r="G946" i="1"/>
  <c r="H946" i="1"/>
  <c r="G947" i="1"/>
  <c r="H947" i="1"/>
  <c r="G948" i="1"/>
  <c r="H948" i="1"/>
  <c r="G949" i="1"/>
  <c r="H949" i="1"/>
  <c r="G950" i="1"/>
  <c r="H950" i="1"/>
  <c r="G951" i="1"/>
  <c r="H951" i="1"/>
  <c r="G952" i="1"/>
  <c r="H952" i="1"/>
  <c r="G953" i="1"/>
  <c r="H953" i="1"/>
  <c r="G954" i="1"/>
  <c r="H954" i="1"/>
  <c r="G955" i="1"/>
  <c r="H955" i="1"/>
  <c r="G956" i="1"/>
  <c r="H956" i="1"/>
  <c r="G957" i="1"/>
  <c r="H957" i="1"/>
  <c r="G958" i="1"/>
  <c r="H958" i="1"/>
  <c r="G959" i="1"/>
  <c r="H959" i="1"/>
  <c r="G960" i="1"/>
  <c r="H960" i="1"/>
  <c r="G961" i="1"/>
  <c r="H961" i="1"/>
  <c r="G962" i="1"/>
  <c r="H962" i="1"/>
  <c r="G963" i="1"/>
  <c r="H963" i="1"/>
  <c r="G964" i="1"/>
  <c r="H964" i="1"/>
  <c r="G965" i="1"/>
  <c r="H965" i="1"/>
  <c r="G966" i="1"/>
  <c r="H966" i="1"/>
  <c r="G967" i="1"/>
  <c r="H967" i="1"/>
  <c r="G968" i="1"/>
  <c r="H968" i="1"/>
  <c r="G969" i="1"/>
  <c r="H969" i="1"/>
  <c r="G970" i="1"/>
  <c r="H970" i="1"/>
  <c r="G971" i="1"/>
  <c r="H971" i="1"/>
  <c r="G972" i="1"/>
  <c r="H972" i="1"/>
  <c r="G973" i="1"/>
  <c r="H973" i="1"/>
  <c r="G974" i="1"/>
  <c r="H974" i="1"/>
  <c r="G975" i="1"/>
  <c r="H975" i="1"/>
  <c r="G976" i="1"/>
  <c r="H976" i="1"/>
  <c r="G977" i="1"/>
  <c r="H977" i="1"/>
  <c r="G978" i="1"/>
  <c r="H978" i="1"/>
  <c r="G979" i="1"/>
  <c r="H979" i="1"/>
  <c r="G980" i="1"/>
  <c r="H980" i="1"/>
  <c r="G981" i="1"/>
  <c r="H981" i="1"/>
  <c r="G982" i="1"/>
  <c r="H982" i="1"/>
  <c r="G983" i="1"/>
  <c r="H983" i="1"/>
  <c r="G984" i="1"/>
  <c r="H984" i="1"/>
  <c r="G985" i="1"/>
  <c r="H985" i="1"/>
  <c r="G986" i="1"/>
  <c r="H986" i="1"/>
  <c r="G987" i="1"/>
  <c r="H987" i="1"/>
  <c r="G988" i="1"/>
  <c r="H988" i="1"/>
  <c r="G989" i="1"/>
  <c r="H989" i="1"/>
  <c r="G990" i="1"/>
  <c r="H990" i="1"/>
  <c r="G991" i="1"/>
  <c r="H991" i="1"/>
  <c r="G992" i="1"/>
  <c r="H992" i="1"/>
  <c r="G993" i="1"/>
  <c r="H993" i="1"/>
  <c r="G994" i="1"/>
  <c r="H994" i="1"/>
  <c r="G995" i="1"/>
  <c r="H995" i="1"/>
  <c r="G996" i="1"/>
  <c r="H996" i="1"/>
  <c r="G997" i="1"/>
  <c r="H997" i="1"/>
  <c r="G998" i="1"/>
  <c r="H998" i="1"/>
  <c r="G999" i="1"/>
  <c r="H999" i="1"/>
  <c r="G1000" i="1"/>
  <c r="H1000" i="1"/>
  <c r="G1001" i="1"/>
  <c r="H1001" i="1"/>
  <c r="G1002" i="1"/>
  <c r="H1002" i="1"/>
  <c r="G1003" i="1"/>
  <c r="H1003" i="1"/>
  <c r="G1004" i="1"/>
  <c r="H1004" i="1"/>
  <c r="G1005" i="1"/>
  <c r="H1005" i="1"/>
  <c r="G1006" i="1"/>
  <c r="H1006" i="1"/>
  <c r="G1007" i="1"/>
  <c r="H1007" i="1"/>
  <c r="G1008" i="1"/>
  <c r="H1008" i="1"/>
  <c r="G1009" i="1"/>
  <c r="H1009" i="1"/>
  <c r="G1010" i="1"/>
  <c r="H1010" i="1"/>
  <c r="G1011" i="1"/>
  <c r="H1011" i="1"/>
  <c r="G1012" i="1"/>
  <c r="H1012" i="1"/>
  <c r="G1013" i="1"/>
  <c r="H1013" i="1"/>
  <c r="G1014" i="1"/>
  <c r="H1014" i="1"/>
  <c r="G1015" i="1"/>
  <c r="H1015" i="1"/>
  <c r="G1016" i="1"/>
  <c r="H1016" i="1"/>
  <c r="G1017" i="1"/>
  <c r="H1017" i="1"/>
  <c r="G1018" i="1"/>
  <c r="H1018" i="1"/>
  <c r="G1019" i="1"/>
  <c r="H1019" i="1"/>
  <c r="G1020" i="1"/>
  <c r="H1020" i="1"/>
  <c r="G1021" i="1"/>
  <c r="H1021" i="1"/>
  <c r="G1022" i="1"/>
  <c r="H1022" i="1"/>
  <c r="G1023" i="1"/>
  <c r="H1023" i="1"/>
  <c r="G1024" i="1"/>
  <c r="H1024" i="1"/>
  <c r="G1025" i="1"/>
  <c r="H1025" i="1"/>
  <c r="G1026" i="1"/>
  <c r="H1026" i="1"/>
  <c r="G1027" i="1"/>
  <c r="H1027" i="1"/>
  <c r="G1028" i="1"/>
  <c r="H1028" i="1"/>
  <c r="G1029" i="1"/>
  <c r="H1029" i="1"/>
  <c r="G1030" i="1"/>
  <c r="H1030" i="1"/>
  <c r="G1031" i="1"/>
  <c r="H1031" i="1"/>
  <c r="G1032" i="1"/>
  <c r="H1032" i="1"/>
  <c r="G1033" i="1"/>
  <c r="H1033" i="1"/>
  <c r="G1034" i="1"/>
  <c r="H1034" i="1"/>
  <c r="G1035" i="1"/>
  <c r="H1035" i="1"/>
  <c r="G1036" i="1"/>
  <c r="H1036" i="1"/>
  <c r="G1037" i="1"/>
  <c r="H1037" i="1"/>
  <c r="G1038" i="1"/>
  <c r="H1038" i="1"/>
  <c r="G1039" i="1"/>
  <c r="H1039" i="1"/>
  <c r="G1040" i="1"/>
  <c r="H1040" i="1"/>
  <c r="G1041" i="1"/>
  <c r="H1041" i="1"/>
  <c r="G1042" i="1"/>
  <c r="H1042" i="1"/>
  <c r="G1043" i="1"/>
  <c r="H1043" i="1"/>
  <c r="G1044" i="1"/>
  <c r="H1044" i="1"/>
  <c r="G1045" i="1"/>
  <c r="H1045" i="1"/>
  <c r="G1046" i="1"/>
  <c r="H1046" i="1"/>
  <c r="G1047" i="1"/>
  <c r="H1047" i="1"/>
  <c r="G1048" i="1"/>
  <c r="H1048" i="1"/>
  <c r="G1049" i="1"/>
  <c r="H1049" i="1"/>
  <c r="G1050" i="1"/>
  <c r="H1050" i="1"/>
  <c r="G1051" i="1"/>
  <c r="H1051" i="1"/>
  <c r="G1052" i="1"/>
  <c r="H1052" i="1"/>
  <c r="G1053" i="1"/>
  <c r="H1053" i="1"/>
  <c r="G1054" i="1"/>
  <c r="H1054" i="1"/>
  <c r="G1055" i="1"/>
  <c r="H1055" i="1"/>
  <c r="G1056" i="1"/>
  <c r="H1056" i="1"/>
  <c r="G1057" i="1"/>
  <c r="H1057" i="1"/>
  <c r="G1058" i="1"/>
  <c r="H1058" i="1"/>
  <c r="G1059" i="1"/>
  <c r="H1059" i="1"/>
  <c r="G1060" i="1"/>
  <c r="H1060" i="1"/>
  <c r="G1061" i="1"/>
  <c r="H1061" i="1"/>
  <c r="G1062" i="1"/>
  <c r="H1062" i="1"/>
  <c r="G1063" i="1"/>
  <c r="H1063" i="1"/>
  <c r="G1064" i="1"/>
  <c r="H1064" i="1"/>
  <c r="G1065" i="1"/>
  <c r="H1065" i="1"/>
  <c r="G1066" i="1"/>
  <c r="H1066" i="1"/>
  <c r="G1067" i="1"/>
  <c r="H1067" i="1"/>
  <c r="G1068" i="1"/>
  <c r="H1068" i="1"/>
  <c r="G1069" i="1"/>
  <c r="H1069" i="1"/>
  <c r="G1070" i="1"/>
  <c r="H1070" i="1"/>
  <c r="G1071" i="1"/>
  <c r="H1071" i="1"/>
  <c r="G1072" i="1"/>
  <c r="H1072" i="1"/>
  <c r="G1073" i="1"/>
  <c r="H1073" i="1"/>
  <c r="G1074" i="1"/>
  <c r="H1074" i="1"/>
  <c r="G1075" i="1"/>
  <c r="H1075" i="1"/>
  <c r="G1076" i="1"/>
  <c r="H1076" i="1"/>
  <c r="G1077" i="1"/>
  <c r="H1077" i="1"/>
  <c r="G1078" i="1"/>
  <c r="H1078" i="1"/>
  <c r="G1079" i="1"/>
  <c r="H1079" i="1"/>
  <c r="G1080" i="1"/>
  <c r="H1080" i="1"/>
  <c r="G1081" i="1"/>
  <c r="H1081" i="1"/>
  <c r="G1082" i="1"/>
  <c r="H1082" i="1"/>
  <c r="G1083" i="1"/>
  <c r="H1083" i="1"/>
  <c r="G1084" i="1"/>
  <c r="H1084" i="1"/>
  <c r="G1085" i="1"/>
  <c r="H1085" i="1"/>
  <c r="G1086" i="1"/>
  <c r="H1086" i="1"/>
  <c r="G1087" i="1"/>
  <c r="H1087" i="1"/>
  <c r="G1088" i="1"/>
  <c r="H1088" i="1"/>
  <c r="G1089" i="1"/>
  <c r="H1089" i="1"/>
  <c r="G1094" i="1"/>
  <c r="H1094" i="1"/>
  <c r="G1095" i="1"/>
  <c r="H1095" i="1"/>
  <c r="G1096" i="1"/>
  <c r="H1096" i="1"/>
  <c r="G1097" i="1"/>
  <c r="H1097" i="1"/>
  <c r="G1098" i="1"/>
  <c r="H1098" i="1"/>
  <c r="G1099" i="1"/>
  <c r="H1099" i="1"/>
  <c r="G1100" i="1"/>
  <c r="H1100" i="1"/>
  <c r="G1101" i="1"/>
  <c r="H1101" i="1"/>
  <c r="G1102" i="1"/>
  <c r="H1102" i="1"/>
  <c r="G1103" i="1"/>
  <c r="H1103" i="1"/>
  <c r="G1104" i="1"/>
  <c r="H1104" i="1"/>
  <c r="G1105" i="1"/>
  <c r="H1105" i="1"/>
  <c r="G1106" i="1"/>
  <c r="H1106" i="1"/>
  <c r="G1107" i="1"/>
  <c r="H1107" i="1"/>
  <c r="G1108" i="1"/>
  <c r="H1108" i="1"/>
  <c r="G1109" i="1"/>
  <c r="H1109" i="1"/>
  <c r="G1110" i="1"/>
  <c r="H1110" i="1"/>
  <c r="G1111" i="1"/>
  <c r="H1111" i="1"/>
  <c r="G1112" i="1"/>
  <c r="H1112" i="1"/>
  <c r="G1113" i="1"/>
  <c r="H1113" i="1"/>
  <c r="G1114" i="1"/>
  <c r="H1114" i="1"/>
  <c r="G1115" i="1"/>
  <c r="H1115" i="1"/>
  <c r="G1116" i="1"/>
  <c r="H1116" i="1"/>
  <c r="G1117" i="1"/>
  <c r="H1117" i="1"/>
  <c r="G1118" i="1"/>
  <c r="H1118" i="1"/>
  <c r="G1119" i="1"/>
  <c r="H1119" i="1"/>
  <c r="G1120" i="1"/>
  <c r="H1120" i="1"/>
  <c r="G1121" i="1"/>
  <c r="H1121" i="1"/>
  <c r="G1122" i="1"/>
  <c r="H1122" i="1"/>
  <c r="G1123" i="1"/>
  <c r="H1123" i="1"/>
  <c r="G1124" i="1"/>
  <c r="H1124" i="1"/>
  <c r="G1125" i="1"/>
  <c r="H1125" i="1"/>
  <c r="G1126" i="1"/>
  <c r="H1126" i="1"/>
  <c r="G1127" i="1"/>
  <c r="H1127" i="1"/>
  <c r="G1128" i="1"/>
  <c r="H1128" i="1"/>
  <c r="G1129" i="1"/>
  <c r="H1129" i="1"/>
  <c r="G1130" i="1"/>
  <c r="H1130" i="1"/>
  <c r="G1131" i="1"/>
  <c r="H1131" i="1"/>
  <c r="G1132" i="1"/>
  <c r="H1132" i="1"/>
  <c r="G1133" i="1"/>
  <c r="H1133" i="1"/>
  <c r="G1134" i="1"/>
  <c r="H1134" i="1"/>
  <c r="G1135" i="1"/>
  <c r="H1135" i="1"/>
  <c r="G1136" i="1"/>
  <c r="H1136" i="1"/>
  <c r="G1137" i="1"/>
  <c r="H1137" i="1"/>
  <c r="G1138" i="1"/>
  <c r="H1138" i="1"/>
  <c r="G1139" i="1"/>
  <c r="H1139" i="1"/>
  <c r="G1140" i="1"/>
  <c r="H1140" i="1"/>
  <c r="G1141" i="1"/>
  <c r="H1141" i="1"/>
  <c r="G1142" i="1"/>
  <c r="H1142" i="1"/>
  <c r="G1143" i="1"/>
  <c r="H1143" i="1"/>
  <c r="G1144" i="1"/>
  <c r="H1144" i="1"/>
  <c r="G1145" i="1"/>
  <c r="H1145" i="1"/>
  <c r="G1146" i="1"/>
  <c r="H1146" i="1"/>
  <c r="G1147" i="1"/>
  <c r="H1147" i="1"/>
  <c r="G1148" i="1"/>
  <c r="H1148" i="1"/>
  <c r="G1149" i="1"/>
  <c r="H1149" i="1"/>
  <c r="G1150" i="1"/>
  <c r="H1150" i="1"/>
  <c r="G1151" i="1"/>
  <c r="H1151" i="1"/>
  <c r="G1152" i="1"/>
  <c r="H1152" i="1"/>
  <c r="G1153" i="1"/>
  <c r="H1153" i="1"/>
  <c r="G1154" i="1"/>
  <c r="H1154" i="1"/>
  <c r="G1155" i="1"/>
  <c r="H1155" i="1"/>
  <c r="G1156" i="1"/>
  <c r="H1156" i="1"/>
  <c r="G1157" i="1"/>
  <c r="H1157" i="1"/>
  <c r="G1158" i="1"/>
  <c r="H1158" i="1"/>
  <c r="G1159" i="1"/>
  <c r="H1159" i="1"/>
  <c r="G1160" i="1"/>
  <c r="H1160" i="1"/>
  <c r="G1161" i="1"/>
  <c r="H1161" i="1"/>
  <c r="G1162" i="1"/>
  <c r="H1162" i="1"/>
  <c r="G1163" i="1"/>
  <c r="H1163" i="1"/>
  <c r="G1164" i="1"/>
  <c r="H1164" i="1"/>
  <c r="G1165" i="1"/>
  <c r="H1165" i="1"/>
  <c r="G1166" i="1"/>
  <c r="H1166" i="1"/>
  <c r="G1167" i="1"/>
  <c r="H1167" i="1"/>
  <c r="G1168" i="1"/>
  <c r="H1168" i="1"/>
  <c r="G1169" i="1"/>
  <c r="H1169" i="1"/>
  <c r="G1170" i="1"/>
  <c r="H1170" i="1"/>
  <c r="G1171" i="1"/>
  <c r="H1171" i="1"/>
  <c r="G1172" i="1"/>
  <c r="H1172" i="1"/>
  <c r="G1173" i="1"/>
  <c r="H1173" i="1"/>
  <c r="G1174" i="1"/>
  <c r="H1174" i="1"/>
  <c r="G1175" i="1"/>
  <c r="H1175" i="1"/>
  <c r="G1176" i="1"/>
  <c r="H1176" i="1"/>
  <c r="G1177" i="1"/>
  <c r="H1177" i="1"/>
  <c r="G1178" i="1"/>
  <c r="H1178" i="1"/>
  <c r="G1179" i="1"/>
  <c r="H1179" i="1"/>
  <c r="G1180" i="1"/>
  <c r="H1180" i="1"/>
  <c r="G1181" i="1"/>
  <c r="H1181" i="1"/>
  <c r="G1182" i="1"/>
  <c r="H1182" i="1"/>
  <c r="G1183" i="1"/>
  <c r="H1183" i="1"/>
  <c r="G1184" i="1"/>
  <c r="H1184" i="1"/>
  <c r="G1185" i="1"/>
  <c r="H1185" i="1"/>
  <c r="G1186" i="1"/>
  <c r="H1186" i="1"/>
  <c r="G1187" i="1"/>
  <c r="H1187" i="1"/>
  <c r="G1188" i="1"/>
  <c r="H1188" i="1"/>
  <c r="G1189" i="1"/>
  <c r="H1189" i="1"/>
  <c r="G1190" i="1"/>
  <c r="H1190" i="1"/>
  <c r="G1191" i="1"/>
  <c r="H1191" i="1"/>
  <c r="G1192" i="1"/>
  <c r="H1192" i="1"/>
  <c r="G1193" i="1"/>
  <c r="H1193" i="1"/>
  <c r="G1194" i="1"/>
  <c r="H1194" i="1"/>
  <c r="G1195" i="1"/>
  <c r="H1195" i="1"/>
  <c r="G1196" i="1"/>
  <c r="H1196" i="1"/>
  <c r="G1197" i="1"/>
  <c r="H1197" i="1"/>
  <c r="G1198" i="1"/>
  <c r="H1198" i="1"/>
  <c r="G1199" i="1"/>
  <c r="H1199" i="1"/>
  <c r="G1200" i="1"/>
  <c r="H1200" i="1"/>
  <c r="G1202" i="1"/>
  <c r="H1202" i="1"/>
  <c r="G1201" i="1"/>
  <c r="H1201" i="1"/>
  <c r="G1203" i="1"/>
  <c r="H1203" i="1"/>
  <c r="G1204" i="1"/>
  <c r="H1204" i="1"/>
  <c r="G1205" i="1"/>
  <c r="H1205" i="1"/>
  <c r="G1206" i="1"/>
  <c r="H1206" i="1"/>
  <c r="G1207" i="1"/>
  <c r="H1207" i="1"/>
  <c r="G1208" i="1"/>
  <c r="H1208" i="1"/>
  <c r="G1209" i="1"/>
  <c r="H1209" i="1"/>
  <c r="G1210" i="1"/>
  <c r="H1210" i="1"/>
  <c r="G1211" i="1"/>
  <c r="H1211" i="1"/>
  <c r="G1212" i="1"/>
  <c r="H1212" i="1"/>
  <c r="G1213" i="1"/>
  <c r="H1213" i="1"/>
  <c r="G1214" i="1"/>
  <c r="H1214" i="1"/>
  <c r="G1215" i="1"/>
  <c r="H1215" i="1"/>
  <c r="G1216" i="1"/>
  <c r="H1216" i="1"/>
  <c r="G1217" i="1"/>
  <c r="H1217" i="1"/>
  <c r="G1218" i="1"/>
  <c r="H1218" i="1"/>
  <c r="G1219" i="1"/>
  <c r="H1219" i="1"/>
  <c r="G1220" i="1"/>
  <c r="H1220" i="1"/>
  <c r="G1222" i="1"/>
  <c r="H1222" i="1"/>
  <c r="G1221" i="1"/>
  <c r="H1221" i="1"/>
  <c r="G1224" i="1"/>
  <c r="H1224" i="1"/>
  <c r="G1223" i="1"/>
  <c r="H1223" i="1"/>
  <c r="G1225" i="1"/>
  <c r="H1225" i="1"/>
  <c r="G1226" i="1"/>
  <c r="H1226" i="1"/>
  <c r="G1227" i="1"/>
  <c r="H1227" i="1"/>
  <c r="G1228" i="1"/>
  <c r="H1228" i="1"/>
  <c r="G1229" i="1"/>
  <c r="H1229" i="1"/>
  <c r="G1230" i="1"/>
  <c r="H1230" i="1"/>
  <c r="G1231" i="1"/>
  <c r="H1231" i="1"/>
  <c r="G1232" i="1"/>
  <c r="H1232" i="1"/>
  <c r="G1233" i="1"/>
  <c r="H1233" i="1"/>
  <c r="G1234" i="1"/>
  <c r="H1234" i="1"/>
  <c r="G1235" i="1"/>
  <c r="H1235" i="1"/>
  <c r="G1236" i="1"/>
  <c r="H1236" i="1"/>
  <c r="G1237" i="1"/>
  <c r="H1237" i="1"/>
  <c r="G1238" i="1"/>
  <c r="H1238" i="1"/>
  <c r="G1239" i="1"/>
  <c r="H1239" i="1"/>
  <c r="G1240" i="1"/>
  <c r="H1240" i="1"/>
  <c r="G1241" i="1"/>
  <c r="H1241" i="1"/>
  <c r="G1242" i="1"/>
  <c r="H1242" i="1"/>
  <c r="G1243" i="1"/>
  <c r="H1243" i="1"/>
  <c r="G1244" i="1"/>
  <c r="H1244" i="1"/>
  <c r="G1245" i="1"/>
  <c r="H1245" i="1"/>
  <c r="G1246" i="1"/>
  <c r="H1246" i="1"/>
  <c r="G1247" i="1"/>
  <c r="H1247" i="1"/>
  <c r="G1248" i="1"/>
  <c r="H1248" i="1"/>
  <c r="G1249" i="1"/>
  <c r="H1249" i="1"/>
  <c r="G1250" i="1"/>
  <c r="H1250" i="1"/>
  <c r="G1251" i="1"/>
  <c r="H1251" i="1"/>
  <c r="G1252" i="1"/>
  <c r="H1252" i="1"/>
  <c r="G1253" i="1"/>
  <c r="H1253" i="1"/>
  <c r="G1254" i="1"/>
  <c r="H1254" i="1"/>
  <c r="G1255" i="1"/>
  <c r="H1255" i="1"/>
  <c r="G1256" i="1"/>
  <c r="H1256" i="1"/>
  <c r="G1257" i="1"/>
  <c r="H1257" i="1"/>
  <c r="G1258" i="1"/>
  <c r="H1258" i="1"/>
  <c r="G1259" i="1"/>
  <c r="H1259" i="1"/>
  <c r="G1260" i="1"/>
  <c r="H1260" i="1"/>
  <c r="G1261" i="1"/>
  <c r="H1261" i="1"/>
  <c r="G1262" i="1"/>
  <c r="H1262" i="1"/>
  <c r="G1264" i="1"/>
  <c r="H1264" i="1"/>
  <c r="G1265" i="1"/>
  <c r="H1265" i="1"/>
  <c r="G1270" i="1"/>
  <c r="H1270" i="1"/>
  <c r="G1271" i="1"/>
  <c r="H1271" i="1"/>
  <c r="G1273" i="1"/>
  <c r="H1273" i="1"/>
  <c r="G1274" i="1"/>
  <c r="H1274" i="1"/>
  <c r="G1275" i="1"/>
  <c r="H1275" i="1"/>
  <c r="G1276" i="1"/>
  <c r="H1276" i="1"/>
  <c r="G1277" i="1"/>
  <c r="H1277" i="1"/>
  <c r="G1278" i="1"/>
  <c r="H1278" i="1"/>
  <c r="G1279" i="1"/>
  <c r="H1279" i="1"/>
  <c r="G1280" i="1"/>
  <c r="H1280" i="1"/>
  <c r="G1281" i="1"/>
  <c r="H1281" i="1"/>
  <c r="G1282" i="1"/>
  <c r="H1282" i="1"/>
  <c r="G1283" i="1"/>
  <c r="H1283" i="1"/>
  <c r="G1284" i="1"/>
  <c r="H1284" i="1"/>
  <c r="G1285" i="1"/>
  <c r="H1285" i="1"/>
  <c r="G1286" i="1"/>
  <c r="H1286" i="1"/>
  <c r="G1287" i="1"/>
  <c r="H1287" i="1"/>
  <c r="G1288" i="1"/>
  <c r="H1288" i="1"/>
  <c r="G1289" i="1"/>
  <c r="H1289" i="1"/>
  <c r="G1290" i="1"/>
  <c r="H1290" i="1"/>
  <c r="G1291" i="1"/>
  <c r="H1291" i="1"/>
  <c r="G1292" i="1"/>
  <c r="H1292" i="1"/>
  <c r="G1293" i="1"/>
  <c r="H1293" i="1"/>
  <c r="G1294" i="1"/>
  <c r="H1294" i="1"/>
  <c r="G1295" i="1"/>
  <c r="H1295" i="1"/>
  <c r="G1296" i="1"/>
  <c r="H1296" i="1"/>
  <c r="G1297" i="1"/>
  <c r="H1297" i="1"/>
  <c r="G1298" i="1"/>
  <c r="H1298" i="1"/>
  <c r="G1299" i="1"/>
  <c r="H1299" i="1"/>
  <c r="G1300" i="1"/>
  <c r="H1300" i="1"/>
  <c r="G1301" i="1"/>
  <c r="H1301" i="1"/>
  <c r="G1302" i="1"/>
  <c r="H1302" i="1"/>
  <c r="G1303" i="1"/>
  <c r="H1303" i="1"/>
  <c r="G1304" i="1"/>
  <c r="H1304" i="1"/>
  <c r="G1305" i="1"/>
  <c r="H1305" i="1"/>
  <c r="G1306" i="1"/>
  <c r="H1306" i="1"/>
  <c r="G1307" i="1"/>
  <c r="H1307" i="1"/>
  <c r="G1308" i="1"/>
  <c r="H1308" i="1"/>
  <c r="G1309" i="1"/>
  <c r="H1309" i="1"/>
  <c r="G1310" i="1"/>
  <c r="H1310" i="1"/>
  <c r="G1311" i="1"/>
  <c r="H1311" i="1"/>
  <c r="G1312" i="1"/>
  <c r="H1312" i="1"/>
  <c r="G1313" i="1"/>
  <c r="H1313" i="1"/>
  <c r="G1314" i="1"/>
  <c r="H1314" i="1"/>
  <c r="G1315" i="1"/>
  <c r="H1315" i="1"/>
  <c r="G1316" i="1"/>
  <c r="H1316" i="1"/>
  <c r="G1317" i="1"/>
  <c r="H1317" i="1"/>
  <c r="G1318" i="1"/>
  <c r="H1318" i="1"/>
  <c r="G1319" i="1"/>
  <c r="H1319" i="1"/>
  <c r="G1320" i="1"/>
  <c r="H1320" i="1"/>
  <c r="G1321" i="1"/>
  <c r="H1321" i="1"/>
  <c r="G1322" i="1"/>
  <c r="H1322" i="1"/>
  <c r="G1323" i="1"/>
  <c r="H1323" i="1"/>
  <c r="G1324" i="1"/>
  <c r="H1324" i="1"/>
  <c r="G1325" i="1"/>
  <c r="H1325" i="1"/>
  <c r="G1326" i="1"/>
  <c r="H1326" i="1"/>
  <c r="G1327" i="1"/>
  <c r="H1327" i="1"/>
  <c r="G1328" i="1"/>
  <c r="H1328" i="1"/>
  <c r="G1329" i="1"/>
  <c r="H1329" i="1"/>
  <c r="G1330" i="1"/>
  <c r="H1330" i="1"/>
  <c r="G1331" i="1"/>
  <c r="H1331" i="1"/>
  <c r="G1332" i="1"/>
  <c r="H1332" i="1"/>
  <c r="G1333" i="1"/>
  <c r="H1333" i="1"/>
  <c r="G1334" i="1"/>
  <c r="H1334" i="1"/>
  <c r="G1335" i="1"/>
  <c r="H1335" i="1"/>
  <c r="G1336" i="1"/>
  <c r="H1336" i="1"/>
  <c r="G1337" i="1"/>
  <c r="H1337" i="1"/>
  <c r="G1338" i="1"/>
  <c r="H1338" i="1"/>
  <c r="G1339" i="1"/>
  <c r="H1339" i="1"/>
  <c r="G1340" i="1"/>
  <c r="H1340" i="1"/>
  <c r="G1341" i="1"/>
  <c r="H1341" i="1"/>
  <c r="G1342" i="1"/>
  <c r="H1342" i="1"/>
  <c r="G1343" i="1"/>
  <c r="H1343" i="1"/>
  <c r="G1344" i="1"/>
  <c r="H1344" i="1"/>
  <c r="G1345" i="1"/>
  <c r="H1345" i="1"/>
  <c r="G1346" i="1"/>
  <c r="H1346" i="1"/>
  <c r="G1347" i="1"/>
  <c r="H1347" i="1"/>
  <c r="G1348" i="1"/>
  <c r="H1348" i="1"/>
  <c r="G1349" i="1"/>
  <c r="H1349" i="1"/>
  <c r="G1350" i="1"/>
  <c r="H1350" i="1"/>
  <c r="G1351" i="1"/>
  <c r="H1351" i="1"/>
  <c r="G1352" i="1"/>
  <c r="H1352" i="1"/>
  <c r="G1353" i="1"/>
  <c r="H1353" i="1"/>
  <c r="G1354" i="1"/>
  <c r="H1354" i="1"/>
  <c r="G1355" i="1"/>
  <c r="H1355" i="1"/>
  <c r="G1356" i="1"/>
  <c r="H1356" i="1"/>
  <c r="G1357" i="1"/>
  <c r="H1357" i="1"/>
  <c r="G1358" i="1"/>
  <c r="H1358" i="1"/>
  <c r="G1359" i="1"/>
  <c r="H1359" i="1"/>
  <c r="G1360" i="1"/>
  <c r="H1360" i="1"/>
  <c r="G1361" i="1"/>
  <c r="H1361" i="1"/>
  <c r="G1362" i="1"/>
  <c r="H1362" i="1"/>
  <c r="G1363" i="1"/>
  <c r="H1363" i="1"/>
  <c r="G1364" i="1"/>
  <c r="H1364" i="1"/>
  <c r="G1365" i="1"/>
  <c r="H1365" i="1"/>
  <c r="G1366" i="1"/>
  <c r="H1366" i="1"/>
  <c r="G1367" i="1"/>
  <c r="H1367" i="1"/>
  <c r="G1368" i="1"/>
  <c r="H1368" i="1"/>
  <c r="G1369" i="1"/>
  <c r="H1369" i="1"/>
  <c r="G1370" i="1"/>
  <c r="H1370" i="1"/>
  <c r="G1371" i="1"/>
  <c r="H1371" i="1"/>
  <c r="G1372" i="1"/>
  <c r="H1372" i="1"/>
  <c r="G1373" i="1"/>
  <c r="H1373" i="1"/>
  <c r="G1374" i="1"/>
  <c r="H1374" i="1"/>
  <c r="G1375" i="1"/>
  <c r="H1375" i="1"/>
  <c r="G1376" i="1"/>
  <c r="H1376" i="1"/>
  <c r="G1377" i="1"/>
  <c r="H1377" i="1"/>
  <c r="G1378" i="1"/>
  <c r="H1378" i="1"/>
  <c r="G1379" i="1"/>
  <c r="H1379" i="1"/>
  <c r="G1380" i="1"/>
  <c r="H1380" i="1"/>
  <c r="G1381" i="1"/>
  <c r="H1381" i="1"/>
  <c r="G1382" i="1"/>
  <c r="H1382" i="1"/>
  <c r="G1383" i="1"/>
  <c r="H1383" i="1"/>
  <c r="G1384" i="1"/>
  <c r="H1384" i="1"/>
  <c r="G1385" i="1"/>
  <c r="H1385" i="1"/>
  <c r="G1386" i="1"/>
  <c r="H1386" i="1"/>
  <c r="G1387" i="1"/>
  <c r="H1387" i="1"/>
  <c r="G1388" i="1"/>
  <c r="H1388" i="1"/>
  <c r="G1389" i="1"/>
  <c r="H1389" i="1"/>
  <c r="G1390" i="1"/>
  <c r="H1390" i="1"/>
  <c r="G1391" i="1"/>
  <c r="H1391" i="1"/>
  <c r="G1392" i="1"/>
  <c r="H1392" i="1"/>
  <c r="G1393" i="1"/>
  <c r="H1393" i="1"/>
  <c r="G1394" i="1"/>
  <c r="H1394" i="1"/>
  <c r="G1395" i="1"/>
  <c r="H1395" i="1"/>
  <c r="G1396" i="1"/>
  <c r="H1396" i="1"/>
  <c r="G1397" i="1"/>
  <c r="H1397" i="1"/>
  <c r="G1398" i="1"/>
  <c r="H1398" i="1"/>
  <c r="G1399" i="1"/>
  <c r="H1399" i="1"/>
  <c r="G1400" i="1"/>
  <c r="H1400" i="1"/>
  <c r="G1401" i="1"/>
  <c r="H1401" i="1"/>
  <c r="G1402" i="1"/>
  <c r="H1402" i="1"/>
  <c r="G1403" i="1"/>
  <c r="H1403" i="1"/>
  <c r="G1404" i="1"/>
  <c r="H1404" i="1"/>
  <c r="G1405" i="1"/>
  <c r="H1405" i="1"/>
  <c r="G1406" i="1"/>
  <c r="H1406" i="1"/>
  <c r="G1407" i="1"/>
  <c r="H1407" i="1"/>
  <c r="G1408" i="1"/>
  <c r="H1408" i="1"/>
  <c r="G1409" i="1"/>
  <c r="H1409" i="1"/>
  <c r="G1410" i="1"/>
  <c r="H1410" i="1"/>
  <c r="G1411" i="1"/>
  <c r="H1411" i="1"/>
  <c r="G1412" i="1"/>
  <c r="H1412" i="1"/>
  <c r="G1413" i="1"/>
  <c r="H1413" i="1"/>
  <c r="G1414" i="1"/>
  <c r="H1414" i="1"/>
  <c r="G1415" i="1"/>
  <c r="H1415" i="1"/>
  <c r="G1416" i="1"/>
  <c r="H1416" i="1"/>
  <c r="G1417" i="1"/>
  <c r="H1417" i="1"/>
  <c r="G1418" i="1"/>
  <c r="H1418" i="1"/>
  <c r="G1419" i="1"/>
  <c r="H1419" i="1"/>
  <c r="G1420" i="1"/>
  <c r="H1420" i="1"/>
  <c r="G1421" i="1"/>
  <c r="H1421" i="1"/>
  <c r="G1422" i="1"/>
  <c r="H1422" i="1"/>
  <c r="G1423" i="1"/>
  <c r="H1423" i="1"/>
  <c r="G1424" i="1"/>
  <c r="H1424" i="1"/>
  <c r="G1425" i="1"/>
  <c r="H1425" i="1"/>
  <c r="G1426" i="1"/>
  <c r="H1426" i="1"/>
  <c r="G1427" i="1"/>
  <c r="H1427" i="1"/>
  <c r="G1428" i="1"/>
  <c r="H1428" i="1"/>
  <c r="G1429" i="1"/>
  <c r="H1429" i="1"/>
  <c r="G1430" i="1"/>
  <c r="H1430" i="1"/>
  <c r="G1431" i="1"/>
  <c r="H1431" i="1"/>
  <c r="G1432" i="1"/>
  <c r="H1432" i="1"/>
  <c r="G1433" i="1"/>
  <c r="H1433" i="1"/>
  <c r="G1434" i="1"/>
  <c r="H1434" i="1"/>
  <c r="G1435" i="1"/>
  <c r="H1435" i="1"/>
  <c r="G1436" i="1"/>
  <c r="H1436" i="1"/>
  <c r="G1437" i="1"/>
  <c r="H1437" i="1"/>
  <c r="G1438" i="1"/>
  <c r="H1438" i="1"/>
  <c r="G1439" i="1"/>
  <c r="H1439" i="1"/>
  <c r="G1440" i="1"/>
  <c r="H1440" i="1"/>
  <c r="G1441" i="1"/>
  <c r="H1441" i="1"/>
  <c r="G1442" i="1"/>
  <c r="H1442" i="1"/>
  <c r="G1443" i="1"/>
  <c r="H1443" i="1"/>
  <c r="G1444" i="1"/>
  <c r="H1444" i="1"/>
  <c r="G1445" i="1"/>
  <c r="H1445" i="1"/>
  <c r="G1446" i="1"/>
  <c r="H1446" i="1"/>
  <c r="G1447" i="1"/>
  <c r="H1447" i="1"/>
  <c r="G1448" i="1"/>
  <c r="H1448" i="1"/>
  <c r="G1449" i="1"/>
  <c r="H1449" i="1"/>
  <c r="G1450" i="1"/>
  <c r="H1450" i="1"/>
  <c r="G1451" i="1"/>
  <c r="H1451" i="1"/>
  <c r="G1452" i="1"/>
  <c r="H1452" i="1"/>
  <c r="G1453" i="1"/>
  <c r="H1453" i="1"/>
  <c r="G1454" i="1"/>
  <c r="H1454" i="1"/>
  <c r="G1455" i="1"/>
  <c r="H1455" i="1"/>
  <c r="G1456" i="1"/>
  <c r="H1456" i="1"/>
  <c r="G1457" i="1"/>
  <c r="H1457" i="1"/>
  <c r="G1458" i="1"/>
  <c r="H1458" i="1"/>
  <c r="G1459" i="1"/>
  <c r="H1459" i="1"/>
  <c r="G1460" i="1"/>
  <c r="H1460" i="1"/>
  <c r="G1461" i="1"/>
  <c r="H1461" i="1"/>
  <c r="G1462" i="1"/>
  <c r="H1462" i="1"/>
  <c r="G1463" i="1"/>
  <c r="H1463" i="1"/>
  <c r="G1464" i="1"/>
  <c r="H1464" i="1"/>
  <c r="G1465" i="1"/>
  <c r="H1465" i="1"/>
  <c r="G1466" i="1"/>
  <c r="H1466" i="1"/>
  <c r="G1467" i="1"/>
  <c r="H1467" i="1"/>
  <c r="G1468" i="1"/>
  <c r="H1468" i="1"/>
  <c r="G1469" i="1"/>
  <c r="H1469" i="1"/>
  <c r="G1470" i="1"/>
  <c r="H1470" i="1"/>
  <c r="G1471" i="1"/>
  <c r="H1471" i="1"/>
  <c r="G1472" i="1"/>
  <c r="H1472" i="1"/>
  <c r="G1473" i="1"/>
  <c r="H1473" i="1"/>
  <c r="G1474" i="1"/>
  <c r="H1474" i="1"/>
  <c r="G1475" i="1"/>
  <c r="H1475" i="1"/>
  <c r="G1476" i="1"/>
  <c r="H1476" i="1"/>
  <c r="G1477" i="1"/>
  <c r="H1477" i="1"/>
  <c r="G1478" i="1"/>
  <c r="H1478" i="1"/>
  <c r="G1479" i="1"/>
  <c r="H1479" i="1"/>
  <c r="G1480" i="1"/>
  <c r="H1480" i="1"/>
  <c r="G1481" i="1"/>
  <c r="H1481" i="1"/>
  <c r="G1482" i="1"/>
  <c r="H1482" i="1"/>
  <c r="G1483" i="1"/>
  <c r="H1483" i="1"/>
  <c r="G1484" i="1"/>
  <c r="H1484" i="1"/>
  <c r="G1485" i="1"/>
  <c r="H1485" i="1"/>
  <c r="G1486" i="1"/>
  <c r="H1486" i="1"/>
  <c r="G1487" i="1"/>
  <c r="H1487" i="1"/>
  <c r="G1488" i="1"/>
  <c r="H1488" i="1"/>
  <c r="G1489" i="1"/>
  <c r="H1489" i="1"/>
  <c r="G1490" i="1"/>
  <c r="H1490" i="1"/>
  <c r="G1491" i="1"/>
  <c r="H1491" i="1"/>
  <c r="G1492" i="1"/>
  <c r="H1492" i="1"/>
  <c r="G1493" i="1"/>
  <c r="H1493" i="1"/>
  <c r="G1494" i="1"/>
  <c r="H1494" i="1"/>
  <c r="G1495" i="1"/>
  <c r="H1495" i="1"/>
  <c r="G1496" i="1"/>
  <c r="H1496" i="1"/>
  <c r="G1497" i="1"/>
  <c r="H1497" i="1"/>
  <c r="G1498" i="1"/>
  <c r="H1498" i="1"/>
  <c r="G1499" i="1"/>
  <c r="H1499" i="1"/>
  <c r="G1500" i="1"/>
  <c r="H1500" i="1"/>
  <c r="G1501" i="1"/>
  <c r="H1501" i="1"/>
  <c r="G1502" i="1"/>
  <c r="H1502" i="1"/>
  <c r="G1503" i="1"/>
  <c r="H1503" i="1"/>
  <c r="G1504" i="1"/>
  <c r="H1504" i="1"/>
  <c r="G1505" i="1"/>
  <c r="H1505" i="1"/>
  <c r="G1506" i="1"/>
  <c r="H1506" i="1"/>
  <c r="G1507" i="1"/>
  <c r="H1507" i="1"/>
  <c r="G1508" i="1"/>
  <c r="H1508" i="1"/>
  <c r="G1509" i="1"/>
  <c r="H1509" i="1"/>
  <c r="G1510" i="1"/>
  <c r="H1510" i="1"/>
  <c r="G1511" i="1"/>
  <c r="H1511" i="1"/>
  <c r="G1512" i="1"/>
  <c r="H1512" i="1"/>
  <c r="G1513" i="1"/>
  <c r="H1513" i="1"/>
  <c r="G1514" i="1"/>
  <c r="H1514" i="1"/>
  <c r="G1515" i="1"/>
  <c r="H1515" i="1"/>
  <c r="G1516" i="1"/>
  <c r="H1516" i="1"/>
  <c r="G1517" i="1"/>
  <c r="H1517" i="1"/>
  <c r="G1518" i="1"/>
  <c r="H1518" i="1"/>
  <c r="G1519" i="1"/>
  <c r="H1519" i="1"/>
  <c r="G1520" i="1"/>
  <c r="H1520" i="1"/>
  <c r="G1521" i="1"/>
  <c r="H1521" i="1"/>
  <c r="G1522" i="1"/>
  <c r="H1522" i="1"/>
  <c r="G1523" i="1"/>
  <c r="H1523" i="1"/>
  <c r="G1524" i="1"/>
  <c r="H1524" i="1"/>
  <c r="G1525" i="1"/>
  <c r="H1525" i="1"/>
  <c r="G1526" i="1"/>
  <c r="H1526" i="1"/>
  <c r="G1527" i="1"/>
  <c r="H1527" i="1"/>
  <c r="G1528" i="1"/>
  <c r="H1528" i="1"/>
  <c r="G1529" i="1"/>
  <c r="H1529" i="1"/>
  <c r="G1530" i="1"/>
  <c r="H1530" i="1"/>
  <c r="G1531" i="1"/>
  <c r="H1531" i="1"/>
  <c r="G1532" i="1"/>
  <c r="H1532" i="1"/>
  <c r="G1533" i="1"/>
  <c r="H1533" i="1"/>
  <c r="G1534" i="1"/>
  <c r="H1534" i="1"/>
  <c r="G1535" i="1"/>
  <c r="H1535" i="1"/>
  <c r="G1536" i="1"/>
  <c r="H1536" i="1"/>
  <c r="G1537" i="1"/>
  <c r="H1537" i="1"/>
  <c r="G1538" i="1"/>
  <c r="H1538" i="1"/>
  <c r="G1539" i="1"/>
  <c r="H1539" i="1"/>
  <c r="G1540" i="1"/>
  <c r="H1540" i="1"/>
  <c r="G1541" i="1"/>
  <c r="H1541" i="1"/>
  <c r="G1542" i="1"/>
  <c r="H1542" i="1"/>
  <c r="G1543" i="1"/>
  <c r="H1543" i="1"/>
  <c r="G1544" i="1"/>
  <c r="H1544" i="1"/>
  <c r="G1545" i="1"/>
  <c r="H1545" i="1"/>
  <c r="G1546" i="1"/>
  <c r="H1546" i="1"/>
  <c r="G1547" i="1"/>
  <c r="H1547" i="1"/>
  <c r="G1548" i="1"/>
  <c r="H1548" i="1"/>
  <c r="G1549" i="1"/>
  <c r="H1549" i="1"/>
  <c r="G1550" i="1"/>
  <c r="H1550" i="1"/>
  <c r="G1551" i="1"/>
  <c r="H1551" i="1"/>
  <c r="G1552" i="1"/>
  <c r="H1552" i="1"/>
  <c r="G1553" i="1"/>
  <c r="H1553" i="1"/>
  <c r="G1554" i="1"/>
  <c r="H1554" i="1"/>
  <c r="G1555" i="1"/>
  <c r="H1555" i="1"/>
  <c r="G1557" i="1"/>
  <c r="H1557" i="1"/>
  <c r="G1556" i="1"/>
  <c r="H1556" i="1"/>
  <c r="G1558" i="1"/>
  <c r="H1558" i="1"/>
  <c r="G1559" i="1"/>
  <c r="H1559" i="1"/>
  <c r="G1560" i="1"/>
  <c r="H1560" i="1"/>
  <c r="G1561" i="1"/>
  <c r="H1561" i="1"/>
  <c r="G1562" i="1"/>
  <c r="H1562" i="1"/>
  <c r="G1563" i="1"/>
  <c r="H1563" i="1"/>
  <c r="G1564" i="1"/>
  <c r="H1564" i="1"/>
  <c r="G1565" i="1"/>
  <c r="H1565" i="1"/>
  <c r="G1566" i="1"/>
  <c r="H1566" i="1"/>
  <c r="G1567" i="1"/>
  <c r="H1567" i="1"/>
  <c r="G1568" i="1"/>
  <c r="H1568" i="1"/>
  <c r="G1573" i="1"/>
  <c r="H1573" i="1"/>
  <c r="G1576" i="1"/>
  <c r="H1576" i="1"/>
  <c r="G1577" i="1"/>
  <c r="H1577" i="1"/>
  <c r="G1578" i="1"/>
  <c r="H1578" i="1"/>
  <c r="G1579" i="1"/>
  <c r="H1579" i="1"/>
  <c r="G1580" i="1"/>
  <c r="H1580" i="1"/>
  <c r="G1581" i="1"/>
  <c r="H1581" i="1"/>
  <c r="G1582" i="1"/>
  <c r="H1582" i="1"/>
  <c r="G1584" i="1"/>
  <c r="H1584" i="1"/>
  <c r="G1585" i="1"/>
  <c r="H1585" i="1"/>
  <c r="G1586" i="1"/>
  <c r="H1586" i="1"/>
  <c r="G1587" i="1"/>
  <c r="H1587" i="1"/>
  <c r="G1588" i="1"/>
  <c r="H1588" i="1"/>
  <c r="G1589" i="1"/>
  <c r="H1589" i="1"/>
  <c r="G1590" i="1"/>
  <c r="H1590" i="1"/>
  <c r="G1591" i="1"/>
  <c r="H1591" i="1"/>
  <c r="G1592" i="1"/>
  <c r="H1592" i="1"/>
  <c r="G1593" i="1"/>
  <c r="H1593" i="1"/>
  <c r="G1594" i="1"/>
  <c r="H1594" i="1"/>
  <c r="G1595" i="1"/>
  <c r="H1595" i="1"/>
  <c r="G1596" i="1"/>
  <c r="H1596" i="1"/>
  <c r="G1597" i="1"/>
  <c r="H1597" i="1"/>
  <c r="G1598" i="1"/>
  <c r="H1598" i="1"/>
  <c r="G1599" i="1"/>
  <c r="H1599" i="1"/>
  <c r="G1600" i="1"/>
  <c r="H1600" i="1"/>
  <c r="G1601" i="1"/>
  <c r="H1601" i="1"/>
  <c r="G1602" i="1"/>
  <c r="H1602" i="1"/>
  <c r="G1603" i="1"/>
  <c r="H1603" i="1"/>
  <c r="G1604" i="1"/>
  <c r="H1604" i="1"/>
  <c r="G1605" i="1"/>
  <c r="H1605" i="1"/>
  <c r="G1606" i="1"/>
  <c r="H1606" i="1"/>
  <c r="G1607" i="1"/>
  <c r="H1607" i="1"/>
  <c r="G1608" i="1"/>
  <c r="H1608" i="1"/>
  <c r="G1609" i="1"/>
  <c r="H1609" i="1"/>
  <c r="G1611" i="1"/>
  <c r="H1611" i="1"/>
  <c r="G1612" i="1"/>
  <c r="H1612" i="1"/>
  <c r="G1613" i="1"/>
  <c r="H1613" i="1"/>
  <c r="G1614" i="1"/>
  <c r="H1614" i="1"/>
  <c r="G1615" i="1"/>
  <c r="H1615" i="1"/>
  <c r="G1616" i="1"/>
  <c r="H1616" i="1"/>
  <c r="G1617" i="1"/>
  <c r="H1617" i="1"/>
  <c r="G1618" i="1"/>
  <c r="H1618" i="1"/>
  <c r="G1619" i="1"/>
  <c r="H1619" i="1"/>
  <c r="G1620" i="1"/>
  <c r="H1620" i="1"/>
  <c r="G1621" i="1"/>
  <c r="H1621" i="1"/>
  <c r="G1622" i="1"/>
  <c r="H1622" i="1"/>
  <c r="G1623" i="1"/>
  <c r="H1623" i="1"/>
  <c r="G1624" i="1"/>
  <c r="H1624" i="1"/>
  <c r="G1625" i="1"/>
  <c r="H1625" i="1"/>
  <c r="G1626" i="1"/>
  <c r="H1626" i="1"/>
  <c r="G1627" i="1"/>
  <c r="H1627" i="1"/>
  <c r="G1628" i="1"/>
  <c r="H1628" i="1"/>
  <c r="G1629" i="1"/>
  <c r="H1629" i="1"/>
  <c r="G1630" i="1"/>
  <c r="H1630" i="1"/>
  <c r="G1631" i="1"/>
  <c r="H1631" i="1"/>
  <c r="G1632" i="1"/>
  <c r="H1632" i="1"/>
  <c r="G1633" i="1"/>
  <c r="H1633" i="1"/>
  <c r="G1634" i="1"/>
  <c r="H1634" i="1"/>
  <c r="G1635" i="1"/>
  <c r="H1635" i="1"/>
  <c r="G1636" i="1"/>
  <c r="H1636" i="1"/>
  <c r="G1637" i="1"/>
  <c r="H1637" i="1"/>
  <c r="G1638" i="1"/>
  <c r="H1638" i="1"/>
  <c r="G1639" i="1"/>
  <c r="H1639" i="1"/>
  <c r="G1640" i="1"/>
  <c r="H1640" i="1"/>
  <c r="G1641" i="1"/>
  <c r="H1641" i="1"/>
  <c r="G1642" i="1"/>
  <c r="H1642" i="1"/>
  <c r="G1643" i="1"/>
  <c r="H1643" i="1"/>
  <c r="G1644" i="1"/>
  <c r="H1644" i="1"/>
  <c r="G1645" i="1"/>
  <c r="H1645" i="1"/>
  <c r="G1646" i="1"/>
  <c r="H1646" i="1"/>
  <c r="G1647" i="1"/>
  <c r="H1647" i="1"/>
  <c r="G1648" i="1"/>
  <c r="H1648" i="1"/>
  <c r="G1649" i="1"/>
  <c r="H1649" i="1"/>
  <c r="G1650" i="1"/>
  <c r="H1650" i="1"/>
  <c r="G1651" i="1"/>
  <c r="H1651" i="1"/>
  <c r="G1652" i="1"/>
  <c r="H1652" i="1"/>
  <c r="G1653" i="1"/>
  <c r="H1653" i="1"/>
  <c r="G1654" i="1"/>
  <c r="H1654" i="1"/>
  <c r="G1655" i="1"/>
  <c r="H1655" i="1"/>
  <c r="G1656" i="1"/>
  <c r="H1656" i="1"/>
  <c r="G1657" i="1"/>
  <c r="H1657" i="1"/>
  <c r="G1658" i="1"/>
  <c r="H1658" i="1"/>
  <c r="G1659" i="1"/>
  <c r="H1659" i="1"/>
  <c r="G1660" i="1"/>
  <c r="H1660" i="1"/>
  <c r="G1661" i="1"/>
  <c r="H1661" i="1"/>
  <c r="G1662" i="1"/>
  <c r="H1662" i="1"/>
  <c r="G1663" i="1"/>
  <c r="H1663" i="1"/>
  <c r="G1664" i="1"/>
  <c r="H1664" i="1"/>
  <c r="G1665" i="1"/>
  <c r="H1665" i="1"/>
  <c r="G1666" i="1"/>
  <c r="H1666" i="1"/>
  <c r="G1667" i="1"/>
  <c r="H1667" i="1"/>
  <c r="G1668" i="1"/>
  <c r="H1668" i="1"/>
  <c r="G1669" i="1"/>
  <c r="H1669" i="1"/>
  <c r="G1670" i="1"/>
  <c r="H1670" i="1"/>
  <c r="G1671" i="1"/>
  <c r="H1671" i="1"/>
  <c r="G1672" i="1"/>
  <c r="H1672" i="1"/>
  <c r="G1673" i="1"/>
  <c r="H1673" i="1"/>
  <c r="G1674" i="1"/>
  <c r="H1674" i="1"/>
  <c r="G1675" i="1"/>
  <c r="H1675" i="1"/>
  <c r="G1676" i="1"/>
  <c r="H1676" i="1"/>
  <c r="G1677" i="1"/>
  <c r="H1677" i="1"/>
  <c r="G1678" i="1"/>
  <c r="H1678" i="1"/>
  <c r="G1679" i="1"/>
  <c r="H1679" i="1"/>
  <c r="G1680" i="1"/>
  <c r="H1680" i="1"/>
  <c r="G1681" i="1"/>
  <c r="H1681" i="1"/>
  <c r="G1682" i="1"/>
  <c r="H1682" i="1"/>
  <c r="G1683" i="1"/>
  <c r="H1683" i="1"/>
  <c r="G1684" i="1"/>
  <c r="H1684" i="1"/>
  <c r="G1685" i="1"/>
  <c r="H1685" i="1"/>
  <c r="G1686" i="1"/>
  <c r="H1686" i="1"/>
  <c r="G1687" i="1"/>
  <c r="H1687" i="1"/>
  <c r="G1688" i="1"/>
  <c r="H1688" i="1"/>
  <c r="G1689" i="1"/>
  <c r="H1689" i="1"/>
  <c r="G1690" i="1"/>
  <c r="H1690" i="1"/>
  <c r="G1691" i="1"/>
  <c r="H1691" i="1"/>
  <c r="G1692" i="1"/>
  <c r="H1692" i="1"/>
  <c r="G1693" i="1"/>
  <c r="H1693" i="1"/>
  <c r="G1694" i="1"/>
  <c r="H1694" i="1"/>
  <c r="G1695" i="1"/>
  <c r="H1695" i="1"/>
  <c r="G1696" i="1"/>
  <c r="H1696" i="1"/>
  <c r="G1697" i="1"/>
  <c r="H1697" i="1"/>
  <c r="G1698" i="1"/>
  <c r="H1698" i="1"/>
  <c r="G1699" i="1"/>
  <c r="H1699" i="1"/>
  <c r="G1700" i="1"/>
  <c r="H1700" i="1"/>
  <c r="G1701" i="1"/>
  <c r="H1701" i="1"/>
  <c r="G1702" i="1"/>
  <c r="H1702" i="1"/>
  <c r="G1703" i="1"/>
  <c r="H1703" i="1"/>
  <c r="G1704" i="1"/>
  <c r="H1704" i="1"/>
  <c r="G1705" i="1"/>
  <c r="H1705" i="1"/>
  <c r="G1706" i="1"/>
  <c r="H1706" i="1"/>
  <c r="G1707" i="1"/>
  <c r="H1707" i="1"/>
  <c r="G1708" i="1"/>
  <c r="H1708" i="1"/>
  <c r="G1709" i="1"/>
  <c r="H1709" i="1"/>
  <c r="G1710" i="1"/>
  <c r="H1710" i="1"/>
  <c r="G1711" i="1"/>
  <c r="H1711" i="1"/>
  <c r="G1712" i="1"/>
  <c r="H1712" i="1"/>
  <c r="G1713" i="1"/>
  <c r="H1713" i="1"/>
  <c r="G1714" i="1"/>
  <c r="H1714" i="1"/>
  <c r="G1715" i="1"/>
  <c r="H1715" i="1"/>
  <c r="G1716" i="1"/>
  <c r="H1716" i="1"/>
  <c r="G1717" i="1"/>
  <c r="H1717" i="1"/>
  <c r="G1718" i="1"/>
  <c r="H1718" i="1"/>
  <c r="G1719" i="1"/>
  <c r="H1719" i="1"/>
  <c r="G1720" i="1"/>
  <c r="H1720" i="1"/>
  <c r="G1721" i="1"/>
  <c r="H1721" i="1"/>
  <c r="G1722" i="1"/>
  <c r="H1722" i="1"/>
  <c r="G1723" i="1"/>
  <c r="H1723" i="1"/>
  <c r="G1724" i="1"/>
  <c r="H1724" i="1"/>
  <c r="G1725" i="1"/>
  <c r="H1725" i="1"/>
  <c r="G1726" i="1"/>
  <c r="H1726" i="1"/>
  <c r="G1727" i="1"/>
  <c r="H1727" i="1"/>
  <c r="G1728" i="1"/>
  <c r="H1728" i="1"/>
  <c r="G1729" i="1"/>
  <c r="H1729" i="1"/>
  <c r="G1730" i="1"/>
  <c r="H1730" i="1"/>
  <c r="G1731" i="1"/>
  <c r="H1731" i="1"/>
  <c r="G1732" i="1"/>
  <c r="H1732" i="1"/>
  <c r="G1733" i="1"/>
  <c r="H1733" i="1"/>
  <c r="G1734" i="1"/>
  <c r="H1734" i="1"/>
  <c r="G1735" i="1"/>
  <c r="H1735" i="1"/>
  <c r="G1736" i="1"/>
  <c r="H1736" i="1"/>
  <c r="G1737" i="1"/>
  <c r="H1737" i="1"/>
  <c r="G1738" i="1"/>
  <c r="H1738" i="1"/>
  <c r="G1739" i="1"/>
  <c r="H1739" i="1"/>
  <c r="G1740" i="1"/>
  <c r="H1740" i="1"/>
  <c r="G1741" i="1"/>
  <c r="H1741" i="1"/>
  <c r="G1742" i="1"/>
  <c r="H1742" i="1"/>
  <c r="G1743" i="1"/>
  <c r="H1743" i="1"/>
  <c r="G1744" i="1"/>
  <c r="H1744" i="1"/>
  <c r="G1745" i="1"/>
  <c r="H1745" i="1"/>
  <c r="G1746" i="1"/>
  <c r="H1746" i="1"/>
  <c r="G1747" i="1"/>
  <c r="H1747" i="1"/>
  <c r="G1748" i="1"/>
  <c r="H1748" i="1"/>
  <c r="G1749" i="1"/>
  <c r="H1749" i="1"/>
  <c r="G1750" i="1"/>
  <c r="H1750" i="1"/>
  <c r="G1751" i="1"/>
  <c r="H1751" i="1"/>
  <c r="G1752" i="1"/>
  <c r="H1752" i="1"/>
  <c r="G1753" i="1"/>
  <c r="H1753" i="1"/>
  <c r="G1754" i="1"/>
  <c r="H1754" i="1"/>
  <c r="G1755" i="1"/>
  <c r="H1755" i="1"/>
  <c r="G1756" i="1"/>
  <c r="H1756" i="1"/>
  <c r="G1757" i="1"/>
  <c r="H1757" i="1"/>
  <c r="G1758" i="1"/>
  <c r="H1758" i="1"/>
  <c r="G1759" i="1"/>
  <c r="H1759" i="1"/>
  <c r="G1760" i="1"/>
  <c r="H1760" i="1"/>
  <c r="G1761" i="1"/>
  <c r="H1761" i="1"/>
  <c r="G1762" i="1"/>
  <c r="H1762" i="1"/>
  <c r="G1763" i="1"/>
  <c r="H1763" i="1"/>
  <c r="G1764" i="1"/>
  <c r="H1764" i="1"/>
  <c r="G1765" i="1"/>
  <c r="H1765" i="1"/>
  <c r="G1766" i="1"/>
  <c r="H1766" i="1"/>
  <c r="G1767" i="1"/>
  <c r="H1767" i="1"/>
  <c r="G1768" i="1"/>
  <c r="H1768" i="1"/>
  <c r="G1769" i="1"/>
  <c r="H1769" i="1"/>
  <c r="G1770" i="1"/>
  <c r="H1770" i="1"/>
  <c r="G1771" i="1"/>
  <c r="H1771" i="1"/>
  <c r="G1772" i="1"/>
  <c r="H1772" i="1"/>
  <c r="G1773" i="1"/>
  <c r="H1773" i="1"/>
  <c r="G1774" i="1"/>
  <c r="H1774" i="1"/>
  <c r="G1775" i="1"/>
  <c r="H1775" i="1"/>
  <c r="G1776" i="1"/>
  <c r="H1776" i="1"/>
  <c r="G1777" i="1"/>
  <c r="H1777" i="1"/>
  <c r="G1778" i="1"/>
  <c r="H1778" i="1"/>
  <c r="G1779" i="1"/>
  <c r="H1779" i="1"/>
  <c r="G1780" i="1"/>
  <c r="H1780" i="1"/>
  <c r="G1781" i="1"/>
  <c r="H1781" i="1"/>
  <c r="G1782" i="1"/>
  <c r="H1782" i="1"/>
  <c r="G1783" i="1"/>
  <c r="H1783" i="1"/>
  <c r="G1784" i="1"/>
  <c r="H1784" i="1"/>
  <c r="G1785" i="1"/>
  <c r="H1785" i="1"/>
  <c r="G1786" i="1"/>
  <c r="H1786" i="1"/>
  <c r="G1787" i="1"/>
  <c r="H1787" i="1"/>
  <c r="G1788" i="1"/>
  <c r="H1788" i="1"/>
  <c r="G1789" i="1"/>
  <c r="H1789" i="1"/>
  <c r="G1790" i="1"/>
  <c r="H1790" i="1"/>
  <c r="G1791" i="1"/>
  <c r="H1791" i="1"/>
  <c r="G1792" i="1"/>
  <c r="H1792" i="1"/>
  <c r="G1793" i="1"/>
  <c r="H1793" i="1"/>
  <c r="G1794" i="1"/>
  <c r="H1794" i="1"/>
  <c r="G1795" i="1"/>
  <c r="H1795" i="1"/>
  <c r="G1796" i="1"/>
  <c r="H1796" i="1"/>
  <c r="G1797" i="1"/>
  <c r="H1797" i="1"/>
  <c r="G1798" i="1"/>
  <c r="H1798" i="1"/>
  <c r="G1799" i="1"/>
  <c r="H1799" i="1"/>
  <c r="G1800" i="1"/>
  <c r="H1800" i="1"/>
  <c r="H2" i="1" l="1"/>
  <c r="G2" i="1"/>
</calcChain>
</file>

<file path=xl/sharedStrings.xml><?xml version="1.0" encoding="utf-8"?>
<sst xmlns="http://schemas.openxmlformats.org/spreadsheetml/2006/main" count="3784" uniqueCount="1947">
  <si>
    <t xml:space="preserve">CODIGO </t>
  </si>
  <si>
    <t>PRODUTO</t>
  </si>
  <si>
    <t xml:space="preserve">ESTOQUE </t>
  </si>
  <si>
    <t xml:space="preserve">SEPARADO </t>
  </si>
  <si>
    <t xml:space="preserve">V.MÊS ATUAL </t>
  </si>
  <si>
    <t xml:space="preserve">ACEM BOVINO FRIGODIAS KG                </t>
  </si>
  <si>
    <t xml:space="preserve">ACEM BOVINO FRIGORAÇA KG                </t>
  </si>
  <si>
    <t>ACEM BOVINO FRISA KG</t>
  </si>
  <si>
    <t>21800-0</t>
  </si>
  <si>
    <t xml:space="preserve">ACEM BOVINO MATOSO KG                   </t>
  </si>
  <si>
    <t xml:space="preserve">ACEM BOVINO PCT FRIGOLESTE KG           </t>
  </si>
  <si>
    <t xml:space="preserve">ACEM BOVINO PCT MATOSO KG               </t>
  </si>
  <si>
    <t xml:space="preserve">AGUA COCO DUCOCO CX/12X1LT              </t>
  </si>
  <si>
    <t xml:space="preserve">AGUA COCO DUCOCO CX/27X200ML            </t>
  </si>
  <si>
    <t>AGUA COCO F. VERMELHA SOCOCO CX\24X200ML</t>
  </si>
  <si>
    <t>AGUA COCO INTEGRAL SOCOCO CX\12X1000 ML</t>
  </si>
  <si>
    <t>AGUA COCO INTEGRAL SOCOCO CX\24X200ML</t>
  </si>
  <si>
    <t>AGUA COCO JUQ INTEGRAL CX24X200ML</t>
  </si>
  <si>
    <t>AGUA COCO MAIS COCO CX\12X1000ML</t>
  </si>
  <si>
    <t>AGUA COCO MAIS COCO CX\24X200ML</t>
  </si>
  <si>
    <t xml:space="preserve">AGUA COCO MARACUJA SOCOCO CX\24X200ML   </t>
  </si>
  <si>
    <t xml:space="preserve">AGUA COCO MELANCIA SOCOCO CX\24X200ML   </t>
  </si>
  <si>
    <t xml:space="preserve">AGUA COCO TANGERINA SOCOCO CX\24X200ML  </t>
  </si>
  <si>
    <t>.</t>
  </si>
  <si>
    <t xml:space="preserve">AGUA COCO UVA SOCOCO CX\24X200ML        </t>
  </si>
  <si>
    <t>,</t>
  </si>
  <si>
    <t xml:space="preserve">AGUA COCO VITCOCO CX/12X1LT             </t>
  </si>
  <si>
    <t xml:space="preserve">AGUA COCO VITCOCO CX/24X200ML           </t>
  </si>
  <si>
    <t xml:space="preserve">AGUA COCO VITCOCO LATA CX/15X269ML      </t>
  </si>
  <si>
    <t>12129-0</t>
  </si>
  <si>
    <t>ALCATRA SUINA TEMPERADA MELLORE KG</t>
  </si>
  <si>
    <t xml:space="preserve">ALMONDEGA CARNE BOVINA SEARA CX\12X500G </t>
  </si>
  <si>
    <t>ALMONDEGA INCRIVEL LUVA SEARA CX\10X256G</t>
  </si>
  <si>
    <t>AMEIXA S/CAROCO POTE TOZZI 12X200GR</t>
  </si>
  <si>
    <t>AMEIXA S/CAROCO SACHE TOZZI 24X70GR</t>
  </si>
  <si>
    <t>AMEIXA S/CAROÇO TOZZI CX\10KG</t>
  </si>
  <si>
    <t xml:space="preserve">ANEIS CEBOLA BEM BRASIL 16X400GR        </t>
  </si>
  <si>
    <t xml:space="preserve">APRESUNTADO AURORA 3,7 KG               </t>
  </si>
  <si>
    <t xml:space="preserve">APRESUNTADO FRISA RETANGULAR 3,6KG      </t>
  </si>
  <si>
    <t xml:space="preserve">APRESUNTADO PIF PAF RETANGULAR 3,8KG    </t>
  </si>
  <si>
    <t>50000-0</t>
  </si>
  <si>
    <t xml:space="preserve">APRESUNTADO PREMIADA CX\2X4KG           </t>
  </si>
  <si>
    <t xml:space="preserve">APRESUNTADO SEARA FATIADO CX/22X180GR   </t>
  </si>
  <si>
    <t>APRESUNTADO SEARA RETANGULAR 3,4KG</t>
  </si>
  <si>
    <t xml:space="preserve">ASA FRANGO BANDEJA PIF PAF CX\12X1KG    </t>
  </si>
  <si>
    <t xml:space="preserve">ASA FRANGO BANDEJA RIVELLI CX.12X1KG    </t>
  </si>
  <si>
    <t>ASA FRANGO ENVELOPADA ATALAIA CX\20KG</t>
  </si>
  <si>
    <t>ASA FRANGO ENVELOPADA AVE NOVA CX\20KG</t>
  </si>
  <si>
    <t>ASA FRANGO ENVELOPADA FRANCAP CX\20KG</t>
  </si>
  <si>
    <t>ASA FRANGO ENVELOPADA LAR CX\18KG</t>
  </si>
  <si>
    <t>ASA FRANGO ENVELOPADA REAL CX\20KG</t>
  </si>
  <si>
    <t>ASA FRANGO INTERFOLHADA AURORA CX\15KG</t>
  </si>
  <si>
    <t>ASA FRANGO INTERFOLHADA FERREIRA CX\20KG</t>
  </si>
  <si>
    <t>ASA FRANGO INTERFOLHADA FRANCAP CX\20KG</t>
  </si>
  <si>
    <t>ASA FRANGO INTERFOLHADA FREDINI CX\20KG</t>
  </si>
  <si>
    <t>ASA FRANGO INTERFOLHADA FRIAL CX\20KG</t>
  </si>
  <si>
    <t>ASA FRANGO INTERFOLHADA PERDIGAO CX\15KG</t>
  </si>
  <si>
    <t>ASA FRANGO INTERFOLHADA REAL CX\20KG</t>
  </si>
  <si>
    <t>ASA FRANGO INTERFOLHADA SEARA CX\15KG</t>
  </si>
  <si>
    <t>ASA FRANGO PCT ATALAIA CX\20KG</t>
  </si>
  <si>
    <t>ASA FRANGO PCT AVE NOVA CX\20KG</t>
  </si>
  <si>
    <t>ASA FRANGO PCT FERREIRA CX\20KG</t>
  </si>
  <si>
    <t>ASA FRANGO PCT FRANCAP CX\20KG</t>
  </si>
  <si>
    <t>ASA FRANGO PCT FREDINI CX\20KG</t>
  </si>
  <si>
    <t>ASA FRANGO PCT FRIAL CX\20KG</t>
  </si>
  <si>
    <t>ASA FRANGO PCT PIF PAF CX\20KG</t>
  </si>
  <si>
    <t>ASA FRANGO PCT REAL CX\20KG</t>
  </si>
  <si>
    <t>ASA PERU INTERFOLHADA PERDIGAO CX\10KG</t>
  </si>
  <si>
    <t>ASA PERU INTERFOLHADA PERDIGAO KG</t>
  </si>
  <si>
    <t>ASA PERU PCT PERDIGAO CX\15KG</t>
  </si>
  <si>
    <t>ASA PERU PCT PERDIGAO KG</t>
  </si>
  <si>
    <t xml:space="preserve">AVE BRISCKER REZENDE KG  951153         </t>
  </si>
  <si>
    <t xml:space="preserve">AVE BRUSTER CONGELADO KG 950586         </t>
  </si>
  <si>
    <t>AVE FIESTA ASSA FACIL SEARA  KG   688657</t>
  </si>
  <si>
    <t xml:space="preserve">AVE FIESTA MEDITERRANEO SEARA KG  43375 </t>
  </si>
  <si>
    <t xml:space="preserve">AVE FIESTA ORGANICO SEARA KG  41364     </t>
  </si>
  <si>
    <t>AVE FIESTA S\O RECHEADA ASSA FÁCIL SEARA</t>
  </si>
  <si>
    <t xml:space="preserve">AVE FIESTA SEARA ASSA FACIL KG          </t>
  </si>
  <si>
    <t xml:space="preserve">AVE FIESTA SEARA DESOSSADO KG           </t>
  </si>
  <si>
    <t xml:space="preserve">AVE FIESTA SEARA KG  951137             </t>
  </si>
  <si>
    <t xml:space="preserve">AVE MASTER BIG FRANGO  KG               </t>
  </si>
  <si>
    <t xml:space="preserve">AVE NATALINA GRAN AVE SEARA KG 124061   </t>
  </si>
  <si>
    <t xml:space="preserve">AZEITE COCINEIRO EXTRA VIRGEM 6X250ML   </t>
  </si>
  <si>
    <t xml:space="preserve">AZEITE COCINEIRO EXTRA VIRGEM 6X500ML   </t>
  </si>
  <si>
    <t>AZEITONA</t>
  </si>
  <si>
    <t>AZEITONA SACHE FATIADA OLE 36X120GR</t>
  </si>
  <si>
    <t>AZEITONA SACHE FATIADA PREDILECTA 24X120G</t>
  </si>
  <si>
    <t>AZEITONA SACHE FATIADA STELLA D`ORO 24X120G</t>
  </si>
  <si>
    <t>AZEITONA SACHE FATIADA TOZZI 24X80GR</t>
  </si>
  <si>
    <t>AZEITONA SACHE LA VIOLETERA CX/6X1,01KG</t>
  </si>
  <si>
    <t>AZEITONA SACHE PREDILECTA CX/24X100G</t>
  </si>
  <si>
    <t>AZEITONA SACHE S/CAROÇO STELLA CX/24X120</t>
  </si>
  <si>
    <t>AZEITONA SACHE S/CAROCO TOZZI  24X80GR</t>
  </si>
  <si>
    <t>AZEITONA SACHE S\CAROCO PREDILECTA CX\24X120GR</t>
  </si>
  <si>
    <t>AZEITONA SACHE STELLA D´ORO CX/24X100KG</t>
  </si>
  <si>
    <t>AZEITONA SACHE TOZZI  24X80GR</t>
  </si>
  <si>
    <t>AZEITONA VIDRO  ZAVO CX\12X500GR</t>
  </si>
  <si>
    <t>AZEITONA VIDRO GRAN OLIVO CX\12X500GR</t>
  </si>
  <si>
    <t>AZEITONA VIDRO LA PREFERIDA 12X500GR</t>
  </si>
  <si>
    <t>AZEITONA VIDRO OLE CX\12X100GR</t>
  </si>
  <si>
    <t>AZEITONA VIDRO PREDILECTA CX/24X100G</t>
  </si>
  <si>
    <t>AZEITONA VIDRO STELLA D´ORO CX/24X100KG</t>
  </si>
  <si>
    <t>BACALHAU CONGELADO LOMBO SAITHE CX/10X1K</t>
  </si>
  <si>
    <t xml:space="preserve">BACALHAU DESFIADO SEARA CX/12X400GR     </t>
  </si>
  <si>
    <t xml:space="preserve">BACALHAU LOMBO BACALANO CX/12X800GR     </t>
  </si>
  <si>
    <t xml:space="preserve">BACALHAU LOMBO CAIXAMAR CX/9X1KG        </t>
  </si>
  <si>
    <t>BACALHAU MACRO LASCAS SALGADO  20X500GR</t>
  </si>
  <si>
    <t>BACALHAU SAITHE  10/12 CX\25KG</t>
  </si>
  <si>
    <t>BACALHAU SAITHE  7/9 CX\25KG</t>
  </si>
  <si>
    <t xml:space="preserve">BACON CUBOS IMPERATRIZ  CX/10X1KG       </t>
  </si>
  <si>
    <t>BACON CUBOS REZENDE CX/12X700GR</t>
  </si>
  <si>
    <t>BACON CUBOS SABOR MINEIRO CX/20X1KG</t>
  </si>
  <si>
    <t>BACON CUBOS SEALI CX\20X1KG</t>
  </si>
  <si>
    <t>BACON CUBOS SEARA GOURMET CX/24X140GR</t>
  </si>
  <si>
    <t>BACON CUBOS TROPEIRA 10X200GR</t>
  </si>
  <si>
    <t>BACON CUBOS UAI CX/10X1KG</t>
  </si>
  <si>
    <t xml:space="preserve">BACON FATIAS GOURMET SEARA CX/20X250GR  </t>
  </si>
  <si>
    <t xml:space="preserve">BACON FATIAS REZENDE CX/12X650GR        </t>
  </si>
  <si>
    <t xml:space="preserve">BACON MANTA GRÃ-FILÉ KG                 </t>
  </si>
  <si>
    <t xml:space="preserve">BACON MANTA LEBON KG                    </t>
  </si>
  <si>
    <t>BACON MANTA PIF PAF CX10KG</t>
  </si>
  <si>
    <t xml:space="preserve">BACON MANTA SEARA KG                    </t>
  </si>
  <si>
    <t>BACON MANTA SEM PELE UAI KG</t>
  </si>
  <si>
    <t xml:space="preserve">BACON MANTA UAI KG                      </t>
  </si>
  <si>
    <t>40060-0</t>
  </si>
  <si>
    <t xml:space="preserve">BACON PALETA  MELLORE  KG               </t>
  </si>
  <si>
    <t>4080003-0</t>
  </si>
  <si>
    <t xml:space="preserve">BACON PALETA ADEEL KG                   </t>
  </si>
  <si>
    <t xml:space="preserve">BACON PALETA IMPERATRIZ  KG             </t>
  </si>
  <si>
    <t>BACON PALETA PIF PAF CX\20KG</t>
  </si>
  <si>
    <t xml:space="preserve">BACON PALETA SEALI KG                   </t>
  </si>
  <si>
    <t xml:space="preserve">BACON PALETA SEARA KG                   </t>
  </si>
  <si>
    <t xml:space="preserve">BACON PALETA SEM PELE UAI KG            </t>
  </si>
  <si>
    <t xml:space="preserve">BACON PALETA UAI KG                     </t>
  </si>
  <si>
    <t>BACON PEDACOS REZENDE KG</t>
  </si>
  <si>
    <t>BACON PEDACOS SEARA KG</t>
  </si>
  <si>
    <t>4080002-0</t>
  </si>
  <si>
    <t xml:space="preserve">BACON PERNIL ADEEL KG                   </t>
  </si>
  <si>
    <t xml:space="preserve">BACON PERNIL TROPEIRA PCT 5KG           </t>
  </si>
  <si>
    <t xml:space="preserve">BACON PERNIL UAI KG                     </t>
  </si>
  <si>
    <t xml:space="preserve">BANHA ALIBEM CX\18KG                    </t>
  </si>
  <si>
    <t xml:space="preserve">BANHA POTE AURORA CX\12X450G            </t>
  </si>
  <si>
    <t xml:space="preserve">BANHA SADIA CX\18X500KG                 </t>
  </si>
  <si>
    <t xml:space="preserve">BANHA SEARA CX\18KG                     </t>
  </si>
  <si>
    <t xml:space="preserve">BANHA UAI DAS GERAIS POTE CX/24X400GR   </t>
  </si>
  <si>
    <t xml:space="preserve">BANHA UAI DAS GERAIS POTE CX\6X1,8KG    </t>
  </si>
  <si>
    <t xml:space="preserve">BANHA UAI DAS GERAIS POTE CX12X800G     </t>
  </si>
  <si>
    <t>BARRA CEREAL AVELA CHOCOLATE NUTRY 24X22G</t>
  </si>
  <si>
    <t>BARRA CEREAL BOLO CHOCOLATE NUTRY 24X22G</t>
  </si>
  <si>
    <t>BARRA CEREAL CAJU CHOCOLATE  NUTRY 24X22G</t>
  </si>
  <si>
    <t>BARRA CEREAL COCO CHOCOLATE NUTRY 24X22G</t>
  </si>
  <si>
    <t>BARRA CEREAL FRUTAS VERMELHAS NUTRY  24X22G</t>
  </si>
  <si>
    <t>BARRA CEREAL MORANGO CHOCOLATE NUTRY  24X22G</t>
  </si>
  <si>
    <t>BARRA NUTS CACAU NUTRY 12X25G</t>
  </si>
  <si>
    <t>BARRA NUTS CLASSICA NUTRY  12X25G</t>
  </si>
  <si>
    <t>BARRA NUTS COCO NUTRY 12X25G</t>
  </si>
  <si>
    <t>BARRA NUTS CRANBERRY  NUTRY 12X25G</t>
  </si>
  <si>
    <t>BARRA NUTS SEMENTES NUTRY 12X25G</t>
  </si>
  <si>
    <t>BARRA PROTEIN COOKIES NUTRY 12X30G</t>
  </si>
  <si>
    <t>BARRA PROTEIN PASTA AMENDOIM NUTRY 12X30G</t>
  </si>
  <si>
    <t>BARRA PROTEIN TRUFA DE AVELA NUTRY 12X30G</t>
  </si>
  <si>
    <t>BARRIGA SUINA DIMELHOR KG</t>
  </si>
  <si>
    <t>60091-0</t>
  </si>
  <si>
    <t xml:space="preserve">BARRIGA SUINA GRAND MINAS CONG CX/KG    </t>
  </si>
  <si>
    <t>BARRIGA SUINA MANTA ATALAIA KG</t>
  </si>
  <si>
    <t>120508-0</t>
  </si>
  <si>
    <t xml:space="preserve">BARRIGA SUINA MANTA SAUDALI CX/22KG     </t>
  </si>
  <si>
    <t xml:space="preserve">BARRIGA SUINA SEARA KG                  </t>
  </si>
  <si>
    <t>170762-0</t>
  </si>
  <si>
    <t xml:space="preserve">BARRIGA SUINA TEMP GRAND MINAS CX/KG    </t>
  </si>
  <si>
    <t>BARRIGA SUINA TEMP. DIMELHOR KG</t>
  </si>
  <si>
    <t xml:space="preserve">BARRIGA SUINA TEMP. SEALI CX/KG         </t>
  </si>
  <si>
    <t xml:space="preserve">BARRIGA SUINA TEMP. SUINCO CX/15KG      </t>
  </si>
  <si>
    <t>BARRIGA SUINA TEMPERADA MELLORE KG</t>
  </si>
  <si>
    <t>BATATA P.FRITA 7MM QUALITY FRIES CX\6X2KG</t>
  </si>
  <si>
    <t xml:space="preserve">BATATA P.FRITA B.BRASIL RUSTICA 14X1KG  </t>
  </si>
  <si>
    <t xml:space="preserve">BATATA P.FRITA BEM BRASIL 14X1,05KG     </t>
  </si>
  <si>
    <t>BATATA P.FRITA BEM BRASIL CX\36X400G</t>
  </si>
  <si>
    <t>BATATA P.FRITA BOBS FININHA CX\10X1,05KG</t>
  </si>
  <si>
    <t xml:space="preserve">BATATA P.FRITA BRASIL CRINKLE 12X1KG    </t>
  </si>
  <si>
    <t xml:space="preserve">BATATA P.FRITA CRINKLE BEM BRASIL 6X2KG </t>
  </si>
  <si>
    <t>BATATA P.FRITA CRINKLE QUALITY FRIES 6X2KG</t>
  </si>
  <si>
    <t>CO217108</t>
  </si>
  <si>
    <t>BATATA P.FRITA CROQUES CRINKLE 10X1,010G</t>
  </si>
  <si>
    <t>CO215108</t>
  </si>
  <si>
    <t xml:space="preserve">BATATA P.FRITA CROQUES CX/10X1,010KG    </t>
  </si>
  <si>
    <t>CO211108</t>
  </si>
  <si>
    <t xml:space="preserve">BATATA P.FRITA CROQUES CX/26X375GR      </t>
  </si>
  <si>
    <t>CO216108</t>
  </si>
  <si>
    <t xml:space="preserve">BATATA P.FRITA CROQUES CX/5X2KG         </t>
  </si>
  <si>
    <t xml:space="preserve">BATATA P.FRITA FAST FOOD B.BRASIL 6X2KG </t>
  </si>
  <si>
    <t xml:space="preserve">BATATA P.FRITA FAST FOOD B.BRASIL 7X2K  </t>
  </si>
  <si>
    <t xml:space="preserve">BATATA P.FRITA FININHA B.BRASIL 20X700  </t>
  </si>
  <si>
    <t xml:space="preserve">BATATA P.FRITA MAIS BATATA  36X400GR    </t>
  </si>
  <si>
    <t xml:space="preserve">BATATA P.FRITA MAIS BATATA  7X2KG       </t>
  </si>
  <si>
    <t xml:space="preserve">BATATA P.FRITA MAIS BATATA 14X1KG       </t>
  </si>
  <si>
    <t xml:space="preserve">BATATA P.FRITA NOBRE 7X2KG              </t>
  </si>
  <si>
    <t xml:space="preserve">BATATA P.FRITA PIF PAF  24X400GR        </t>
  </si>
  <si>
    <t xml:space="preserve">BATATA P.FRITA PIF PAF CX/10X1,05KG     </t>
  </si>
  <si>
    <t xml:space="preserve">BATATA P.FRITA PIF PAF CX/25X400GR      </t>
  </si>
  <si>
    <t xml:space="preserve">BATATA P.FRITA PIF PAF CX/5X2KG         </t>
  </si>
  <si>
    <t>BATATA P.FRITA QUALITY FRIES CX\10X1,050KG</t>
  </si>
  <si>
    <t>BATATA P.FRITA QUALITY FRIES CX\25X400GR</t>
  </si>
  <si>
    <t>BATATA P.FRITA QUALITY FRIES CX\6X2KG</t>
  </si>
  <si>
    <t xml:space="preserve">BATATA P.FRITA REZENDE CX/25X400GR      </t>
  </si>
  <si>
    <t xml:space="preserve">BATATA P.FRITA RUSTICA B.BRASIL 6X2,5KG </t>
  </si>
  <si>
    <t xml:space="preserve">BATATA P.FRITA SEARA CX/24X400GR        </t>
  </si>
  <si>
    <t xml:space="preserve">BATATA P.FRITA SEARA CX/25X400GR        </t>
  </si>
  <si>
    <t xml:space="preserve">BATATA P.FRITA SEARA CX\5X2KG           </t>
  </si>
  <si>
    <t xml:space="preserve">BATATA P.FRITA T.MONICA SEARA 24X400GR  </t>
  </si>
  <si>
    <t xml:space="preserve">BATATA PALHA CELIA  CX/12X800G          </t>
  </si>
  <si>
    <t xml:space="preserve">BATATA PALHA CELIA  CX/20X100G          </t>
  </si>
  <si>
    <t xml:space="preserve">BATATA PALHA CELIA  CX/20X400G          </t>
  </si>
  <si>
    <t>BATATA PALHA CELIA EXTRA-FINA CX/20X100G</t>
  </si>
  <si>
    <t>BATATA PALHA CHEF 1KG</t>
  </si>
  <si>
    <t>BATATA PALHA CHEF 400GR</t>
  </si>
  <si>
    <t>BATATA PALHA EXTRA FINA CHEF 1KG</t>
  </si>
  <si>
    <t>BATATA PALHA EXTRA FINA CHEF 400GR</t>
  </si>
  <si>
    <t>BATATA PALHA EXTRA FINA OURO MINAS 400GR</t>
  </si>
  <si>
    <t>BATATA PALHA EXTRA FINA OURO MINAS 40X120G</t>
  </si>
  <si>
    <t>BATATA PALHA EXTRA FINA OURO MINAS 900GR</t>
  </si>
  <si>
    <t>BATATA PALHA MAGU 300GR</t>
  </si>
  <si>
    <t xml:space="preserve">BATATA PALHA MAGU FD/30X100GR           </t>
  </si>
  <si>
    <t xml:space="preserve">BATATA PALHA OURO MINAS 40X120G         </t>
  </si>
  <si>
    <t>BEB.FARINHA LACTEA IBITURANA CX\27X200ML</t>
  </si>
  <si>
    <t>BEB.LACTEA BLACK CEMIL CX\27X200ML</t>
  </si>
  <si>
    <t>BEB.LACTEA CAPPUCCINO CEMIL CX\27X190ML</t>
  </si>
  <si>
    <t>BEB.LACTEA CHOCOLATE ALEGRINHO CX\12X1LT</t>
  </si>
  <si>
    <t>BEB.LACTEA CHOCOLATE ALEGRINHO CX27/200</t>
  </si>
  <si>
    <t xml:space="preserve">BEB.LACTEA CHOCOLATE CEMIL CX\12X1LT    </t>
  </si>
  <si>
    <t>BEB.LACTEA CHOCOLATE CEMIL CX\27/200ML</t>
  </si>
  <si>
    <t>BEB.LACTEA CHOCOLATE DAMARE KIDS  24X200GR</t>
  </si>
  <si>
    <t xml:space="preserve">BEB.LACTEA CHOCOLATE IBITURUNA 27X200GR </t>
  </si>
  <si>
    <t>BEB.LACTEA CHOCOLATE IBITURUNA CX\12X1LT</t>
  </si>
  <si>
    <t xml:space="preserve">BEB.LACTEA CHOCOLATE MOCOCA 27X200GR    </t>
  </si>
  <si>
    <t>BEB.LACTEA CHOCOLATE PIRAKIDS CX/27X200M</t>
  </si>
  <si>
    <t>BEB.LACTEA CHOCOLATE QUATA CX/27X180ML</t>
  </si>
  <si>
    <t xml:space="preserve">BEB.LACTEA CHOCOLATE QUATA CX\27UND     </t>
  </si>
  <si>
    <t>BEB.LACTEA MORANGO ALEGRINHO CX27/200ML</t>
  </si>
  <si>
    <t xml:space="preserve">BEB.LACTEA MORANGO CEMIL 27X200GR       </t>
  </si>
  <si>
    <t>BEB.LACTEA MORANGO DAMARE KIDS  24X200GR</t>
  </si>
  <si>
    <t xml:space="preserve">BEB.LACTEA MORANGO IBITURUNA 12X1LT     </t>
  </si>
  <si>
    <t xml:space="preserve">BEB.LACTEA MORANGO IBITURUNA 27X200ML   </t>
  </si>
  <si>
    <t xml:space="preserve">BEB.LACTEA SUCOMILHO CEMIL 27X200ML     </t>
  </si>
  <si>
    <t>BEEF BOURGUIGNON SEARA GOURMET CX/6X500G</t>
  </si>
  <si>
    <t>BISTECA SUINA 4 FATIADA SEARA CXKG</t>
  </si>
  <si>
    <t>33001-0</t>
  </si>
  <si>
    <t>BISTECA SUINA ATALAIA  KG</t>
  </si>
  <si>
    <t xml:space="preserve">BISTECA SUINA AURORA CX/8KG PCT         </t>
  </si>
  <si>
    <t xml:space="preserve">BISTECA SUINA AURORA CX\3KG             </t>
  </si>
  <si>
    <t xml:space="preserve">BISTECA SUINA IMPERATRIZ CX/20KG        </t>
  </si>
  <si>
    <t>BISTECA SUINA PCT SADIA KG</t>
  </si>
  <si>
    <t xml:space="preserve">BISTECA SUINA PIF PAF CX/5KG            </t>
  </si>
  <si>
    <t xml:space="preserve">BISTECA SUINA SADIA CX/10KG             </t>
  </si>
  <si>
    <t xml:space="preserve">BISTECA SUINA SEARA CX/15KG             </t>
  </si>
  <si>
    <t>BOLINHO CARNE SUINA EMPAPANADO 16X270G</t>
  </si>
  <si>
    <t xml:space="preserve">BOLINHO DE BACALHAU SEARA CX\12X300GR   </t>
  </si>
  <si>
    <t>BROCOLIS FLORETE NATURE SEARA CX/10X1,05</t>
  </si>
  <si>
    <t xml:space="preserve">BROCOLIS FLORETENATURE SEARA CX/16X300G </t>
  </si>
  <si>
    <t xml:space="preserve">BURRITO DE COSTELA SEARA CX\18X100G     </t>
  </si>
  <si>
    <t xml:space="preserve">BURRITO FRANGO\REQUEIJAO SEARA 18X100GR </t>
  </si>
  <si>
    <t xml:space="preserve">BURRITO PIZZA SEARA CX\18X100           </t>
  </si>
  <si>
    <t>CAMARAO SEARA S/ CAB 40/55 CX\14X200G</t>
  </si>
  <si>
    <t>6048-0</t>
  </si>
  <si>
    <t>CAPA CONTRA FILE BOVINA ALIMENTAR KG</t>
  </si>
  <si>
    <t>CAPA CONTRA FILE BOVINA DICASA KG</t>
  </si>
  <si>
    <t>CAPA CONTRA FILE BOVINA FRIGODIAS KG</t>
  </si>
  <si>
    <t>CAPA FILE PCT BOVINA CARA BRANCA KG</t>
  </si>
  <si>
    <t>CARNE BOVINA MOIDA ALIFOODS 30X500G</t>
  </si>
  <si>
    <t>CARNE BOVINA MOIDA BELLO CORTE 15X1KG</t>
  </si>
  <si>
    <t>CARNE BOVINA MOIDA FRIGODIAS 12X1KG</t>
  </si>
  <si>
    <t>CARNE BOVINA MOIDA FRIGODIAS 25X1KG</t>
  </si>
  <si>
    <t>CARNE BOVINA MOIDA FRISA  12X1KG</t>
  </si>
  <si>
    <t>CARNE BOVINA MOIDA FRISA 12X1KG</t>
  </si>
  <si>
    <t>CARNE BOVINA MOIDA GRANFILE 24X500GR</t>
  </si>
  <si>
    <t>CARNE BOVINA MOIDA PALADAR 24X1KG</t>
  </si>
  <si>
    <t>CARNE BOVINA MOIDA PIF PAF 15X1KG</t>
  </si>
  <si>
    <t>CARNE BOVINA MOIDA PIF PAF 24X500GR</t>
  </si>
  <si>
    <t>CARNE BOVINA MOIDA TUDBOM PLENA 15X1KG</t>
  </si>
  <si>
    <t>CARNE BOVINA MOIDA TUDBOM PLENA 24X500G</t>
  </si>
  <si>
    <t xml:space="preserve">CARNE CMS FRANGO FRANCAP CX/20KG        </t>
  </si>
  <si>
    <t xml:space="preserve">CARNE MATAMBRE BOVINA FRICAL KG         </t>
  </si>
  <si>
    <t xml:space="preserve">CARRE SUINO AURORA KG                   </t>
  </si>
  <si>
    <t xml:space="preserve">CARRE SUINO SADIA CX\20KG               </t>
  </si>
  <si>
    <t xml:space="preserve">CARRE SUINO SADIA CX\KG                 </t>
  </si>
  <si>
    <t xml:space="preserve">CARRE SUINO SEARA KG                    </t>
  </si>
  <si>
    <t xml:space="preserve">CEBOLA PICADA SEARA NATURE CX/18X300GR  </t>
  </si>
  <si>
    <t xml:space="preserve">CHICKEN BITS REZENDE CX/16X300GR        </t>
  </si>
  <si>
    <t xml:space="preserve">CHICKEN BITS REZENDE CX\5X1KG           </t>
  </si>
  <si>
    <t xml:space="preserve">CHICKEN CRISPY QUEIJO SEARA CX\16X300G  </t>
  </si>
  <si>
    <t xml:space="preserve">CHICKEN CRISPY SEARA CX/16X300GR        </t>
  </si>
  <si>
    <t xml:space="preserve">CHICKEN CROC CROCANT LEBON 12X300       </t>
  </si>
  <si>
    <t xml:space="preserve">CHICKEN CROC CROCANT LEBON 5X1KG        </t>
  </si>
  <si>
    <t>CHICKEN CROC QUEIJO CROCANT LEBON 12X300</t>
  </si>
  <si>
    <t>CHICKEN SUPREME 2MOLHOS CX\12X220GR</t>
  </si>
  <si>
    <t xml:space="preserve">CHICKEN SUPREME BURGER SEARA CX/3X2KG   </t>
  </si>
  <si>
    <t xml:space="preserve">CHICKEN SUPREME SEARA CX/16X300GR       </t>
  </si>
  <si>
    <t>CHICKEN SUPREME SEARA CX/5X900G</t>
  </si>
  <si>
    <t xml:space="preserve">CHICKEN SUPREME SEARA CX\2X2,5KG        </t>
  </si>
  <si>
    <t xml:space="preserve">CHORIZO FRIGODIAS BOVINO KG             </t>
  </si>
  <si>
    <t xml:space="preserve">CHUCK TENDER BOVINO FRIGODIAS KG        </t>
  </si>
  <si>
    <t>COCO ADOÇADO DUCOCO 1KG</t>
  </si>
  <si>
    <t>COCO FLOCOS DUCOCO 1KG</t>
  </si>
  <si>
    <t xml:space="preserve">COCO FLOCOS SWEET SOCOCO FD/12X1KG      </t>
  </si>
  <si>
    <t>COCO FLOCOS UMIDO ADOC. MENINA CX\24X100</t>
  </si>
  <si>
    <t xml:space="preserve">COCO RALADO MENINA CX/24X100GR          </t>
  </si>
  <si>
    <t xml:space="preserve">COCO RALADO MENINA CX/48X50GR           </t>
  </si>
  <si>
    <t>21857-0</t>
  </si>
  <si>
    <t>CONTRA FILE ANCHO BOVINO PCT MATOSO KG</t>
  </si>
  <si>
    <t>CONTRA FILE BOVINA CONCEPCION KG</t>
  </si>
  <si>
    <t xml:space="preserve">CONTRA FILE BOVINA FRIGORAÇA KG         </t>
  </si>
  <si>
    <t>CONTRA FILE BOVINO FRISA KG</t>
  </si>
  <si>
    <t>CONTRA FILE CHEF PCT BOVINO PLENA KG</t>
  </si>
  <si>
    <t>4067-0</t>
  </si>
  <si>
    <t>CONTRA FILE GRILL BOVINA BOA CARNE KG</t>
  </si>
  <si>
    <t>CONTRA FILE GRILL BOVINO FRIGODIAS KG</t>
  </si>
  <si>
    <t>21839-0</t>
  </si>
  <si>
    <t xml:space="preserve">CONTRA FILE GRILL BOVINO MATOSO KG      </t>
  </si>
  <si>
    <t>COPA FATIADA SEARA GOURMET  24X80GR</t>
  </si>
  <si>
    <t xml:space="preserve">COPA LOMBO (SOBREPALETA) DIMELHOR KG    </t>
  </si>
  <si>
    <t>22220001-0</t>
  </si>
  <si>
    <t xml:space="preserve">COPA LOMBO SUINO DICASA KG              </t>
  </si>
  <si>
    <t xml:space="preserve">CORACAO FRANGO ALM SEARA CX\18X1KG      </t>
  </si>
  <si>
    <t xml:space="preserve">CORACAO FRANGO BANDEJA AURORA CX/12KG   </t>
  </si>
  <si>
    <t xml:space="preserve">CORACAO FRANGO BANDEJA PIF PAF CX\12KG  </t>
  </si>
  <si>
    <t xml:space="preserve">CORACAO FRANGO BANDEJA SEARA CX\12X1KG  </t>
  </si>
  <si>
    <t>CORACAO FRANGO PCT ATALAIA CX\20KG</t>
  </si>
  <si>
    <t xml:space="preserve">CORACAO FRANGO PCT AURORA CX/16KG       </t>
  </si>
  <si>
    <t xml:space="preserve">CORACAO FRANGO PCT FERREIRA CX/20KG     </t>
  </si>
  <si>
    <t>CORACAO FRANGO PCT FREDINE 20KG</t>
  </si>
  <si>
    <t xml:space="preserve">CORACAO FRANGO TEMP LAR CX\26X700G      </t>
  </si>
  <si>
    <t xml:space="preserve">CORACAO FRANGO TEMP SEARA CX\16X800G    </t>
  </si>
  <si>
    <t>4042-0</t>
  </si>
  <si>
    <t xml:space="preserve">CORDAO FILE MIGNON BOVINO ALIMENTAR KG  </t>
  </si>
  <si>
    <t xml:space="preserve">CORDAO FILE MIGNON FRIGODIAS  KG        </t>
  </si>
  <si>
    <t xml:space="preserve">COSTELA (RETALHO) SUINA SADIA CX/12KG   </t>
  </si>
  <si>
    <t>COSTELA ASSADO TIRAS BOVINO FRIGODIAS KG</t>
  </si>
  <si>
    <t xml:space="preserve">COSTELA BOVINA MINGA DICASA KG          </t>
  </si>
  <si>
    <t>1047-0</t>
  </si>
  <si>
    <t xml:space="preserve">COSTELA BOVINA PCT FRIGOLESTE KG        </t>
  </si>
  <si>
    <t xml:space="preserve">COSTELA BOVINA RIPA TIRAS DICASA  KG    </t>
  </si>
  <si>
    <t>21848-0</t>
  </si>
  <si>
    <t xml:space="preserve">COSTELA BOVINA TIRAS FRIGOMATOSO KG     </t>
  </si>
  <si>
    <t>131-0</t>
  </si>
  <si>
    <t xml:space="preserve">COSTELA BOVINA TIRAS GRILL FRICAL KG    </t>
  </si>
  <si>
    <t xml:space="preserve">COSTELA BOVINA TIRAS PALADAR KG         </t>
  </si>
  <si>
    <t>4040029-0</t>
  </si>
  <si>
    <t>COSTELA PASSARINHO PIF PAF CX\12X800GR</t>
  </si>
  <si>
    <t>COSTELA PASSARINHO TEMP. DIMELHOR 12X800GR</t>
  </si>
  <si>
    <t>COSTELA PASSARINHO TEMP. DIMELHOR 25X800GR</t>
  </si>
  <si>
    <t>COSTELA SUINA  EM TIRAS SEALI KG</t>
  </si>
  <si>
    <t>COSTELA SUINA APERITIVO FRICASA  CX/4X3KG</t>
  </si>
  <si>
    <t>COSTELA SUINA BARBECUE SEARA GOURMET CX\1X6KG</t>
  </si>
  <si>
    <t xml:space="preserve">COSTELA SUINA EM TIRAS PIF PAF CX/20KG  </t>
  </si>
  <si>
    <t>COSTELA SUINA FIO DE LOMBO IMPERATRIZ KG</t>
  </si>
  <si>
    <t>COSTELA SUINA PCT ADEEL KG</t>
  </si>
  <si>
    <t>2017-0</t>
  </si>
  <si>
    <t xml:space="preserve">COSTELA SUINA PCT FRIGOLESTE KG         </t>
  </si>
  <si>
    <t xml:space="preserve">COSTELA SUINA PCT PALADAR KG            </t>
  </si>
  <si>
    <t xml:space="preserve">COSTELA SUINA PIF PAF CX/20KG           </t>
  </si>
  <si>
    <t>COSTELA SUINA TEMP DIMELHOR  KG</t>
  </si>
  <si>
    <t>COSTELA SUINA TIRAS ATALAIA  KG</t>
  </si>
  <si>
    <t xml:space="preserve">COSTELA SUINA TIRAS CONG SEALI KG       </t>
  </si>
  <si>
    <t xml:space="preserve">COSTELA SUINA TIRAS DIMELHOR KG         </t>
  </si>
  <si>
    <t>COSTELA SUINA TIRAS GRAND MINAS KG</t>
  </si>
  <si>
    <t>COSTELA SUINA TIRAS PALADAR  KG</t>
  </si>
  <si>
    <t>121615-0</t>
  </si>
  <si>
    <t xml:space="preserve">COSTELA SUINA TIRAS SAUDALI  CX\22KG    </t>
  </si>
  <si>
    <t xml:space="preserve">COUVE-FLOR SEARA NATURE CX/18X300GR     </t>
  </si>
  <si>
    <t xml:space="preserve">COXA BANDEJA SEARA CX\12KG              </t>
  </si>
  <si>
    <t>COXA ENVELOPADA ATALAIA CX\20KG</t>
  </si>
  <si>
    <t xml:space="preserve">COXA ENVELOPADA AVE NOVA CX\20KG        </t>
  </si>
  <si>
    <t xml:space="preserve">COXA ENVELOPADA FRANGO REAL CX/20K      </t>
  </si>
  <si>
    <t>COXA INTERFOLHADA FREDINI CX/20KG</t>
  </si>
  <si>
    <t xml:space="preserve">COXA INTERFOLHADA PIF PAF CX/20KG       </t>
  </si>
  <si>
    <t>COXA IQF RIVELLI CX\18X900GR</t>
  </si>
  <si>
    <t xml:space="preserve">COXA IQF SEARA CX\12KG                  </t>
  </si>
  <si>
    <t>COXA PERU PCT PERDIGAO KG</t>
  </si>
  <si>
    <t xml:space="preserve">COXA PERU PERDIGAO CX\15KG              </t>
  </si>
  <si>
    <t>4118-0</t>
  </si>
  <si>
    <t>COXAO DURO BOVINO ALIMENTAR KG</t>
  </si>
  <si>
    <t xml:space="preserve">COXAO DURO BOVINO BRIOS KG              </t>
  </si>
  <si>
    <t>COXAO DURO BOVINO CARA BRANCA KG</t>
  </si>
  <si>
    <t>COXAO DURO BOVINO FRIALTO KG</t>
  </si>
  <si>
    <t xml:space="preserve">COXAO DURO BOVINO FRIGODIAS KG          </t>
  </si>
  <si>
    <t>COXAO DURO BOVINO FRISA KG</t>
  </si>
  <si>
    <t>21812-0</t>
  </si>
  <si>
    <t xml:space="preserve">COXAO DURO BOVINO MATOSO KG             </t>
  </si>
  <si>
    <t>COXAO DURO WAGYU BOVINO CARA PRETA KG</t>
  </si>
  <si>
    <t xml:space="preserve">COXAO MOLE  BOVINO MATOSO KG            </t>
  </si>
  <si>
    <t xml:space="preserve">COXAO MOLE BOVINA FRIGORAÇA KG          </t>
  </si>
  <si>
    <t xml:space="preserve">COXAO MOLE BOVINO BRIOS KG              </t>
  </si>
  <si>
    <t>COXAO MOLE BOVINO CARA BRANCA KG</t>
  </si>
  <si>
    <t>COXAO MOLE BOVINO FRIALTO  KG</t>
  </si>
  <si>
    <t xml:space="preserve">COXAO MOLE BOVINO FRIGODIAS  KG         </t>
  </si>
  <si>
    <t>COXAO MOLE BOVINO FRISA KG</t>
  </si>
  <si>
    <t xml:space="preserve">COXAO MOLE PCT BOVINO FRIGOLESTE KG     </t>
  </si>
  <si>
    <t xml:space="preserve">COXINHA DA ASA PCT AVE NOVA CX/25X800G  </t>
  </si>
  <si>
    <t xml:space="preserve">COXINHA DA ASA PCT PERDIGAO CX/16X1KG   </t>
  </si>
  <si>
    <t xml:space="preserve">COXINHA DA ASA PCT RIVELLI CX\12X1KG    </t>
  </si>
  <si>
    <t xml:space="preserve">COXINHA DA ASA TEMP  PIF PAF CX\12X1KG  </t>
  </si>
  <si>
    <t xml:space="preserve">COXINHA DA ASA TEMP AURORA CX\15X800G   </t>
  </si>
  <si>
    <t>4122-0</t>
  </si>
  <si>
    <t>COXINHA DA ASA TEMP. BIG FRANGO CX\18KG</t>
  </si>
  <si>
    <t xml:space="preserve">COXINHA DA ASA TEMP.RIVELLI CX\18X1KG   </t>
  </si>
  <si>
    <t>COXINHA DA ASA TEMPERADA IQF SEARA CX/12KG</t>
  </si>
  <si>
    <t>COXINHA EMPANADA APIMENTADA SEARA 12X400</t>
  </si>
  <si>
    <t xml:space="preserve">COXINHA EMPANADA SEARA CX/12X400GR      </t>
  </si>
  <si>
    <t xml:space="preserve">COXINHA EMPANADA SEARA CX/5X900GR       </t>
  </si>
  <si>
    <t>COXINHA MEIO ASA C/PONTA INTERF. H5 FOODS 15KG</t>
  </si>
  <si>
    <t>CREME AVELA\CACAU  TRIANGULO MINEIRO 10X170G</t>
  </si>
  <si>
    <t>CREME AVELA\CACAU TRIANGULO MINEIRO 12X300G</t>
  </si>
  <si>
    <t>CREME AVELA\CACAU TRIANGULO MINEIRO 3KG</t>
  </si>
  <si>
    <t>CREME CHANTILLY NORCAU 6X1LT</t>
  </si>
  <si>
    <t xml:space="preserve">CREME CHANTILLY RICCA CX\6X1LT          </t>
  </si>
  <si>
    <t>CREME CULINARIO DAMARE 27X200G</t>
  </si>
  <si>
    <t xml:space="preserve">CREME CULINARIO IBITURUNA CX\27X200GR   </t>
  </si>
  <si>
    <t xml:space="preserve">CREME CULINARIO TRIANGULO CX\27X200GR   </t>
  </si>
  <si>
    <t>CREME DE LEITE CEMIL CX\12X1,030KG</t>
  </si>
  <si>
    <t xml:space="preserve">CREME DE LEITE CEMIL CX\27X200GR        </t>
  </si>
  <si>
    <t>CREME DE LEITE LEVE 15% CEMIL CX\27X200G</t>
  </si>
  <si>
    <t>CREME DE LEITE LEVE DAMARE 27X200G</t>
  </si>
  <si>
    <t xml:space="preserve">CREME DE LEITE PIRACANJUBA  CX/27X200G  </t>
  </si>
  <si>
    <t xml:space="preserve">CREME DE LEITE QUATA CX\27X200GR        </t>
  </si>
  <si>
    <t xml:space="preserve">CREME DE LEITE TRIANGULO CX\27X200GR    </t>
  </si>
  <si>
    <t xml:space="preserve">CRISPY BURGER QUEIJO SEARA CX/2X1,3KG   </t>
  </si>
  <si>
    <t>1062-0</t>
  </si>
  <si>
    <t xml:space="preserve">CUPIM RECHEADO BOVINO FRIGOLESTE KG     </t>
  </si>
  <si>
    <t xml:space="preserve">CUPIM TEMP. BACON BOVINO PALADAR KG     </t>
  </si>
  <si>
    <t>DADINHO DE TAPIOCA PIF PAF CX\10X300G</t>
  </si>
  <si>
    <t>DOBRADINHA BOVINA CRUZEIRO DO SUL KG</t>
  </si>
  <si>
    <t>DOBRADINHA BOVINA DICASA KG</t>
  </si>
  <si>
    <t>5002-0</t>
  </si>
  <si>
    <t xml:space="preserve">DOBRADINHA BOVINA MATOSO KG             </t>
  </si>
  <si>
    <t>DOBRADINHA BOVINA PALADAR KG</t>
  </si>
  <si>
    <t xml:space="preserve">DOCE DE GOIABA CREMOSO VAL CX\24X400G   </t>
  </si>
  <si>
    <t>DOCE DE LEITE BALDE CRISTAULAT 4,6KG</t>
  </si>
  <si>
    <t>DOCE DE LEITE CRISTAULAT CX\18/400GR</t>
  </si>
  <si>
    <t xml:space="preserve">DOCE DE LEITE IBITURUNA CX\12X400G      </t>
  </si>
  <si>
    <t>DOCE DE LEITE ITA CX\6X400GR</t>
  </si>
  <si>
    <t xml:space="preserve">DOCE DE LEITE TRIANGULO MINEIRO 12X300G </t>
  </si>
  <si>
    <t xml:space="preserve">DOCE DE LEITE TRIANGULO MINEIRO 12X400G </t>
  </si>
  <si>
    <t xml:space="preserve">DORSO DE FRANGO AGROAVES CX/20KG        </t>
  </si>
  <si>
    <t>DORSO DE FRANGO ATALAIA CX/16KG</t>
  </si>
  <si>
    <t xml:space="preserve">DORSO DE FRANGO FREDINI CX/20KG         </t>
  </si>
  <si>
    <t>DUETO MILH\ERVIL AVAPOR RAMY LT CX/30X17</t>
  </si>
  <si>
    <t xml:space="preserve">EMPANADO TURMA DA MONICA CX\16X300      </t>
  </si>
  <si>
    <t xml:space="preserve">ERVILHA CONGELADA SEARA CX/18X300G      </t>
  </si>
  <si>
    <t xml:space="preserve">ERVILHA LATAO OLE CX\6X1,7KG            </t>
  </si>
  <si>
    <t xml:space="preserve">ERVILHA LATAO STELLA DORO CX\6X1,7KG    </t>
  </si>
  <si>
    <t xml:space="preserve">ERVILHA LT OLE CX\24X170GR              </t>
  </si>
  <si>
    <t xml:space="preserve">ERVILHA LT STELLA DORO CX\24X170GR      </t>
  </si>
  <si>
    <t xml:space="preserve">ESCONDIDINHO CALABRESA  SEARA CX\6X600G </t>
  </si>
  <si>
    <t>ESCONDIDINHO CARNE MOIDA SEARA CX\6X600G</t>
  </si>
  <si>
    <t xml:space="preserve">ESCONDIDINHO INCRIVEL SEARA CX\12X350GR </t>
  </si>
  <si>
    <t xml:space="preserve">ESPINHACO PACOTE SUINO IMPERATRIZ  KG   </t>
  </si>
  <si>
    <t>ESPINHACO SUINO DICASA KG</t>
  </si>
  <si>
    <t xml:space="preserve">ESPINHACO SUINO DIMELHOR KG             </t>
  </si>
  <si>
    <t>ESPINHACO SUINO MELLORE  KG</t>
  </si>
  <si>
    <t>ESPINHACO SUINO PACOTE ATALAIA KG</t>
  </si>
  <si>
    <t>01002-0</t>
  </si>
  <si>
    <t xml:space="preserve">ESPINHACO SUINO SUINCO CX/19KG          </t>
  </si>
  <si>
    <t xml:space="preserve">EXTRATO SACHE SALSARETTI  32X300GR      </t>
  </si>
  <si>
    <t>EXTRATO TOMATE ALHO/CEB SACCIALI 24X300G</t>
  </si>
  <si>
    <t>EXTRATO TOMATE ALHO/CEB SALSARETI 24X300</t>
  </si>
  <si>
    <t xml:space="preserve">EXTRATO TOMATE BOWL SALSARETTI  24X300G </t>
  </si>
  <si>
    <t xml:space="preserve">EXTRATO TOMATE COPO OLE CX/12X260G      </t>
  </si>
  <si>
    <t xml:space="preserve">EXTRATO TOMATE COPO OLE CX\12X190G      </t>
  </si>
  <si>
    <t xml:space="preserve">EXTRATO TOMATE SACCIALI CX/24X300GR     </t>
  </si>
  <si>
    <t>EXTRATO TOMATE SACHE SALSARETTI CX\6X1,7</t>
  </si>
  <si>
    <t xml:space="preserve">FEIJÃO COZIDO TEMP.LT FRISA CX\24X440GR </t>
  </si>
  <si>
    <t xml:space="preserve">FETTUCINE BOLONHESA SEARA CX/12X350GR   </t>
  </si>
  <si>
    <t>FETTUCINE LEVISS/BROCOLIS SEARA CX/12X350</t>
  </si>
  <si>
    <t>FIESTA NA CHURRASQUEIRA SEARA KG</t>
  </si>
  <si>
    <t>31-0</t>
  </si>
  <si>
    <t>5001-0</t>
  </si>
  <si>
    <t xml:space="preserve">FIGADO BOVINO FRIGOMATOSO KG            </t>
  </si>
  <si>
    <t>4033-0</t>
  </si>
  <si>
    <t xml:space="preserve">FIGADO BOVINO FRIGORAÇA KG              </t>
  </si>
  <si>
    <t>FIGADO BOVINO FRIVASA KG</t>
  </si>
  <si>
    <t xml:space="preserve">FIGADO DE FRANGO AGROAVES CX/20KG       </t>
  </si>
  <si>
    <t>FIGADO DE FRANGO ATALAIA CX/20KG</t>
  </si>
  <si>
    <t xml:space="preserve">FIGADO DE FRANGO FREDINI CX/20KG        </t>
  </si>
  <si>
    <t xml:space="preserve">FIGADO DE FRANGO REAL  CX\20KG          </t>
  </si>
  <si>
    <t xml:space="preserve">FILE COXA/SOBRECOXA BDJ RIVELLI 12X1KG  </t>
  </si>
  <si>
    <t xml:space="preserve">FILE COXA/SOBRECOXA PCT RIVELLI 18X1KG  </t>
  </si>
  <si>
    <t>FILE COXA\SOBRECOXA BDJ SEARA 12X1KG</t>
  </si>
  <si>
    <t xml:space="preserve">FILE DE COSTELA PLENA                   </t>
  </si>
  <si>
    <t>FILE FRANGO MILANESA  SEARA CX/28X100GR</t>
  </si>
  <si>
    <t>FILE FRANGO MILANESA SEARA CX/12X400GR</t>
  </si>
  <si>
    <t xml:space="preserve">FILÉ LOMBO SALMAO SEARA CX/14X500GR     </t>
  </si>
  <si>
    <t>MP0315</t>
  </si>
  <si>
    <t xml:space="preserve">FILE MERLUZA INTERF ARGENTINA CX\21KG   </t>
  </si>
  <si>
    <t xml:space="preserve">FILE MERLUZA IQF SEARA  CX\12X500G      </t>
  </si>
  <si>
    <t xml:space="preserve">FILE MERLUZA JESSY CX/20X500GR          </t>
  </si>
  <si>
    <t>FILE MERLUZA LITORAL PESCADO 20X800G</t>
  </si>
  <si>
    <t xml:space="preserve">FILE MERLUZA PCT LUZITANIA CX\15X800G   </t>
  </si>
  <si>
    <t>PA0104</t>
  </si>
  <si>
    <t xml:space="preserve">FILE MERLUZA PCT SEAELAND CX\15X800G    </t>
  </si>
  <si>
    <t>300468-0</t>
  </si>
  <si>
    <t>FILE PEITO BANDEJA LAR  CX\14X1KG</t>
  </si>
  <si>
    <t xml:space="preserve">FILE PEITO BANDEJA PIF PAF CX/12X1KG    </t>
  </si>
  <si>
    <t xml:space="preserve">FILE PEITO BANDEJA RIVELLI CX.12X1KG    </t>
  </si>
  <si>
    <t>FILE PEITO ENVELOPADO ATALAIA CX\20KG</t>
  </si>
  <si>
    <t xml:space="preserve">FILE PEITO ENVELOPADO AVE NOVA CX\20KG  </t>
  </si>
  <si>
    <t>FILE PEITO ENVELOPADO BIG FRANGO CX\18KG</t>
  </si>
  <si>
    <t xml:space="preserve">FILE PEITO ENVELOPADO FERREIRA CX\20KG  </t>
  </si>
  <si>
    <t xml:space="preserve">FILE PEITO ENVELOPADO FRANCAP CX\20KG   </t>
  </si>
  <si>
    <t xml:space="preserve">FILE PEITO ENVELOPADO FRIAL CX\20KG     </t>
  </si>
  <si>
    <t>FILE PEITO ENVELOPADO LAR CX\20KG</t>
  </si>
  <si>
    <t xml:space="preserve">FILE PEITO ENVELOPADO REAL CX\20KG      </t>
  </si>
  <si>
    <t>FILE PEITO FRANGO INTER. FREDINI CX/20KG</t>
  </si>
  <si>
    <t>FILE PEITO FRANGO PCT FREDINI CX/20KG</t>
  </si>
  <si>
    <t xml:space="preserve">FILE PEITO PCT PIF PAF CX\20 KG         </t>
  </si>
  <si>
    <t>FILE PIRAMUTABA PESQUALI CX\40X500GR</t>
  </si>
  <si>
    <t>JA15500</t>
  </si>
  <si>
    <t>FILE PIRAMUTABA S/PELE PURUMAR CX\30X500G</t>
  </si>
  <si>
    <t xml:space="preserve">FILE POLACA PCT BACALANOR CX\20X500G    </t>
  </si>
  <si>
    <t xml:space="preserve">FILE TILAPIA  AURORA CX/4X2KG           </t>
  </si>
  <si>
    <t xml:space="preserve">FILE TILAPIA BRAZFRIG CX/10X800G        </t>
  </si>
  <si>
    <t>MP0308</t>
  </si>
  <si>
    <t>FILE TILAPIA BRAZFRIG CX/3X5KG</t>
  </si>
  <si>
    <t>FILE TILAPIA CARA PRETA CX/16X800G</t>
  </si>
  <si>
    <t xml:space="preserve">FILE TILAPIA GARCIA CX/25X400GR         </t>
  </si>
  <si>
    <t xml:space="preserve">FILE TILAPIA IQF SEARA CX/16X600GR      </t>
  </si>
  <si>
    <t xml:space="preserve">FILE TILAPIA PEDACOS  NETU CX/4X2,5KG   </t>
  </si>
  <si>
    <t xml:space="preserve">FILE TILAPIA PESCANOBRE CX\14X400GR     </t>
  </si>
  <si>
    <t>FILE TILAPIA PIRES PURAAZUL CX/15X800G</t>
  </si>
  <si>
    <t>FILE TILAPIA PURA AZUL CX/30X400G</t>
  </si>
  <si>
    <t>MP0295</t>
  </si>
  <si>
    <t>FILE TRAIRA  EPUYEN CX\1X11KG</t>
  </si>
  <si>
    <t>MP0313</t>
  </si>
  <si>
    <t>FILE TRAIRA INTERFOLIADA  EPUYEN CX/12KG</t>
  </si>
  <si>
    <t xml:space="preserve">FILEZINHO EMPANADO SEARA CX\12X400G     </t>
  </si>
  <si>
    <t>FILEZINHO EMPANADO SEARA NATURE CX\15X30</t>
  </si>
  <si>
    <t xml:space="preserve">FILEZINHO MIGNON SUINO DICASA KG        </t>
  </si>
  <si>
    <t>FILEZINHO SASSAME ENVELOPADA ATALAIA CX\20KG</t>
  </si>
  <si>
    <t>FILEZINHO SASSAMI ALM RIVELLI CX\18X1KG</t>
  </si>
  <si>
    <t>FILEZINHO SASSAMI BANDEJA AURORA CX\12KG</t>
  </si>
  <si>
    <t>FILEZINHO SASSAMI BANDEJA SEARA CX\12KG</t>
  </si>
  <si>
    <t>FILEZINHO SASSAMI BDJ PERDIGAO  CX\12X1KG</t>
  </si>
  <si>
    <t>FILEZINHO SASSAMI BDJ RIVELLI CX\12X1KG</t>
  </si>
  <si>
    <t>FILEZINHO SASSAMI BELAVIDA CX\20X1KG</t>
  </si>
  <si>
    <t>FILEZINHO SASSAMI ENVELOPADO FRANCAP CX\20KG</t>
  </si>
  <si>
    <t>4119-0</t>
  </si>
  <si>
    <t>FILEZINHO SASSAMI ENVELOPADO LAR CX\20KG</t>
  </si>
  <si>
    <t>FILEZINHO SASSAMI INTERFOLHADO AVIVAR CX\4X5KG</t>
  </si>
  <si>
    <t>FILEZINHO SASSAMI INTERFOLHADO LAR 18KG</t>
  </si>
  <si>
    <t>FILEZINHO SASSAMI INTERFOLHADO SEARA CX\15KG</t>
  </si>
  <si>
    <t>FILEZINHO SASSAMI IQF SEARA CX\12KG</t>
  </si>
  <si>
    <t>FILEZINHO SUINO ATALIA KG</t>
  </si>
  <si>
    <t xml:space="preserve">FILEZINHO SUINO DIMELHOR KG             </t>
  </si>
  <si>
    <t>FILEZINHO SUINO SEARA CX/18KG</t>
  </si>
  <si>
    <t>FRALDINHA BOVINA FIRE FRIGODIAS KG</t>
  </si>
  <si>
    <t xml:space="preserve">FRALDINHA BOVINA FRIBOI  KG             </t>
  </si>
  <si>
    <t>4055-0</t>
  </si>
  <si>
    <t xml:space="preserve">FRALDINHA BOVINA FRIGORAÇA KG           </t>
  </si>
  <si>
    <t xml:space="preserve">FRALDINHA SUINA TEMP. SUINCO CX/15KG    </t>
  </si>
  <si>
    <t xml:space="preserve">FRANGO A PARMEGIANA SEARA CX/6X500GR    </t>
  </si>
  <si>
    <t>FRANGO CAIPIRA CORTADO NHO BENTO CX/18KG</t>
  </si>
  <si>
    <t xml:space="preserve">FRANGO CAIPIRA NHO BENTO CX/18KG        </t>
  </si>
  <si>
    <t>FRANGO CONG COGRAN CX\20KG</t>
  </si>
  <si>
    <t>FRANGO CONG S\MIUDOS SEARA CX\20KG</t>
  </si>
  <si>
    <t xml:space="preserve">FRANGO CONG.ATALAIA CX/20KG             </t>
  </si>
  <si>
    <t xml:space="preserve">FRANGO CONG.FERREIRA CX\19KG            </t>
  </si>
  <si>
    <t xml:space="preserve">FRANGO CONG.FERREIRA CX\20KG            </t>
  </si>
  <si>
    <t xml:space="preserve">FRANGO CONG.FRANCAP CX/20KG             </t>
  </si>
  <si>
    <t xml:space="preserve">FRANGO CONG.FREDINI CX/20KG             </t>
  </si>
  <si>
    <t xml:space="preserve">FRANGO CONG.FRIALL CX/20KG              </t>
  </si>
  <si>
    <t xml:space="preserve">FRANGO CONG.PRINCESA CX\21KG            </t>
  </si>
  <si>
    <t xml:space="preserve">FRANGO CONG.S\MIUDOS DAGRANJA KG        </t>
  </si>
  <si>
    <t xml:space="preserve">FRANGO CONG.SEARA CX/20KG               </t>
  </si>
  <si>
    <t xml:space="preserve">FRANGO DEFUMADO GOURMET SEARA KG        </t>
  </si>
  <si>
    <t xml:space="preserve">FRANGO PADARIA S/MIUDOS SEARA CX/14,4KG </t>
  </si>
  <si>
    <t>FREDINI CX/20X800</t>
  </si>
  <si>
    <t>FRANGO PASSARINHO FREDINI CX/16</t>
  </si>
  <si>
    <t>FRANGO PASSARINHO IQF TEMP. LAR  20X700GR</t>
  </si>
  <si>
    <t xml:space="preserve">FRANGO PASSARINHO TEMP RARA CX/10X800G  </t>
  </si>
  <si>
    <t xml:space="preserve">FRANGO PASSARINHO TEMP.AURORA CX/12KG   </t>
  </si>
  <si>
    <t xml:space="preserve">FRANGO PASSARINHO TEMP.RIVELLI CX/18KG  </t>
  </si>
  <si>
    <t xml:space="preserve">FRANGO S/MIUDOS CONG.ATALAIA CX/KG      </t>
  </si>
  <si>
    <t xml:space="preserve">FRANGO S/MIUDOS CONG.SADIA CX/13KG      </t>
  </si>
  <si>
    <t>FRUTA CRISTALIZADA POTE TOZZI 12X200GR</t>
  </si>
  <si>
    <t>FRUTA CRISTALIZADA TOZZI CX/10KG</t>
  </si>
  <si>
    <t xml:space="preserve">GALINHA GORDA BIG FRANGO CX/20KG        </t>
  </si>
  <si>
    <t xml:space="preserve">GALINHA GORDA BIP CX/18KG               </t>
  </si>
  <si>
    <t xml:space="preserve">GALINHA GORDA BIP CX/20KG               </t>
  </si>
  <si>
    <t>GALINHA GORDA NOROESTE CX/18KG</t>
  </si>
  <si>
    <t xml:space="preserve">GALINHA GORDA NOROESTE CX/20KG          </t>
  </si>
  <si>
    <t xml:space="preserve">GALINHA GORDA SABOROSA CX\18KG          </t>
  </si>
  <si>
    <t xml:space="preserve">GALINHA LEVE PICO PACO CX\15KG          </t>
  </si>
  <si>
    <t xml:space="preserve">GALINHA LEVE SABOROSA CX\15KG           </t>
  </si>
  <si>
    <t>GALINHA PASSARINHO PICO PACO CX/15KG</t>
  </si>
  <si>
    <t xml:space="preserve">GALO GORDO BIG CX/18KG                  </t>
  </si>
  <si>
    <t xml:space="preserve">GALO GORDO BIG CX/20KG                  </t>
  </si>
  <si>
    <t xml:space="preserve">GALO GORDO BIP CX/18KG                  </t>
  </si>
  <si>
    <t xml:space="preserve">GALO GORDO BIP CX/20KG                  </t>
  </si>
  <si>
    <t xml:space="preserve">GALO GORDO NOROESTE CX/18KG             </t>
  </si>
  <si>
    <t>GALO GORDO NOROESTE CX/20KG</t>
  </si>
  <si>
    <t xml:space="preserve">GALO GORDO NOROESTE CX/20KG             </t>
  </si>
  <si>
    <t xml:space="preserve">GOIABADA CASCAO PREDILECTA CX\24X350G   </t>
  </si>
  <si>
    <t xml:space="preserve">GOIABADA STELLA D´ORO CX\16X1,01KG      </t>
  </si>
  <si>
    <t xml:space="preserve">GOIABADA STELLA D´ORO CX\36X300G        </t>
  </si>
  <si>
    <t xml:space="preserve">GORDURA VEGETAL PRIMOR 24X500GR         </t>
  </si>
  <si>
    <t>HAMBUGUER VEGETAL SEARA GOURMET 12X310GR</t>
  </si>
  <si>
    <t>HAMBURGUER BOVINO AIR FRYER SEARA CX21X150</t>
  </si>
  <si>
    <t>HAMBURGUER BOVINO ANGUS COM TRUFA BLEND BURGER SEARA CX21X150G</t>
  </si>
  <si>
    <t>HAMBURGUER BOVINO BACON SEARA CX21X150G</t>
  </si>
  <si>
    <t>HAMBURGUER BOVINO BLEND SEARA CX21X150G</t>
  </si>
  <si>
    <t>HAMBURGUER BOVINO COSTELA SEARA CX21X150G</t>
  </si>
  <si>
    <t xml:space="preserve">HAMBURGUER BOVINO PIF PAF CX\36X56GR    </t>
  </si>
  <si>
    <t>HAMBURGUER BOVINO PIF PAF GRANEL CX2,016</t>
  </si>
  <si>
    <t xml:space="preserve">HAMBURGUER BOVINO SEARA CX\15X672GR     </t>
  </si>
  <si>
    <t xml:space="preserve">HAMBURGUER BURGER SEARA GOURMET 12X360G </t>
  </si>
  <si>
    <t xml:space="preserve">HAMBURGUER ENVELOPADO AURORA CX\36UN    </t>
  </si>
  <si>
    <t xml:space="preserve">HAMBURGUER ENVELOPADO FRISA CX\36UN     </t>
  </si>
  <si>
    <t xml:space="preserve">HAMBURGUER ENVELOPADO LEBON CX\36UN     </t>
  </si>
  <si>
    <t>HAMBURGUER FRANGO CART SEARA CX\15X672GR</t>
  </si>
  <si>
    <t>HAMBURGUER FRANGO PIF PAF CX\36X56GR</t>
  </si>
  <si>
    <t xml:space="preserve">HAMBURGUER FRANGO TEXAS BURGER  36X56GR </t>
  </si>
  <si>
    <t xml:space="preserve">HAMBURGUER FRISA CX\48UN                </t>
  </si>
  <si>
    <t>HAMBURGUER GRAN ANGUS BURGER’S GOURMET SEARA 12X400GR</t>
  </si>
  <si>
    <t>HAMBURGUER INCRIVEL LUVA SEARA CX\12X226</t>
  </si>
  <si>
    <t xml:space="preserve">HAMBURGUER INCRIVEL SEARA CX\40X60GR    </t>
  </si>
  <si>
    <t xml:space="preserve">HAMBURGUER MISTO TEXAS SEARA CX30X112G  </t>
  </si>
  <si>
    <t>HAMBURGUER MOLDADO FELICITTA FRISA CX/48</t>
  </si>
  <si>
    <t>HAMBÚRGUER MOLDADO MISTO PIF PAF CX\36X56GR</t>
  </si>
  <si>
    <t xml:space="preserve">HAMBURGUER PICANHA GRAFILE CX\24X90GR   </t>
  </si>
  <si>
    <t xml:space="preserve">HAMBURGUER REZENDE CX/12X672GR          </t>
  </si>
  <si>
    <t xml:space="preserve">HAMBURGUER REZENDE ENVELOPADO 36X56GR   </t>
  </si>
  <si>
    <t>HAMBURGUER SEARA TEXAS ENVELOPADO 36X56G</t>
  </si>
  <si>
    <t>HAMBURGUER SEARA TEXAS ENVELOPADO 36X90G</t>
  </si>
  <si>
    <t xml:space="preserve">HAMBURGUER TEXAS BURGER CX/12X672GR     </t>
  </si>
  <si>
    <t xml:space="preserve">HOT HIT BACON CHEDDAR SEARA CX\18X145G  </t>
  </si>
  <si>
    <t xml:space="preserve">HOT HIT BACON SEARA CX\18X145G          </t>
  </si>
  <si>
    <t xml:space="preserve">HOT HIT BARBECUE SEARA CX\18X145G       </t>
  </si>
  <si>
    <t xml:space="preserve">HOT HIT CHEDDAR SEARA CX\18X145G        </t>
  </si>
  <si>
    <t xml:space="preserve">HOT HIT PICANHA SEARA CX\18X145G        </t>
  </si>
  <si>
    <t xml:space="preserve">IOGURTE BANDEJA TURMA MILK  CX\12       </t>
  </si>
  <si>
    <t xml:space="preserve">IOGURTE BANDEJA YOGUEDES CX\12          </t>
  </si>
  <si>
    <t xml:space="preserve">IOGURTE FRUTTALI FD\60X110ML            </t>
  </si>
  <si>
    <t xml:space="preserve">IOGURTE PARAISO CX\12X450ML             </t>
  </si>
  <si>
    <t xml:space="preserve">IOGURTE PARAISO CX\12X900ML             </t>
  </si>
  <si>
    <t xml:space="preserve">IOGURTE PARAISO CX\15X450ML             </t>
  </si>
  <si>
    <t xml:space="preserve">IOGURTE PARAISO CX\20X170ML             </t>
  </si>
  <si>
    <t xml:space="preserve">IOGURTE PARAISO CX\9X900ML              </t>
  </si>
  <si>
    <t xml:space="preserve">IOGURTE TURMA MILK FD/12X450GR          </t>
  </si>
  <si>
    <t>IOGURTE TURMA MILK FD/6X850GR</t>
  </si>
  <si>
    <t xml:space="preserve">IOGURTE TURMA MILK FD\10X180GR          </t>
  </si>
  <si>
    <t xml:space="preserve">IOGURTE TURMA MILK FD\60X110ML          </t>
  </si>
  <si>
    <t xml:space="preserve">IOGURTE YOGUEDES FD\12X450              </t>
  </si>
  <si>
    <t xml:space="preserve">IOGURTE YOGUEDES FD\20X180              </t>
  </si>
  <si>
    <t xml:space="preserve">IOGURTE YOGUEDES FD\60X110ML            </t>
  </si>
  <si>
    <t xml:space="preserve">IOGURTE YOGUEDES FD\6X900               </t>
  </si>
  <si>
    <t xml:space="preserve">IOGURTE YOGUEDES PETIT SUISSE  CX\12    </t>
  </si>
  <si>
    <t>ISCA DE PEIXE SEARA INCRIVEL  CX/16X300G</t>
  </si>
  <si>
    <t>ISCAS FRANGO EMPA APIMEN SEARA CX/16X300</t>
  </si>
  <si>
    <t xml:space="preserve">ISCAS FRANGO EMPANADA SEARA CX/16X300G  </t>
  </si>
  <si>
    <t xml:space="preserve">ISCAS FRANGO EMPANADAS SEARA CX/5X900GR </t>
  </si>
  <si>
    <t xml:space="preserve">KETCHUP GALAO DAJUDA 3,5KG              </t>
  </si>
  <si>
    <t xml:space="preserve">KETCHUP GALÃO LANCHERO  3KG             </t>
  </si>
  <si>
    <t xml:space="preserve">KETCHUP GALAO SOETO 3,3KG               </t>
  </si>
  <si>
    <t xml:space="preserve">KETCHUP SACHÊ BONAPETITE 170X6GR        </t>
  </si>
  <si>
    <t xml:space="preserve">KETCHUP SACHÊ BONAPETITE 675X6GR        </t>
  </si>
  <si>
    <t xml:space="preserve">KETCHUP SACHE CEPERA CX/154X7GR         </t>
  </si>
  <si>
    <t xml:space="preserve">KETCHUP SACHE DAJUDA 192X7GR            </t>
  </si>
  <si>
    <t xml:space="preserve">KETCHUP SACHE DAJUDA CX\24X200GR        </t>
  </si>
  <si>
    <t xml:space="preserve">KETCHUP SACHÊ LANCHEIRO 150X5GR         </t>
  </si>
  <si>
    <t xml:space="preserve">KETCHUP SACHÊ LANCHEIRO 600X5GR         </t>
  </si>
  <si>
    <t xml:space="preserve">KETCHUP SACHÊ SALSARETTI 144X7GR        </t>
  </si>
  <si>
    <t>KETCHUP SACHÊ SOFRUTA CX\144X7GR</t>
  </si>
  <si>
    <t xml:space="preserve">KETCHUP SACHE STELLA DORO CX144X7GR     </t>
  </si>
  <si>
    <t xml:space="preserve">KETCHUP SOETO CX/182X7GR                </t>
  </si>
  <si>
    <t>KETCHUP TRADICIONAL SALSARETTI  15X380GR</t>
  </si>
  <si>
    <t xml:space="preserve">KIBE INCRIVEL SEARA CX/12X300GR         </t>
  </si>
  <si>
    <t xml:space="preserve">KIBE SEARA CX/12X500GR                  </t>
  </si>
  <si>
    <t>2059-0</t>
  </si>
  <si>
    <t xml:space="preserve">KIT FEIJOADA FRIGOLESTE KG              </t>
  </si>
  <si>
    <t xml:space="preserve">KIT FEIJOADA SUINA PALADAR KG           </t>
  </si>
  <si>
    <t>KIT MAIONESE &amp; KETCHUP SALSARETTI 6X730G</t>
  </si>
  <si>
    <t xml:space="preserve">KIT NATALINO PIF PAF CX\6,3KG           </t>
  </si>
  <si>
    <t xml:space="preserve">KIT PERU SEARA KG  992237               </t>
  </si>
  <si>
    <t xml:space="preserve">KIT REVEILLON BRUSTER SEARA KG  992505  </t>
  </si>
  <si>
    <t xml:space="preserve">KIT REVEILLON FIESTA SEARA KG  992513   </t>
  </si>
  <si>
    <t xml:space="preserve">LAGARTO BOVINO BRIOS KG                 </t>
  </si>
  <si>
    <t>LAGARTO BOVINO CARA BRANCA KG</t>
  </si>
  <si>
    <t xml:space="preserve">LAGARTO BOVINO FRIGO DIAS KG            </t>
  </si>
  <si>
    <t xml:space="preserve">LAGARTO BOVINO FRIGOMATOSO KG           </t>
  </si>
  <si>
    <t>LAGARTO BOVINO FRISA KG</t>
  </si>
  <si>
    <t xml:space="preserve">LAGARTO BOVINO PCT FRIGOLESTE KG        </t>
  </si>
  <si>
    <t xml:space="preserve">LAGARTO BOVINO PLENA KG                 </t>
  </si>
  <si>
    <t xml:space="preserve">LANCHE BRUSTER LEBON 3,5KG              </t>
  </si>
  <si>
    <t xml:space="preserve">LANCHE LEBON CX\6X2,5KG                 </t>
  </si>
  <si>
    <t xml:space="preserve">LANCHE PEPERI AURORA 2,5KG              </t>
  </si>
  <si>
    <t xml:space="preserve">LANCHE PIF PAF CX\2X2,5KG               </t>
  </si>
  <si>
    <t>LASANHA 4 QUEIJOS AIRFRYER SEARA 12X300GR</t>
  </si>
  <si>
    <t>LASANHA 4 QUEIJOS GOURMET SEARA 12X350GR</t>
  </si>
  <si>
    <t xml:space="preserve">LASANHA 4 QUEIJOS SEARA CX\10X600GR     </t>
  </si>
  <si>
    <t>LASANHA BOLOGNESE GORMET SEARA CX/6X800G</t>
  </si>
  <si>
    <t>LASANHA BOLOGNESE GOURMET SEARA 12X350GR</t>
  </si>
  <si>
    <t xml:space="preserve">LASANHA BOLONHESA  INCRIVEL CX\12X350GR </t>
  </si>
  <si>
    <t>LASANHA BOLONHESA AIRFRYER SEARA 12X300GR</t>
  </si>
  <si>
    <t xml:space="preserve">LASANHA BOLONHESA LEBON 10X600GR        </t>
  </si>
  <si>
    <t xml:space="preserve">LASANHA BOLONHESA MENU SEARA  12X350G   </t>
  </si>
  <si>
    <t xml:space="preserve">LASANHA BOLONHESA REZENDE CX\10X600GR   </t>
  </si>
  <si>
    <t xml:space="preserve">LASANHA BOLONHESA SEARA CX\10X600GR     </t>
  </si>
  <si>
    <t xml:space="preserve">LASANHA BOLONHESA SEARA CX\6X1KG        </t>
  </si>
  <si>
    <t xml:space="preserve">LASANHA CALABRESA SEARA CX\10X600GR     </t>
  </si>
  <si>
    <t>LASANHA FRANGO AIRFRYER SEARA CX/12X300GR</t>
  </si>
  <si>
    <t xml:space="preserve">LASANHA FRANGO LEBON CX/10X600GR        </t>
  </si>
  <si>
    <t>LASANHA FRANGO PARISINSE SEARA CX\10X600</t>
  </si>
  <si>
    <t xml:space="preserve">LASANHA FRANGO REZENDE CX\10X600GR      </t>
  </si>
  <si>
    <t xml:space="preserve">LASANHA FRANGO SEARA CX/10X600GR        </t>
  </si>
  <si>
    <t xml:space="preserve">LASANHA MIX PIF PAF CX.10X600GR         </t>
  </si>
  <si>
    <t xml:space="preserve">LASANHA MIX SEARA CX\10X600GR           </t>
  </si>
  <si>
    <t xml:space="preserve">LASANHA PRESUNTO/QUEIJO LEBON 10X600GR  </t>
  </si>
  <si>
    <t>LASANHA PRESUNTO/QUEIJO SEARA CX\10X600G</t>
  </si>
  <si>
    <t>LASANHA PRESUNTO\QUEIJO REZENDE CX\10X600GR</t>
  </si>
  <si>
    <t xml:space="preserve">LEITE CONDENSADO CEMIL TP CX\27X198GR   </t>
  </si>
  <si>
    <t xml:space="preserve">LEITE CONDENSADO CEMIL TP CX\27X395GR   </t>
  </si>
  <si>
    <t xml:space="preserve">LEITE CONDENSADO MOCOCA TP CX\27X395GR  </t>
  </si>
  <si>
    <t>LEITE CONDENSADO PIRACANJUBA TP 27X395GR</t>
  </si>
  <si>
    <t>LEITE CONDENSADO TRIANGULO TP CX\27X395G</t>
  </si>
  <si>
    <t xml:space="preserve">LEITE DE COCO MENINA CX/24X200ML        </t>
  </si>
  <si>
    <t>LEITE FERMENTADO TURMA MILK 6X850G</t>
  </si>
  <si>
    <t xml:space="preserve">LEITE UHT DESNATADO CAMPONESA CX\12 LT  </t>
  </si>
  <si>
    <t xml:space="preserve">LEITE UHT DESNATADO CEMIL CX\12LT       </t>
  </si>
  <si>
    <t xml:space="preserve">LEITE UHT DESNATADO IBITURUNA CX\12LT   </t>
  </si>
  <si>
    <t>LEITE UHT DESNATADO PIRACANJUBA CX\12 LT</t>
  </si>
  <si>
    <t>LEITE UHT DESNATADO PORTO ALEGRE CX\12 L</t>
  </si>
  <si>
    <t xml:space="preserve">LEITE UHT INTEGRAL CAMPONESA CX\12 LT   </t>
  </si>
  <si>
    <t xml:space="preserve">LEITE UHT INTEGRAL CEMIL CX\12LT        </t>
  </si>
  <si>
    <t xml:space="preserve">LEITE UHT INTEGRAL HABITUS CX/12 LT     </t>
  </si>
  <si>
    <t xml:space="preserve">LEITE UHT INTEGRAL IBITURUNA CX\12LT    </t>
  </si>
  <si>
    <t xml:space="preserve">LEITE UHT INTEGRAL NINHO CX\12 LT       </t>
  </si>
  <si>
    <t xml:space="preserve">LEITE UHT INTEGRAL PIRACANJUBA CX\12 LT </t>
  </si>
  <si>
    <t>LEITE UHT INTEGRAL PORTO ALEGRE CX\12 LT</t>
  </si>
  <si>
    <t xml:space="preserve">LEITE UHT INTEGRAL TRIANGULO CX\12 LT   </t>
  </si>
  <si>
    <t xml:space="preserve">LEITE UHT SEMIDESNATADO NINHO CX\12 LT  </t>
  </si>
  <si>
    <t xml:space="preserve">LEITE UHT ZERO LACT. TRIANGULO CX\12 LT </t>
  </si>
  <si>
    <t xml:space="preserve">LEITE UHT ZERO LACTOSE CAMPONESA CX\12  </t>
  </si>
  <si>
    <t xml:space="preserve">LEITE UHT ZERO LACTOSE CEMIL CX/12      </t>
  </si>
  <si>
    <t>LEITE UHT ZERO LACTOSE PIRACANJUBA CX\12</t>
  </si>
  <si>
    <t>LEITE UHT ZERO LACTOSE PORTO ALEGRE CX\12 L</t>
  </si>
  <si>
    <t>LEVISSIMO SEARA 3,450KG</t>
  </si>
  <si>
    <t xml:space="preserve">LEVISSIMO SEARA FATIADO CX/22X180GR     </t>
  </si>
  <si>
    <t>LING ALHO PORO GOURMET SEARA 12X500G</t>
  </si>
  <si>
    <t>LING APIMENTADA GOURMET SEARA CX/12X450G</t>
  </si>
  <si>
    <t xml:space="preserve">LING APIMENTADA SEARA CX/24X600GR       </t>
  </si>
  <si>
    <t>LING APIMENTADA SEARA CX/30X600GR</t>
  </si>
  <si>
    <t xml:space="preserve">LING CHURRASCO ATALAIA CX\15X800G       </t>
  </si>
  <si>
    <t>LING CHURRASCO DIMELHOR CX\4X5KG</t>
  </si>
  <si>
    <t xml:space="preserve">LING CHURRASCO FRANGOSUL 24X800GR       </t>
  </si>
  <si>
    <t xml:space="preserve">LING CHURRASCO LEBON 24X800GR           </t>
  </si>
  <si>
    <t xml:space="preserve">LING CHURRASCO LEBON CX\4X5KG           </t>
  </si>
  <si>
    <t xml:space="preserve">LING CHURRASCO MINI REZENDE CX\4X5KG    </t>
  </si>
  <si>
    <t xml:space="preserve">LING CHURRASCO MISTA FERREIRA CX\20X1KG </t>
  </si>
  <si>
    <t>20230-0</t>
  </si>
  <si>
    <t xml:space="preserve">LING CHURRASCO PREMIADA CX\3X5KG        </t>
  </si>
  <si>
    <t xml:space="preserve">LING CHURRASCO REZENDE CX\4X5KG         </t>
  </si>
  <si>
    <t xml:space="preserve">LING CHURRASCO RIVELLI CX\20X1KG        </t>
  </si>
  <si>
    <t xml:space="preserve">LING CHURRASCO RIVELLI CX\4X5KG         </t>
  </si>
  <si>
    <t xml:space="preserve">LING CUIABANA GOURMET SEARA CX/12X500GR </t>
  </si>
  <si>
    <t>4080008-0</t>
  </si>
  <si>
    <t>LING DEF.FINA ADEEL CX7X2,5KG</t>
  </si>
  <si>
    <t xml:space="preserve">LING DEF.FINA FRISA CX/4X2,5KG          </t>
  </si>
  <si>
    <t xml:space="preserve">LING DEF.FINA LEBON CX\24X215KG         </t>
  </si>
  <si>
    <t xml:space="preserve">LING DEF.FINA PIF PAF CX\4X2,5KG        </t>
  </si>
  <si>
    <t>LING DEF.FINA REZENDE CX\24X215GR</t>
  </si>
  <si>
    <t>LING DEF.FINA SEALI CX/8X2,5KG</t>
  </si>
  <si>
    <t xml:space="preserve">LING DEF.FINA SEARA CX\24X215KG         </t>
  </si>
  <si>
    <t xml:space="preserve">LING DEF.FINA SEARA CX\6X2,5KG          </t>
  </si>
  <si>
    <t xml:space="preserve">LING DEF.PIMENTINHA MISTA CX\25UN       </t>
  </si>
  <si>
    <t xml:space="preserve">LING FRANGO AURORA CX\5X5KG             </t>
  </si>
  <si>
    <t xml:space="preserve">LING FRANGO C\BACON GOURMET SEARA CX6KG </t>
  </si>
  <si>
    <t xml:space="preserve">LING FRANGO FERREIRA CX\20X1KG          </t>
  </si>
  <si>
    <t xml:space="preserve">LING FRANGO FINA ATALAIA CX\15X800G     </t>
  </si>
  <si>
    <t xml:space="preserve">LING FRANGO FINA AVIVAR CX/8X2,5KG      </t>
  </si>
  <si>
    <t xml:space="preserve">LING FRANGO FINA RIVELLI CX\15X1KG      </t>
  </si>
  <si>
    <t xml:space="preserve">LING FRANGO FREDINI CX\15X800GR         </t>
  </si>
  <si>
    <t xml:space="preserve">LING FRANGO LEBON CX\4X5KG              </t>
  </si>
  <si>
    <t>LING FRANGO PIMENTA BIQUINHO AVIVAR 10X600G</t>
  </si>
  <si>
    <t xml:space="preserve">LING FRANGO RIVELLI CX\20X1KG           </t>
  </si>
  <si>
    <t xml:space="preserve">LING FRANGO RIVELLI CX\4X5KG            </t>
  </si>
  <si>
    <t xml:space="preserve">LING FRANGO SEARA CX\32X700GR           </t>
  </si>
  <si>
    <t xml:space="preserve">LING FRANGO SEARA CX\4X5KG              </t>
  </si>
  <si>
    <t xml:space="preserve">LING LOMBO PIF PAF CX/8X800GR           </t>
  </si>
  <si>
    <t xml:space="preserve">LING MC TROPEIRA CX\25X400GR            </t>
  </si>
  <si>
    <t>LING MINEIRA APIMENTADA PIF PAF CX\8X800</t>
  </si>
  <si>
    <t xml:space="preserve">LING MINEIRA PIF PAF CX/8X800GR         </t>
  </si>
  <si>
    <t xml:space="preserve">LING MISTA C.BANHA FRISA LT CX\24X400GR </t>
  </si>
  <si>
    <t xml:space="preserve">LING PARRILA QUEIJO AVIVAR CX/10X600G   </t>
  </si>
  <si>
    <t>LING PERNIL PIF PAF CX\12X1KG</t>
  </si>
  <si>
    <t>20121-0</t>
  </si>
  <si>
    <t xml:space="preserve">LING PERNIL PREMIADA CX\15X1KG          </t>
  </si>
  <si>
    <t>LING PERNIL QUEIJO COALHO SEARA CX\12X500GR</t>
  </si>
  <si>
    <t>LING PERNIL QUEIJO SEARA GOURMET CX\12X500GR</t>
  </si>
  <si>
    <t xml:space="preserve">LING PERNIL REZENDE PCT CX\8X2,5KG      </t>
  </si>
  <si>
    <t xml:space="preserve">LING PERNIL SEARA CX\32X700G            </t>
  </si>
  <si>
    <t xml:space="preserve">LING PERNIL SEARA CX\4X5KG              </t>
  </si>
  <si>
    <t xml:space="preserve">LING SUINA AURORA CX\5X5KG              </t>
  </si>
  <si>
    <t xml:space="preserve">LING SUINA IMPERATRIZ CX\2X5KG          </t>
  </si>
  <si>
    <t xml:space="preserve">LING SUINA LEBON CX\4X5KG               </t>
  </si>
  <si>
    <t>LING SUINA MINEIRA DIMELHOR CX\20X500GR</t>
  </si>
  <si>
    <t xml:space="preserve">LING SUINA PALADAR  CX/25X800G          </t>
  </si>
  <si>
    <t xml:space="preserve">LING SUINA PIF PAF CX\12X1KG            </t>
  </si>
  <si>
    <t xml:space="preserve">LING SUINA REZENDE CX/32X700G           </t>
  </si>
  <si>
    <t>LING SUINA SAUDALI CX\3X5KG</t>
  </si>
  <si>
    <t xml:space="preserve">LING SUINA SEARA CX/32X700G             </t>
  </si>
  <si>
    <t xml:space="preserve">LING SUINA SEARA CX\4X5KG               </t>
  </si>
  <si>
    <t>LING T. CALABRESA ATALAIA CX6X2,0KG</t>
  </si>
  <si>
    <t>4080007-0</t>
  </si>
  <si>
    <t>LING T.CALABRESA ADEEL 2,5KG</t>
  </si>
  <si>
    <t xml:space="preserve">LING T.CALABRESA GOURMET SEARA 6X2,5KG  </t>
  </si>
  <si>
    <t xml:space="preserve">LING T.CALABRESA IMPERATRIZ CX/4X2,5KG  </t>
  </si>
  <si>
    <t xml:space="preserve">LING T.CALABRESA LEBON  CX\6X2,5KG      </t>
  </si>
  <si>
    <t xml:space="preserve">LING T.CALABRESA PIF PAF CX/2X3KG       </t>
  </si>
  <si>
    <t>LING T.CALABRESA RETA LEBON CX\6X2,5KG  01130400</t>
  </si>
  <si>
    <t>LING T.CALABRESA RETA PIF PAF 4X2,5KG</t>
  </si>
  <si>
    <t>LING T.CALABRESA RETA REZENDE CX 6X2,5KG</t>
  </si>
  <si>
    <t>LING T.CALABRESA RETA REZENDE FS 6X2,5KG</t>
  </si>
  <si>
    <t xml:space="preserve">LING T.CALABRESA RETA SEARA CX\6X2,5KG  </t>
  </si>
  <si>
    <t xml:space="preserve">LING T.CALABRESA REZENDE CX 6X2,5KG     </t>
  </si>
  <si>
    <t xml:space="preserve">LING T.CALABRESA REZENDE CX\12X400GR    </t>
  </si>
  <si>
    <t xml:space="preserve">LING T.CALABRESA SEARA CX\12X400GR      </t>
  </si>
  <si>
    <t xml:space="preserve">LING T.CALABRESA SEARA CX\6X2,5KG       </t>
  </si>
  <si>
    <t xml:space="preserve">LING T.PAIO SEARA CX/24X370GR           </t>
  </si>
  <si>
    <t xml:space="preserve">LING T.PAIO SEARA CX/6X2,5KG            </t>
  </si>
  <si>
    <t>LING TOSCA CHIMI GOURMET SEARA CX\12X450</t>
  </si>
  <si>
    <t xml:space="preserve">LING TOSCANA ALHO/ERVAS SEARA CX\24X600 </t>
  </si>
  <si>
    <t>LING TOSCANA CHIMICHURRI SEARA CX\24X600</t>
  </si>
  <si>
    <t xml:space="preserve">LING TOSCANA MINI SEARA 6X2,5KG         </t>
  </si>
  <si>
    <t xml:space="preserve">LING TOSCANA PIF PAF CX\12X1KG          </t>
  </si>
  <si>
    <t xml:space="preserve">LING TOSCANA SEARA CX/32X700GR          </t>
  </si>
  <si>
    <t xml:space="preserve">LING TOSCANA SEARA GOURMET CX/12X450GR  </t>
  </si>
  <si>
    <t xml:space="preserve">LOMBINHO DIAFRAGMA BOVINO PALADAR KG    </t>
  </si>
  <si>
    <t>LOMBO FATIADO BBQ SEARA GOURMET CX\6X1KG</t>
  </si>
  <si>
    <t>4040015-0</t>
  </si>
  <si>
    <t>LOMBO SUINO ADEEL  KG</t>
  </si>
  <si>
    <t>LOMBO SUINO ATALAIA KG</t>
  </si>
  <si>
    <t xml:space="preserve">LOMBO SUINO DIMELHOR CONG KG            </t>
  </si>
  <si>
    <t xml:space="preserve">LOMBO SUINO GRANDMINAS KG               </t>
  </si>
  <si>
    <t>LOMBO SUINO INTEIRO FRICASA CX\15KG</t>
  </si>
  <si>
    <t xml:space="preserve">LOMBO SUINO INTEIRO SEALI KG            </t>
  </si>
  <si>
    <t>33013-0</t>
  </si>
  <si>
    <t xml:space="preserve">LOMBO SUINO MELLORE KG                  </t>
  </si>
  <si>
    <t xml:space="preserve">LOMBO SUINO PCT SADIA CX/10KG           </t>
  </si>
  <si>
    <t>122907-0</t>
  </si>
  <si>
    <t xml:space="preserve">LOMBO SUINO SAUDALI CX\22KG             </t>
  </si>
  <si>
    <t xml:space="preserve">LOMBO SUINO SEARA CX/20KG               </t>
  </si>
  <si>
    <t xml:space="preserve">LOMBO SUINO TEMP. PIF PAF CX/18KG       </t>
  </si>
  <si>
    <t xml:space="preserve">LOMBO SUINO TEMPERADO PIF PAF CX\20KG   </t>
  </si>
  <si>
    <t>LOMBO T.CANADENSE GOURMET SEARA</t>
  </si>
  <si>
    <t xml:space="preserve">LOMBO TEMPERADO SEARA CX\KG             </t>
  </si>
  <si>
    <t xml:space="preserve">MAC &amp; CHEESE C/BACON SEARA CX/12X300GR  </t>
  </si>
  <si>
    <t>MAC &amp; CHEESE TRADICIONAL SEARA CX/12X300</t>
  </si>
  <si>
    <t>MACA PEITO BOVINA CARA BRANCA KG</t>
  </si>
  <si>
    <t xml:space="preserve">MACA PEITO BOVINA FRIGORAÇA KG          </t>
  </si>
  <si>
    <t>21801-0</t>
  </si>
  <si>
    <t>MACA PEITO BOVINA MATOSO KG</t>
  </si>
  <si>
    <t xml:space="preserve">MACA PEITO BOVINA PLENA KG              </t>
  </si>
  <si>
    <t>14818-0</t>
  </si>
  <si>
    <t xml:space="preserve">MACA PEITO BOVINO ALIMENTAR KG          </t>
  </si>
  <si>
    <t xml:space="preserve">MACA PEITO BOVINO FRIGODIAS KG          </t>
  </si>
  <si>
    <t>MACA PEITO BOVINO FRISA KG</t>
  </si>
  <si>
    <t>4045-0</t>
  </si>
  <si>
    <t xml:space="preserve">MACA PEITO PCT BOVINA FRIGORAÇA KG      </t>
  </si>
  <si>
    <t>21881-0</t>
  </si>
  <si>
    <t xml:space="preserve">MACA PEITO PCT BOVINA MATOSO KG         </t>
  </si>
  <si>
    <t xml:space="preserve">MACA PEITO PCT BOVINA PLENA KG          </t>
  </si>
  <si>
    <t>MACA PEITO PCT BOVINO ALIMENTAR KG</t>
  </si>
  <si>
    <t xml:space="preserve">MAIONESE BALDE DAJUDA 3KG               </t>
  </si>
  <si>
    <t xml:space="preserve">MAIONESE BALDE LANCHEIRO 2,8KG          </t>
  </si>
  <si>
    <t>MAIONESE BALDE SALADA CX\6X3KG</t>
  </si>
  <si>
    <t xml:space="preserve">MAIONESE BICO SACHE RAMY CX/32X180G     </t>
  </si>
  <si>
    <t xml:space="preserve">MAIONESE BOX DAJUDA 3KG                 </t>
  </si>
  <si>
    <t>MAIONESE GOURMET SACHE LANCHEIRO 150X7GR</t>
  </si>
  <si>
    <t xml:space="preserve">MAIONESE HELLMANNS CX\12X500G           </t>
  </si>
  <si>
    <t>MAIONESE ORIGINAL SACHE CEPERA FD\6X655G</t>
  </si>
  <si>
    <t xml:space="preserve">MAIONESE PET SALSARETTI CX/12X500GR     </t>
  </si>
  <si>
    <t>MAIONESE POTE SALADA CX\12X500G</t>
  </si>
  <si>
    <t xml:space="preserve">MAIONESE POTE SOETO 3KG                 </t>
  </si>
  <si>
    <t>MAIONESE PREDILECTA SACHE CX\24X200GR</t>
  </si>
  <si>
    <t xml:space="preserve">MAIONESE SACHE BONAPETITE 170X6GR       </t>
  </si>
  <si>
    <t xml:space="preserve">MAIONESE SACHE BONAPETITE 675X6GR       </t>
  </si>
  <si>
    <t xml:space="preserve">MAIONESE SACHE CEPERA 175X7GR           </t>
  </si>
  <si>
    <t xml:space="preserve">MAIONESE SACHE DAJUDA 192X7GR           </t>
  </si>
  <si>
    <t xml:space="preserve">MAIONESE SACHE DAJUDA CX\24X200GR       </t>
  </si>
  <si>
    <t xml:space="preserve">MAIONESE SACHE LANCHEIRO 150X5GR        </t>
  </si>
  <si>
    <t>MAIONESE SACHE SALADA CX\24X200GR</t>
  </si>
  <si>
    <t>MAIONESE SACHE SALADA CX\6X1KG</t>
  </si>
  <si>
    <t>MAIONESE SACHE SALADA CX\6X3KG</t>
  </si>
  <si>
    <t xml:space="preserve">MAIONESE SACHE SALSARETTI 144X7GR       </t>
  </si>
  <si>
    <t xml:space="preserve">MAIONESE SACHE SOETO 182X7GR            </t>
  </si>
  <si>
    <t xml:space="preserve">MAIONESE SACHE STELLA DORO CX/144X7G    </t>
  </si>
  <si>
    <t xml:space="preserve">MAIONESE SACHE STELLA DORO CX/24X200G   </t>
  </si>
  <si>
    <t xml:space="preserve">MAIONESE SACHE TEMPERADA DAJUDA 192X7GR </t>
  </si>
  <si>
    <t xml:space="preserve">MAIONESE SACHE TEMPERADA LANCHERO 1KG   </t>
  </si>
  <si>
    <t>MAIONESE SOYA PET CX/12X500GR</t>
  </si>
  <si>
    <t>MAIONESE SOYA SACHE CX24X200GR</t>
  </si>
  <si>
    <t xml:space="preserve">MAIONESE TEMPERADA BOX DAJUDA 3KG       </t>
  </si>
  <si>
    <t xml:space="preserve">MAIONESE TOP DOWN SALSARETTI 15X350GR   </t>
  </si>
  <si>
    <t xml:space="preserve">MAMINHA GRIL CHEF PLENA KG              </t>
  </si>
  <si>
    <t>MANDIOCA EM CUBOS RIPA 10X1KG</t>
  </si>
  <si>
    <t>MANDIOCA EM CUBOS RIPA 20X500GR</t>
  </si>
  <si>
    <t>MANDIOCA NATURE SUPREME SEARA CX/15X600G</t>
  </si>
  <si>
    <t xml:space="preserve">MANDIOCA NATURE TOLETE SEARA CX/10X1KG  </t>
  </si>
  <si>
    <t xml:space="preserve">MANDIOCA SUPREME SEARA NATURE 6X1,5KG   </t>
  </si>
  <si>
    <t>MANDIOCA TOLETE RIPA 10X1KG</t>
  </si>
  <si>
    <t>MANDIOKITA TRADICIONAL PIF PAF CX/10X300G</t>
  </si>
  <si>
    <t xml:space="preserve">MANTEIGA CRISTAULAT CX\12X200GR         </t>
  </si>
  <si>
    <t xml:space="preserve">MANTEIGA CRISTAULAT CX\12X500GR         </t>
  </si>
  <si>
    <t xml:space="preserve">MANTEIGA CRISTAULAT CX\24X200GR         </t>
  </si>
  <si>
    <t xml:space="preserve">MANTEIGA CRISTAULAT CX\6X500GR          </t>
  </si>
  <si>
    <t xml:space="preserve">MARGARINA CREMOSY CX/12X500GR 997874    </t>
  </si>
  <si>
    <t>MARGARINA DELICATA CS CX/12X500GR 998518</t>
  </si>
  <si>
    <t>MARGARINA DELICATA CS CX/24X250G  995581</t>
  </si>
  <si>
    <t xml:space="preserve">MARGARINA DELICATA CS CX\12X1KG 998517  </t>
  </si>
  <si>
    <t>MARGARINA DELICIA ALHO\CEBOLACX\12X500GR</t>
  </si>
  <si>
    <t>MARGARINA DELICIA CHEF ALHO\CEBOLACX\24X250GR</t>
  </si>
  <si>
    <t>MARGARINA DELICIA CHEF ERVAS CX\12X500GR</t>
  </si>
  <si>
    <t>MARGARINA DELICIA CHEF ERVAS CX\24X250GR</t>
  </si>
  <si>
    <t>MARGARINA DELICIA CX\12X1KG  997872</t>
  </si>
  <si>
    <t xml:space="preserve">MARGARINA DELICIA CX\12X500GR 997871    </t>
  </si>
  <si>
    <t>MARGARINA DELICIA CX\24X250GR 997869</t>
  </si>
  <si>
    <t>MARGARINA DELICIA S/SAL CX\12X500GR</t>
  </si>
  <si>
    <t>MARGARINA DELICIA SUPREMA CX\24X250GR</t>
  </si>
  <si>
    <t>MARGARINA DELICIA SUPREMO CX12X500GR</t>
  </si>
  <si>
    <t>MARGARINA DELICIA TABLETE CX24X400GR</t>
  </si>
  <si>
    <t>MARGARINA DORIANA C\SAL CX\12X1KG 56868</t>
  </si>
  <si>
    <t>MARGARINA DORIANA C\SAL CX\12X500GR 5719</t>
  </si>
  <si>
    <t>MARGARINA DORIANA C\SAL CX\24X250GR 5747</t>
  </si>
  <si>
    <t>MARGARINA DORIANA LIGTH CX\12X500G 57194</t>
  </si>
  <si>
    <t>MARGARINA DORIANA S/SAL CX/12X500GR 5719</t>
  </si>
  <si>
    <t>MARGARINA DORIANA S/SAL CX\24X250GR 5776</t>
  </si>
  <si>
    <t xml:space="preserve">MARGARINA DORIANA S/SALCX\12X1KG        </t>
  </si>
  <si>
    <t xml:space="preserve">MARGARINA DORIANA T CULINARIO CX24X400G </t>
  </si>
  <si>
    <t xml:space="preserve">MARGARINA QUALY CX\12X500GR 500732      </t>
  </si>
  <si>
    <t xml:space="preserve">MARGARINA QUALY CX\24X250GR 500731      </t>
  </si>
  <si>
    <t xml:space="preserve">MARGARINA QUALY CX\6X1KG                </t>
  </si>
  <si>
    <t xml:space="preserve">MARROM GLACE STELLA DORO CX/24X350GR    </t>
  </si>
  <si>
    <t xml:space="preserve">MASCARA C\FOCINHO SUÍNO PALADAR KG      </t>
  </si>
  <si>
    <t>MASCARA C\FOCINHO SUÍNO SEALI KG</t>
  </si>
  <si>
    <t xml:space="preserve">MASCARA C\ORELHA DIMELHOR CONG KG       </t>
  </si>
  <si>
    <t xml:space="preserve">MASCARA C\ORELHA SALGADA FRIGOLESTE KG  </t>
  </si>
  <si>
    <t>MASCARA SUINA FRICASA PIF PAF CX\10 KG</t>
  </si>
  <si>
    <t>MASSA PASTEL GRANDE MASSA LEVE CX\12X500GR'</t>
  </si>
  <si>
    <t>MASSA PASTEL GRANDE VILA ITALIA  24X500GR</t>
  </si>
  <si>
    <t>MASSA PASTEL GRANDE VILA ITALIA 12X500GR</t>
  </si>
  <si>
    <t>MASSA PASTEL GRANDE VILA ITALIA CX\6X500</t>
  </si>
  <si>
    <t>MASSA PASTEL MEDIA MASSA LEVE CX 12X200GR</t>
  </si>
  <si>
    <t>MASSA PASTEL MEDIA MASSA LEVE CX 24X500GR</t>
  </si>
  <si>
    <t>MASSA PASTEL MEDIA VILA ITALIA 12X500GR</t>
  </si>
  <si>
    <t>MASSA PASTEL MEDIA VILA ITALIA 24X500GR</t>
  </si>
  <si>
    <t>MASSA PASTEL PEQUENA VILA ITALIA 12X500GR</t>
  </si>
  <si>
    <t>MASSA PASTEL PEQUENA VILA ITALIA 24X500GR</t>
  </si>
  <si>
    <t>MASSA PASTEL ROLO MASSA LEVE CX 6X2KG</t>
  </si>
  <si>
    <t>MASSA PASTEL ROLO MASSA LEVE CX\12X1KG</t>
  </si>
  <si>
    <t>MASSA PASTEL ROLO VILA ITALIA 24X500GR</t>
  </si>
  <si>
    <t xml:space="preserve">MASSA PASTEL ROLO VILA ITALIA CX\12X1KG </t>
  </si>
  <si>
    <t>MASSA PASTEL ROLO VILA ITALIA CX\12X500G</t>
  </si>
  <si>
    <t xml:space="preserve">MEIO DA ASA BDJ SEARA 12X1KG            </t>
  </si>
  <si>
    <t>300466-0</t>
  </si>
  <si>
    <t>MEIO DA ASA IQF LAR CX\15X1KG</t>
  </si>
  <si>
    <t xml:space="preserve">MEIO DA ASA IQF RIVELLI 20X800G         </t>
  </si>
  <si>
    <t xml:space="preserve">MEIO DA ASA IQF SEARA 12X1KG            </t>
  </si>
  <si>
    <t xml:space="preserve">MEIO DA ASA MACEDO IQF CX\16X1KG        </t>
  </si>
  <si>
    <t>MEIO DA ASA PCT LAR CX\18X1KG</t>
  </si>
  <si>
    <t xml:space="preserve">MEIO DA ASA PCT REAL CX/25X800G         </t>
  </si>
  <si>
    <t>MEIO DA ASA SEARA  PCT  CX\18X1 KG</t>
  </si>
  <si>
    <t>MEIO DA ASA TEMP. BIG FRANGO CX/18KG</t>
  </si>
  <si>
    <t>MEIO DA ASA TEMPERADO AURORA CX\15X800GR</t>
  </si>
  <si>
    <t>300467-0</t>
  </si>
  <si>
    <t>MEIO DA ASA TEMPERADO IQF LAR CX\20X700GR</t>
  </si>
  <si>
    <t>4121-0</t>
  </si>
  <si>
    <t xml:space="preserve">MEIO DA ASA TEMPERADO LAR CX\26X700GR   </t>
  </si>
  <si>
    <t>MEIO DA ASA TEMPERADO PIF PAF CX\12X1KG</t>
  </si>
  <si>
    <t xml:space="preserve">MILHO VERDE COPO OLE CX\12X120G         </t>
  </si>
  <si>
    <t xml:space="preserve">MILHO VERDE COPO OLE CX\12X170G         </t>
  </si>
  <si>
    <t>MILHO VERDE LATA  CX\24X170KG</t>
  </si>
  <si>
    <t>MILHO VERDE LATAO OLE  1,7KG</t>
  </si>
  <si>
    <t>MILHO VERDE LATAO PREDILECTA 1,7KG</t>
  </si>
  <si>
    <t>MILHO VERDE LATAO STELLA D.ORO 1,7KG</t>
  </si>
  <si>
    <t xml:space="preserve">MILHO VERDE LT OLE CX\24X170G           </t>
  </si>
  <si>
    <t>MILHO VERDE LT PREDILECTA CX\24X170KG</t>
  </si>
  <si>
    <t xml:space="preserve">MILHO VERDE LT STELLA D.ORO CX24X170G   </t>
  </si>
  <si>
    <t>MILHO VERDE SACHE FUGINI CX\36X170GR</t>
  </si>
  <si>
    <t>MILHO VERDE SACHE PREDILECTA CX6X1,7KG</t>
  </si>
  <si>
    <t xml:space="preserve">MILHO VERDE SACHE RAMY CX/6X1,7KG       </t>
  </si>
  <si>
    <t>MILHO VERDE SACHE STELLA D.ORO CX6X1,7KG</t>
  </si>
  <si>
    <t>MILHO VERDE SACHE STELLA DORO CX\32X170G</t>
  </si>
  <si>
    <t xml:space="preserve">MILHO VERDE SALSARETTI  CX\24X170GR     </t>
  </si>
  <si>
    <t xml:space="preserve">MISTURA CONDENSADA HABITUS CX\27X395GR  </t>
  </si>
  <si>
    <t xml:space="preserve">MISTURA CONDENSADA MOCOCA CX\27X395GR   </t>
  </si>
  <si>
    <t>MISTURA CONDENSADA TRIANGULO CX/27X395GR</t>
  </si>
  <si>
    <t xml:space="preserve">MOCOTO BOVINO FRIGODIAS KG              </t>
  </si>
  <si>
    <t>MOELA DE FRANGO BANDEJA PIF PAF CX12X1KG</t>
  </si>
  <si>
    <t>MOELA DE FRANGO BANDEJA RIVELLI CX12X1KG</t>
  </si>
  <si>
    <t xml:space="preserve">MOELA DE FRANGO BANDEJA SADIA CX12KG    </t>
  </si>
  <si>
    <t>MOELA DE FRANGO BANDEJA SEARA CX12X1KG</t>
  </si>
  <si>
    <t xml:space="preserve">MOELA DE FRANGO PCT PERDIGAO CX/16KG    </t>
  </si>
  <si>
    <t xml:space="preserve">MOELA DE FRANGO PCT RIVELLI CX/15KG     </t>
  </si>
  <si>
    <t xml:space="preserve">MOELA FRANGO ALM SEARA CX/ 18KG         </t>
  </si>
  <si>
    <t>MOLHO AZEITONA SACHE SALSARETTI 32X300GR</t>
  </si>
  <si>
    <t xml:space="preserve">MOLHO BARBECUE DAJUDA SACHE CX\192X7G   </t>
  </si>
  <si>
    <t>MOLHO BARBECUE D'MAIS  SACHE CX\150X7G</t>
  </si>
  <si>
    <t xml:space="preserve">MOLHO BARBECUE GALAO DAJUDA 3,6KG       </t>
  </si>
  <si>
    <t xml:space="preserve">MOLHO BARBECUE SACHE SALSARETTI 144X7GR </t>
  </si>
  <si>
    <t>MOLHO BOLONHESA SACHE SALSARETTI 32X300G</t>
  </si>
  <si>
    <t xml:space="preserve">MOLHO DE ALHO CEPERA 12X1,01KG          </t>
  </si>
  <si>
    <t>MOLHO MANJERICAO SACHE SALSARETTI 32X300</t>
  </si>
  <si>
    <t xml:space="preserve">MOLHO PIZZA SACHE SALSARETTI 32X300GR   </t>
  </si>
  <si>
    <t>MOLHO TOMATE HOT DOG STELLA DORO SACHE 8X1,7</t>
  </si>
  <si>
    <t>MOLHO TOMATE HOTDOG MINAS MAIS SACHE 8X1,7</t>
  </si>
  <si>
    <t>MOLHO TOMATE PIZZA STELLA DORO SACHE CX/8X1,7</t>
  </si>
  <si>
    <t>MOLHO TOMATE PREDILECTA CX32X300GR</t>
  </si>
  <si>
    <t>MOLHO TOMATE REFOGADO STELLA BAG 5X3,1KG</t>
  </si>
  <si>
    <t xml:space="preserve">MOLHO TOMATE SACHE SALSARETTI 36X300GR  </t>
  </si>
  <si>
    <t xml:space="preserve">MOLHO TOMATE SACHE STELLA CX\32X300G    </t>
  </si>
  <si>
    <t>MOLHO TOMATE SALSARETTI SACHE CX6/3,1KG</t>
  </si>
  <si>
    <t>MOLHO TOMATE SALSARETTI SACHE CX6X1,7KG</t>
  </si>
  <si>
    <t>MOLHO TOMATE STELLA DORO SACHE 8X1,7KG</t>
  </si>
  <si>
    <t>MOLHO TOMATE TRAD FUGINI SACHE CX/36X300GR</t>
  </si>
  <si>
    <t xml:space="preserve">MOLHO TOMATE TRAD RAMY SACHE 36X300GR   </t>
  </si>
  <si>
    <t xml:space="preserve">MOLHO TOMATE TRAD RAMY SACHE 6X1,7      </t>
  </si>
  <si>
    <t xml:space="preserve">MOLHO TOMATE TRAD.FUGINI SACHE CX/6X1,7 </t>
  </si>
  <si>
    <t xml:space="preserve">MORTADELA BOLONHA AURORA CX\2X5KG       </t>
  </si>
  <si>
    <t>MORTADELA BOLONHA GOURMET SEARA PEÇA</t>
  </si>
  <si>
    <t xml:space="preserve">MORTADELA BOLONHA REZENDE CX/2X5KG      </t>
  </si>
  <si>
    <t>MORTADELA BOLONHA SEARA CX/2X5KG COD 964</t>
  </si>
  <si>
    <t xml:space="preserve">MORTADELA CONFIANÇA 15X400GR            </t>
  </si>
  <si>
    <t xml:space="preserve">MORTADELA CONFIANÇA CX\4X3,5KG          </t>
  </si>
  <si>
    <t xml:space="preserve">MORTADELA CONFIANÇA CX\6X1KG            </t>
  </si>
  <si>
    <t>MORTADELA DEFUMADA FATIADA SEARA CX\18X150GR</t>
  </si>
  <si>
    <t>MORTADELA FATIADA GOURMET SEARA CX\22X180GR</t>
  </si>
  <si>
    <t xml:space="preserve">MORTADELA FATIADA LEBON CX/10X350GR     </t>
  </si>
  <si>
    <t xml:space="preserve">MORTADELA FATIADA REZENDE CX/22X180GR   </t>
  </si>
  <si>
    <t>MORTADELA FATIADA TRADICIONAL SEARA CX/22X180GR</t>
  </si>
  <si>
    <t xml:space="preserve">MORTADELA FRANGO PIF PAF CX\23X400GR    </t>
  </si>
  <si>
    <t xml:space="preserve">MORTADELA FRANGO SEARA 12X400GR 9164    </t>
  </si>
  <si>
    <t>MORTADELA ITALIANA SEARA  471  4,55KG</t>
  </si>
  <si>
    <t>MORTADELA LEBON  CX\4X3,250KG</t>
  </si>
  <si>
    <t>MORTADELA LEBON S/TOUCINHO CX\4X3,250KG</t>
  </si>
  <si>
    <t xml:space="preserve">MORTADELA PIF PAF CX\23X400GR           </t>
  </si>
  <si>
    <t xml:space="preserve">MOSTARDA C/MEL CEPERA FRASCO CX12X400G  </t>
  </si>
  <si>
    <t xml:space="preserve">MOSTARDA D´AJUDA GALAO  3,2KG           </t>
  </si>
  <si>
    <t xml:space="preserve">MOSTARDA SACHE DAJUDA  192 X7G          </t>
  </si>
  <si>
    <t xml:space="preserve">MOSTARDA SACHÊ SALSARETTI 144X5GR       </t>
  </si>
  <si>
    <t xml:space="preserve">MUSCULO BOVINO BRIOS KG                 </t>
  </si>
  <si>
    <t>MUSCULO BOVINO CARA BRANCA KG</t>
  </si>
  <si>
    <t>1357-0</t>
  </si>
  <si>
    <t xml:space="preserve">MUSCULO BOVINO FRIGOLESTE KG            </t>
  </si>
  <si>
    <t xml:space="preserve">MUSCULO BOVINO FRIGORAÇA KG             </t>
  </si>
  <si>
    <t>21803-0</t>
  </si>
  <si>
    <t xml:space="preserve">MUSCULO BOVINO MATOSO KG                </t>
  </si>
  <si>
    <t>MUSCULO BOVINO PCT CARA PRETA KG</t>
  </si>
  <si>
    <t xml:space="preserve">MUSCULO BOVINO PCT FRIGOLESTE  KG       </t>
  </si>
  <si>
    <t>MUSCULO BOVINO PCT FRISA KG</t>
  </si>
  <si>
    <t xml:space="preserve">MUSSARELA FATIADA  STº CRUZ FD 20X400GR </t>
  </si>
  <si>
    <t xml:space="preserve">MUSSARELA FATIADA  STº CRUZ FD 30X150GR </t>
  </si>
  <si>
    <t>MUSSARELA FATIADA CRISTAULAT CX\30X150GR</t>
  </si>
  <si>
    <t>MUSSARELA FATIADA INTERF. STº CRUZ  10KG</t>
  </si>
  <si>
    <t xml:space="preserve">MUSSARELA MINEIRISSIMA KG               </t>
  </si>
  <si>
    <t xml:space="preserve">MUSSARELA MINI CRISTAULAT KG            </t>
  </si>
  <si>
    <t>MUSSARELA SANTA CRUZ KG</t>
  </si>
  <si>
    <t>MUSSARELA SCALA KG</t>
  </si>
  <si>
    <t>MUSSARELA TRES VALES  KG</t>
  </si>
  <si>
    <t>NUTRIBOM ARROZ CX 24X180G</t>
  </si>
  <si>
    <t>NUTRIBOM AVEIA E ARROZ CX 24X180G</t>
  </si>
  <si>
    <t>NUTRIBOM BANANA MACA 24X180G</t>
  </si>
  <si>
    <t>NUTRIBOM MILHO 24X180G</t>
  </si>
  <si>
    <t>NUTRIBOM MULTICEREAIS 24X180G</t>
  </si>
  <si>
    <t xml:space="preserve">OLEO DE SOJA ABC  CX/20X900ML           </t>
  </si>
  <si>
    <t xml:space="preserve">OLEO DE SOJA BRASILEIRO 20X900ML PET    </t>
  </si>
  <si>
    <t>OLEO DE SOJA COAMO PET CX/20X900ML</t>
  </si>
  <si>
    <t xml:space="preserve">OLEO DE SOJA COMIGO 20X900ML PET        </t>
  </si>
  <si>
    <t xml:space="preserve">OLEO DE SOJA LIZA 6X900ML PET           </t>
  </si>
  <si>
    <t xml:space="preserve">OLEO DE SOJA VELEIRO 6X900ML PET        </t>
  </si>
  <si>
    <t xml:space="preserve">OLEO DE SOJA VITALIV CX/20X900ML PET    </t>
  </si>
  <si>
    <t>1096-0</t>
  </si>
  <si>
    <t>PALETA BOVINA  PCT S/MUSC FRIGOLESTE  KG</t>
  </si>
  <si>
    <t xml:space="preserve">PALETA BOVINA FRIGORAÇA KG              </t>
  </si>
  <si>
    <t>21804-0</t>
  </si>
  <si>
    <t xml:space="preserve">PALETA BOVINA MATOSO KG                 </t>
  </si>
  <si>
    <t xml:space="preserve">PALETA BOVINA PCT FRIGOROÇA KG          </t>
  </si>
  <si>
    <t xml:space="preserve">PALETA BOVINA PCT MATOSO KG             </t>
  </si>
  <si>
    <t xml:space="preserve">PALETA BOVINO FRIGODIAS KG              </t>
  </si>
  <si>
    <t>PALETA BOVINO FRISA KG</t>
  </si>
  <si>
    <t>PALETA PCT BOVINA CARA BRANCA  KG</t>
  </si>
  <si>
    <t>PALETA PCT BOVINA PLENA KG</t>
  </si>
  <si>
    <t>PALETA S/MUSCULO BOVINA CARA BRANCA KG</t>
  </si>
  <si>
    <t>PALETA SUINA ATALIA KG</t>
  </si>
  <si>
    <t>22210003-0</t>
  </si>
  <si>
    <t xml:space="preserve">PALETA SUINA DICASA  KG                 </t>
  </si>
  <si>
    <t xml:space="preserve">PALETA SUINA GRANDMINAS KG              </t>
  </si>
  <si>
    <t>33017-0</t>
  </si>
  <si>
    <t>PALETA SUINA MELLORE KG</t>
  </si>
  <si>
    <t>10222-0</t>
  </si>
  <si>
    <t xml:space="preserve">PALETA SUINA SUINCO KG                  </t>
  </si>
  <si>
    <t>PALETINHA FRANGO TEMPERADA FREDINI CX/20</t>
  </si>
  <si>
    <t xml:space="preserve">PANCETA RECHE SEARA GOURMET             </t>
  </si>
  <si>
    <t>PANELINHA ARROZ CARRETEIRO SEARA 12X300G</t>
  </si>
  <si>
    <t>PANELINHA C.MANDIOCA FRANGO SEARA 12X300</t>
  </si>
  <si>
    <t>PANELINHA CALDO FEIJAO C/BACON  12X300GR</t>
  </si>
  <si>
    <t>PANELINHA CALDO VERDE CALAB.SEARA 12X300</t>
  </si>
  <si>
    <t>PANELINHA ESCONDIDINHO CARNE MOIDA SEARA 12X300GR</t>
  </si>
  <si>
    <t>PANELINHA FEIJOADA C\CALABRESA SEARA 12X300GR</t>
  </si>
  <si>
    <t>PANELINHA FRICASSE FRANGO SEARA 12X300GR</t>
  </si>
  <si>
    <t xml:space="preserve">PAO ALHO  PIF PAF CX\12X300GR           </t>
  </si>
  <si>
    <t>PA000024</t>
  </si>
  <si>
    <t>PAO ALHO CLARENZA CX\12X300GR</t>
  </si>
  <si>
    <t xml:space="preserve">PAO ALHO PICANTE PIF PAF CX\12X300GR    </t>
  </si>
  <si>
    <t xml:space="preserve">PAO ALHO VILA ITALIA CX\12X300GR        </t>
  </si>
  <si>
    <t>PAO DE QUEIJO COQUETEL FORNERIA 4X2KG</t>
  </si>
  <si>
    <t>PAO DE QUEIJO COQUETEL MASSA LEVE CX/10X1KG</t>
  </si>
  <si>
    <t>PAO DE QUEIJO COQUETEL PIF PAF CX\8X1KG</t>
  </si>
  <si>
    <t>PAO DE QUEIJO FORNERIA 20X200GR</t>
  </si>
  <si>
    <t>PAO DE QUEIJO GOURMET SEARA CX/32X300G</t>
  </si>
  <si>
    <t>PAO DE QUEIJO LANCHE 100 GR FORNERIA  2X4KG</t>
  </si>
  <si>
    <t>PAO DE QUEIJO LANCHE MASSA LEVE CX/10X1KG</t>
  </si>
  <si>
    <t>PAO DE QUEIJO LANCHE SEARA CX/10X1KG</t>
  </si>
  <si>
    <t>PAO DE QUEIJO LEBON CX\32X300GR</t>
  </si>
  <si>
    <t>PAO DE QUEIJO MASSA LEVE CX/10X1KG</t>
  </si>
  <si>
    <t>PAO DE QUEIJO MASSA LEVE CX/25X400G</t>
  </si>
  <si>
    <t>PAO DE QUEIJO PIF PAF CX\20X400G</t>
  </si>
  <si>
    <t>PAO DE QUEIJO REZENDE CX/12X900GR</t>
  </si>
  <si>
    <t>PAO DE QUEIJO REZENDE CX/32X300GR</t>
  </si>
  <si>
    <t>PAO DE QUEIJO T.MONICA SEARA CX/25X400GR</t>
  </si>
  <si>
    <t>PAO DE QUEIJO TRADICIONA SEARA CX/10X1KG</t>
  </si>
  <si>
    <t>PASSATA RUSTICA SACHE SALSARETTI 32X300G</t>
  </si>
  <si>
    <t>PATE DE FIGADO  LEBON CX/30X100GR</t>
  </si>
  <si>
    <t xml:space="preserve">PATE FRANGO ERVAS LEBON CX/30X100GR     </t>
  </si>
  <si>
    <t xml:space="preserve">PATE FRANGO LEBON CX/30X100GR           </t>
  </si>
  <si>
    <t>PATE PEITO PERU DEFUMADO SEARA CX/30X100</t>
  </si>
  <si>
    <t xml:space="preserve">PATE PRESUNTO LEBON CX/30X100GR         </t>
  </si>
  <si>
    <t xml:space="preserve">PATE PRESUNTO SEARA CX/30X100GR         </t>
  </si>
  <si>
    <t xml:space="preserve">PATINHO BOVINO BRIOS KG                 </t>
  </si>
  <si>
    <t>PATINHO BOVINO CARA BRANCA KG</t>
  </si>
  <si>
    <t xml:space="preserve">PATINHO BOVINO FRIGORAÇA KG             </t>
  </si>
  <si>
    <t xml:space="preserve">PATINHO BOVINO MATOSO  KG               </t>
  </si>
  <si>
    <t xml:space="preserve">PATINHO BOVINO PCT FRIGOLESTE KG        </t>
  </si>
  <si>
    <t xml:space="preserve">PE DE FRANGO INTER FREDINI CX\20KG      </t>
  </si>
  <si>
    <t xml:space="preserve">PE DE FRANGO INTER.AVE NOVA CX\18KG     </t>
  </si>
  <si>
    <t xml:space="preserve">PE DE FRANGO INTER.REAL CX\18KG         </t>
  </si>
  <si>
    <t xml:space="preserve">PE DE FRANGO INTERF.FERREIRA CX\15KG    </t>
  </si>
  <si>
    <t xml:space="preserve">PE DE FRANGO INTERF.FRANCAP CX\18KG     </t>
  </si>
  <si>
    <t xml:space="preserve">PE DE FRANGO INTERF.FRIALL CX\20KG      </t>
  </si>
  <si>
    <t>PE DE FRANGO INTERFOLHADA PIF PAF CX\15KG</t>
  </si>
  <si>
    <t>PE DE FRANGO PCT ATALAIA CX\16KG</t>
  </si>
  <si>
    <t xml:space="preserve">PE DE FRANGO PCT AVE NOVA CX\15KG       </t>
  </si>
  <si>
    <t xml:space="preserve">PE DE FRANGO PCT FRANCAP CX\18KG        </t>
  </si>
  <si>
    <t xml:space="preserve">PE DE FRANGO PCT FREDINI CX\15KG        </t>
  </si>
  <si>
    <t xml:space="preserve">PE DE FRANGO PCT.FERREIRA CX\15KG       </t>
  </si>
  <si>
    <t>PE DE FRANGO SADIA CX6\2,5KG</t>
  </si>
  <si>
    <t>PE DE SUINO SEALI KG</t>
  </si>
  <si>
    <t>22110006-0</t>
  </si>
  <si>
    <t xml:space="preserve">PE SUINO CONG DICASA KG                 </t>
  </si>
  <si>
    <t xml:space="preserve">PE SUINO CONG DIMELHOR KG               </t>
  </si>
  <si>
    <t>PE SUINO CONG GRAND MINAS KG</t>
  </si>
  <si>
    <t>PE SUINO CONG PIF PAF -  FRICASA CX\10KG</t>
  </si>
  <si>
    <t>12220-0</t>
  </si>
  <si>
    <t xml:space="preserve">PE SUINO SALGADO SUINCO CX/12KG         </t>
  </si>
  <si>
    <t xml:space="preserve">PEITO FIESTA RECHEADO ERVAS SEARA KG    </t>
  </si>
  <si>
    <t>PEITO FRANGO DEFUMADO SEARA 2,571KG</t>
  </si>
  <si>
    <t>PEITO FRANGO DESFIADO AVIVAR CX\25X400KG</t>
  </si>
  <si>
    <t>PEITO FRANGO DESFIADO RIVELLI CX\40X400KG</t>
  </si>
  <si>
    <t>PEITO FRANGO DESFIADO TROPEIRA CX\25X400KG</t>
  </si>
  <si>
    <t>PEITO FRANGO ENVELOPADO ATALAIA CX\20KG</t>
  </si>
  <si>
    <t>PEITO FRANGO ENVELOPADO FERREIRA CX/20KG</t>
  </si>
  <si>
    <t xml:space="preserve">PEITO FRANGO ENVELOPADO FRANCAP CX/20KG </t>
  </si>
  <si>
    <t xml:space="preserve">PEITO FRANGO ENVELOPADO FRIALL CX/20KG  </t>
  </si>
  <si>
    <t xml:space="preserve">PEITO FRANGO ENVELOPADO REAL CX\18KG    </t>
  </si>
  <si>
    <t xml:space="preserve">PEITO FRANGO INTER FRANCAP CX/20KG      </t>
  </si>
  <si>
    <t xml:space="preserve">PEITO FRANGO INTER FRIALL CX/20KG       </t>
  </si>
  <si>
    <t>PEITO FRANGO INTER(FOOD) FERREIRACX/20KG</t>
  </si>
  <si>
    <t xml:space="preserve">PEITO FRANGO INTER(FOOD) REAL CX/20KG   </t>
  </si>
  <si>
    <t xml:space="preserve">PEITO FRANGO INTERF.FREDINI CX/20KG     </t>
  </si>
  <si>
    <t xml:space="preserve">PEITO FRANGO PCT AGROAVES CX\20KG       </t>
  </si>
  <si>
    <t xml:space="preserve">PEITO FRANGO PCT AVE NOVA  CX\20KG      </t>
  </si>
  <si>
    <t xml:space="preserve">PEITO FRANGO PCT FERREIRA CX\20KG       </t>
  </si>
  <si>
    <t xml:space="preserve">PEITO FRANGO PCT FRANCAP CX\20KG        </t>
  </si>
  <si>
    <t xml:space="preserve">PEITO FRANGO PCT FREDINI CX\20KG        </t>
  </si>
  <si>
    <t xml:space="preserve">PEITO FRANGO PCT FRIALL CX/20KG         </t>
  </si>
  <si>
    <t xml:space="preserve">PEITO FRANGO PCT REAL CX\20KG           </t>
  </si>
  <si>
    <t xml:space="preserve">PEITO PERU DEFUMADO REZENDE CX\2X2,5KG  </t>
  </si>
  <si>
    <t xml:space="preserve">PEITO PERU DEFUMADO SEARA CX\2X2,5KG    </t>
  </si>
  <si>
    <t>PEITO PERU FATIADO SEARA CX/24X150GR</t>
  </si>
  <si>
    <t xml:space="preserve">PEITO PERU SEARA RECHEADO CX/KG         </t>
  </si>
  <si>
    <t>PEIXE CORVINA EVISCER LUZITANIA CX/15X1K</t>
  </si>
  <si>
    <t>PEIXE CORVINA EVISCERADA CX/12KG</t>
  </si>
  <si>
    <t>PEIXE CORVINA EVISCERADA LITORAL CX\20KG</t>
  </si>
  <si>
    <t>PEIXE CORVINA INTEIRA  CX\12KG</t>
  </si>
  <si>
    <t>PEIXE CORVINA INTEIRA LITORAL CX\20KG</t>
  </si>
  <si>
    <t xml:space="preserve">PEIXE CORVINA INTEIRA PIONEIRA CX\15KG  </t>
  </si>
  <si>
    <t xml:space="preserve">PEIXE CORVINA POSTA AGROPEIXE CX/15X1KG </t>
  </si>
  <si>
    <t xml:space="preserve">PEIXE CORVINA POSTA LUZITANIA CX/15X1KG </t>
  </si>
  <si>
    <t xml:space="preserve">PEIXE CORVINA POSTA PIONEIRA CX/15X1KG  </t>
  </si>
  <si>
    <t>PEIXE CORVINA POSTAS PEIXE E CIA CX\20X1KG</t>
  </si>
  <si>
    <t xml:space="preserve">PEIXE CURIMATA DESOSSADA CX\20KG        </t>
  </si>
  <si>
    <t xml:space="preserve">PEIXE CURIMBA EVISCERADO CX/20KG        </t>
  </si>
  <si>
    <t>PEIXE DESFIADO SAITHE E POLACA CX\6X4,8KG</t>
  </si>
  <si>
    <t>PEIXE DOURADA POSTA AMAZON NORTE CX\18X1</t>
  </si>
  <si>
    <t xml:space="preserve">PEIXE PIRAM.POSTA S/PELE AMAZON 20X1KG  </t>
  </si>
  <si>
    <t>PEIXE PIRAMUTABA EVISCERADA S\PELE  20KG</t>
  </si>
  <si>
    <t>PEIXE PIRAMUTABA POSTA C\PEL AMAZON 20X1</t>
  </si>
  <si>
    <t>PEIXE PIRAMUTABA POSTA C\PELE AMASA 25X8</t>
  </si>
  <si>
    <t>PEIXE PIRAMUTABA POSTA C\PELE PEIXE&amp;CIA 20X1KG</t>
  </si>
  <si>
    <t>PEIXE PIRAMUTABA POSTA C\PELE PESQUALI CX/20X1KG</t>
  </si>
  <si>
    <t>JA15501</t>
  </si>
  <si>
    <t>PEIXE PIRAMUTABA POSTA S/PELE PURUMAR CX\30X500G</t>
  </si>
  <si>
    <t>PEIXE PIRAMUTABA POSTA S\PELE AMASA 25X8</t>
  </si>
  <si>
    <t>PEIXE PIRAMUTABA POSTA S\PELE PEIXE&amp;CIA 20X1KG</t>
  </si>
  <si>
    <t>PEIXE PIRAMUTABA POSTA S\PELE PESQUALI CX/20X1KG</t>
  </si>
  <si>
    <t xml:space="preserve">PEIXE SARDINHA ESPALMADA CX/24X500GR    </t>
  </si>
  <si>
    <t>PEIXE SARDINHA ESPALMADA PURAZUL CX/15X800GR</t>
  </si>
  <si>
    <t>PEIXE SARDINHA EVISCERADA LUZITANIA CX\15X800G</t>
  </si>
  <si>
    <t>PEIXE SARDINHA EVISCERADA PEIXE&amp;CIA 20X1KG</t>
  </si>
  <si>
    <t>PEIXE SARDINHA EVISCERADA PURAZUL CX\15X800G</t>
  </si>
  <si>
    <t>PEIXE SURUBIM POSTA MULTIPESC 20X1KG</t>
  </si>
  <si>
    <t>PEIXE TAMBAQUI POSTAS ZALTANA CX\12X800G</t>
  </si>
  <si>
    <t>pescado</t>
  </si>
  <si>
    <t>PEIXE TILAPIA EVISCERADA LITORAL  20KG</t>
  </si>
  <si>
    <t>PEIXE TILAPIA EVISCERADA LUZITANIA CX/15</t>
  </si>
  <si>
    <t>PEIXE TILAPIA POSTA LUZITANIA CX/15X800G</t>
  </si>
  <si>
    <t>PEIXE TILAPIA POSTA SEARA CX/16X500GR</t>
  </si>
  <si>
    <t xml:space="preserve">PEIXE TRAIRA ARGENTINA CX\20KG          </t>
  </si>
  <si>
    <t>426/2</t>
  </si>
  <si>
    <t>PEIXE TRAIRA DESOSSADA CX\10KG</t>
  </si>
  <si>
    <t>PEIXE TRAIRA DESOSSADA CX\20KG</t>
  </si>
  <si>
    <t>PELE SUINA ATALAIA  KG</t>
  </si>
  <si>
    <t xml:space="preserve">PELE SUINA DIMELHOR KG                  </t>
  </si>
  <si>
    <t xml:space="preserve">PELE SUINA FRIGODIAS KG                 </t>
  </si>
  <si>
    <t xml:space="preserve">PELE SUINA FRIGOLESTE KG                </t>
  </si>
  <si>
    <t xml:space="preserve">PENNE À PARISIENSE MENU SEARA 12X350G   </t>
  </si>
  <si>
    <t xml:space="preserve">PERNIL C\OSSO SUINO SEARA KG            </t>
  </si>
  <si>
    <t xml:space="preserve">PERNIL S/OSSO SEARA ERVAS ASSA FACIL    </t>
  </si>
  <si>
    <t>PERNIL S/OSSO TEMP BELLA CEIA PIF PAF  20KG</t>
  </si>
  <si>
    <t>PERNIL SUINO ATALAIA KG</t>
  </si>
  <si>
    <t xml:space="preserve">PERNIL SUINO DICASA KG                  </t>
  </si>
  <si>
    <t xml:space="preserve">PERNIL SUINO FRANGOGEL KG               </t>
  </si>
  <si>
    <t>PERNIL SUINO GRAND MINAS KG</t>
  </si>
  <si>
    <t xml:space="preserve">PERNIL SUINO IMPERATRIZ  KG             </t>
  </si>
  <si>
    <t>33018-0</t>
  </si>
  <si>
    <t xml:space="preserve">PERNIL SUINO MELLORE KG                 </t>
  </si>
  <si>
    <t xml:space="preserve">PERNIL SUINO PACOTE SADIA CX/12KG       </t>
  </si>
  <si>
    <t xml:space="preserve">PERNIL SUINO PALADAR KG                 </t>
  </si>
  <si>
    <t>PERNIL SUINO PCT ATALAIA KG</t>
  </si>
  <si>
    <t>PERNIL SUINO PCT DICASA KG</t>
  </si>
  <si>
    <t>2045-0</t>
  </si>
  <si>
    <t xml:space="preserve">PERNIL SUINO PCT FRIGOLESTE KG          </t>
  </si>
  <si>
    <t xml:space="preserve">PERNIL SUINO PIF PAF CX/18KG            </t>
  </si>
  <si>
    <t>PERNIL SUINO S/OSSO SEARA KG</t>
  </si>
  <si>
    <t xml:space="preserve">PERNIL SUINO SEALI KG                   </t>
  </si>
  <si>
    <t xml:space="preserve">PERNIL SUINO TEMPERADO SEARA KG         </t>
  </si>
  <si>
    <t xml:space="preserve">PERU DEF SEARA GOURMET KG               </t>
  </si>
  <si>
    <t xml:space="preserve">PERU REZENDE KG                         </t>
  </si>
  <si>
    <t>PERU SEARA KG  951242</t>
  </si>
  <si>
    <t xml:space="preserve">PERU TEMP. ASSA FACIL SEARA KG   688673 </t>
  </si>
  <si>
    <t>PESCOCO DE FRANGO ATALAIA CX/20KG</t>
  </si>
  <si>
    <t xml:space="preserve">PESCOCO DE FRANGO AVE NOVA CX/20KG      </t>
  </si>
  <si>
    <t xml:space="preserve">PESCOCO DE FRANGO FREDINI CX/20KG       </t>
  </si>
  <si>
    <t>PESCOCO DE FRANGO REAL CX/20KG</t>
  </si>
  <si>
    <t xml:space="preserve">PESCOCO PERU PERDIGAO CX\15KG           </t>
  </si>
  <si>
    <t xml:space="preserve">PESCOCO PERU REZENDE CX/15KG            </t>
  </si>
  <si>
    <t>PETISCO FRANGO DE PADARIA SEARA CX/12,82</t>
  </si>
  <si>
    <t>21851-0</t>
  </si>
  <si>
    <t>PICANHA BOVINA DAGOSTO MATOSO KG</t>
  </si>
  <si>
    <t xml:space="preserve">PICANHA BOVINA FATIADA FRIGODIAS KG     </t>
  </si>
  <si>
    <t>PICANHA BOVINA FRIALTO KG</t>
  </si>
  <si>
    <t xml:space="preserve">PICANHA BOVINA FRIGODIAS KG             </t>
  </si>
  <si>
    <t>22201034-0</t>
  </si>
  <si>
    <t>PICANHA BOVINA GRILL DICASA KG</t>
  </si>
  <si>
    <t>21868-0</t>
  </si>
  <si>
    <t xml:space="preserve">PICANHA CHEF PLENA BOVINA KG            </t>
  </si>
  <si>
    <t>PICANHA FATIADA CB CARA BRANCA</t>
  </si>
  <si>
    <t>PICANHA FATIADA STEAK ARG</t>
  </si>
  <si>
    <t>PICANHA SUINA TEMP GRILL PIF PAF CX\10KG</t>
  </si>
  <si>
    <t xml:space="preserve">PICANHA SUINA TEMP.SUINCO KG            </t>
  </si>
  <si>
    <t>PICANHA TEMPERADA CONGELADA DIMELHOR KG</t>
  </si>
  <si>
    <t>PIPOQUINHA FRANGO NETFLIX SEARA CX\16X275G</t>
  </si>
  <si>
    <t xml:space="preserve">PIZZA 4 QUEIJOS SEARA CX\12X460GR       </t>
  </si>
  <si>
    <t xml:space="preserve">PIZZA CALABRESA LEBON CX12X400GR        </t>
  </si>
  <si>
    <t>PIZZA CALABRESA REZENDE CX\12X400GR</t>
  </si>
  <si>
    <t xml:space="preserve">PIZZA CALABRESA SEARA CX12X460GR        </t>
  </si>
  <si>
    <t xml:space="preserve">PIZZA CALABRESE GOURMET SEARA CX\8X450G </t>
  </si>
  <si>
    <t xml:space="preserve">PIZZA FRANGO GOURMET SEARA 8X450GR      </t>
  </si>
  <si>
    <t>PIZZA FRANGO REQUEIJAO LEBON CX\12X400GR</t>
  </si>
  <si>
    <t xml:space="preserve">PIZZA FRANGO/CATUPIRY SEARA CX\12X460GR </t>
  </si>
  <si>
    <t>PIZZA FRANGO\REQUEIJAO REZENDE CX\12X400GR</t>
  </si>
  <si>
    <t>PIZZA INCRIVEL PEPPERON 8X450G</t>
  </si>
  <si>
    <t xml:space="preserve">PIZZA LOMBO CATUPIRY SEARA CX\12X460G   </t>
  </si>
  <si>
    <t xml:space="preserve">PIZZA LOMBO GOURMET SEARA CX\8X450G     </t>
  </si>
  <si>
    <t xml:space="preserve">PIZZA LOMBO REQUEIJAO LEBON CX\12X400GR </t>
  </si>
  <si>
    <t>PIZZA MARGHERITA GOURMET SEARA CX\8X450G</t>
  </si>
  <si>
    <t xml:space="preserve">PIZZA MIX PIF PAF CX10X600GR            </t>
  </si>
  <si>
    <t xml:space="preserve">PIZZA MIX PIF PAF CX12X460GR            </t>
  </si>
  <si>
    <t xml:space="preserve">PIZZA MIX SEARA CX12X460GR              </t>
  </si>
  <si>
    <t xml:space="preserve">PIZZA MUSSARELA REZENDE CX\12X400GR     </t>
  </si>
  <si>
    <t xml:space="preserve">PIZZA MUSSARELA SEARA CX\12X440GR       </t>
  </si>
  <si>
    <t xml:space="preserve">PIZZA PEPPERONI GOURMET SEARA CX\8X450G </t>
  </si>
  <si>
    <t xml:space="preserve">PIZZA PORTUGUESA SEARA CX12X460GR       </t>
  </si>
  <si>
    <t xml:space="preserve">POLPETONE SEARA GOURMET CX/12X320GR     </t>
  </si>
  <si>
    <t xml:space="preserve">PONTA COSTELA SUINA FLIP PIF PAF 8X1KG  </t>
  </si>
  <si>
    <t>PONTA COSTELA SUINA FRICASA PIF PAF 8X1KG</t>
  </si>
  <si>
    <t xml:space="preserve">PONTA COSTELA SUINA SADIA CX\10KG       </t>
  </si>
  <si>
    <t xml:space="preserve">PRESUNTO AURORA 3,5 KG                  </t>
  </si>
  <si>
    <t xml:space="preserve">PRESUNTO FRISA RETANGULAR 3,6KG         </t>
  </si>
  <si>
    <t xml:space="preserve">PRESUNTO LEBON FATIADO CX/22X180GR      </t>
  </si>
  <si>
    <t xml:space="preserve">PRESUNTO LEBON FATIADO CX/6X700GR       </t>
  </si>
  <si>
    <t xml:space="preserve">PRESUNTO LEBON OVAL 3,400               </t>
  </si>
  <si>
    <t>PRESUNTO NOBRE 3,5 KG</t>
  </si>
  <si>
    <t xml:space="preserve">PRESUNTO OVAL PIF PAF 3,3KG             </t>
  </si>
  <si>
    <t xml:space="preserve">PRESUNTO PARMA DESOSSADO SEARA          </t>
  </si>
  <si>
    <t>40000-0</t>
  </si>
  <si>
    <t xml:space="preserve">PRESUNTO PREMIADA 6,76KG CX\2 PEÇA      </t>
  </si>
  <si>
    <t>40009-0</t>
  </si>
  <si>
    <t xml:space="preserve">PRESUNTO PREMIADA RETANGULAR 8KG        </t>
  </si>
  <si>
    <t xml:space="preserve">PRESUNTO RETANGULAR PIF PAF 3,8KG       </t>
  </si>
  <si>
    <t xml:space="preserve">PRESUNTO REZENDE OVAL 3,5G              </t>
  </si>
  <si>
    <t xml:space="preserve">PRESUNTO ROYAL SEARA GOURMET            </t>
  </si>
  <si>
    <t xml:space="preserve">PRESUNTO SEARA FATIADO CX/12X350GR      </t>
  </si>
  <si>
    <t xml:space="preserve">PRESUNTO SEARA FATIADO CX/22X180GR      </t>
  </si>
  <si>
    <t>PRESUNTO SEARA OVAL 3,4KG</t>
  </si>
  <si>
    <t>PRESUNTO SERRANO FATIADO GOURMET 15X80GR</t>
  </si>
  <si>
    <t>QUEIJO COALHO ESPETO SCALA CX/16X285GR</t>
  </si>
  <si>
    <t xml:space="preserve">QUEIJO COALHO PORTO ALEGRE CX\12X7UND   </t>
  </si>
  <si>
    <t xml:space="preserve">QUEIJO PARMESAO CUNHA CRISTAULAT KG     </t>
  </si>
  <si>
    <t xml:space="preserve">QUEIJO PARMESAO INTEIRO CRISTAULAT  KG  </t>
  </si>
  <si>
    <t xml:space="preserve">QUEIJO PRATO CRISTAULAT KG              </t>
  </si>
  <si>
    <t xml:space="preserve">QUEIJO PRATO MINI CRISTAULAT KG         </t>
  </si>
  <si>
    <t>QUEIJO PROVOLONE SCALA 300GR</t>
  </si>
  <si>
    <t xml:space="preserve">RABINHO SUINO PIF PAF CX/10KG           </t>
  </si>
  <si>
    <t xml:space="preserve">RECORTE DE COSTELA SUINO NOBRE CX\20KG  </t>
  </si>
  <si>
    <t>REQUEIJAO BISNAGA C.CHEESE SULMINAS 1,2K</t>
  </si>
  <si>
    <t xml:space="preserve">REQUEIJAO BISNAGA CHEDDAR ISADORA 1,2KG </t>
  </si>
  <si>
    <t xml:space="preserve">REQUEIJAO BISNAGA CHEDDAR ROSELI  1,2KG </t>
  </si>
  <si>
    <t xml:space="preserve">REQUEIJAO BISNAGA CHEDDAR VEREDA 1,5KG  </t>
  </si>
  <si>
    <t xml:space="preserve">REQUEIJAO BISNAGA DALLORA 1,8KG         </t>
  </si>
  <si>
    <t>REQUEIJAO BISNAGA GOURMET VEREDA 1,535KG</t>
  </si>
  <si>
    <t>REQUEIJAO BISNAGA M.CHEDDAR VEREDA 1,5KG</t>
  </si>
  <si>
    <t xml:space="preserve">REQUEIJAO BISNAGA MILK PIZZA  1,5KG     </t>
  </si>
  <si>
    <t>REQUEIJAO BISNAGA MILK PRATA ROSELI 1,8K</t>
  </si>
  <si>
    <t xml:space="preserve">REQUEIJAO BISNAGA PORTO ALEGRE 1,5KG    </t>
  </si>
  <si>
    <t xml:space="preserve">REQUEIJAO BISNAGA R-MINAS  1,5KG        </t>
  </si>
  <si>
    <t>REQUEIJAO BISNAGA SCALA 1,5KG</t>
  </si>
  <si>
    <t>REQUEIJAO BISNAGA SCALA 400GR</t>
  </si>
  <si>
    <t xml:space="preserve">REQUEIJAO BISNAGA TAINA  1,8KG          </t>
  </si>
  <si>
    <t xml:space="preserve">REQUEIJAO COPO AURORA CX/12X200GR       </t>
  </si>
  <si>
    <t xml:space="preserve">REQUEIJAO COPO MINAS MAIS CX/12X200GR   </t>
  </si>
  <si>
    <t>REQUEIJAO COPO MINAS MAIS CX/12X350GR</t>
  </si>
  <si>
    <t xml:space="preserve">REQUEIJAO COPO PORTO ALEGRE CX/12X200GR </t>
  </si>
  <si>
    <t>REQUEIJAO COPO SCALA CX/12X200GR</t>
  </si>
  <si>
    <t>REQUEIJAO COPO SCALA CX/12X380GR</t>
  </si>
  <si>
    <t>REQUEIJAO COPO VIGOR  CX/12X400GR</t>
  </si>
  <si>
    <t>REQUEIJAO COPO VIGOR CX/24X180GR</t>
  </si>
  <si>
    <t>REQUEIJAO LIGHT COPO SCALA CX/12X200GR</t>
  </si>
  <si>
    <t>REQUEIJAO ZERO LACTOSE COPO SCALA CX/12X200GR</t>
  </si>
  <si>
    <t xml:space="preserve">SACOLA BRANCA KILO FORTE 30X40 PCT 5K   </t>
  </si>
  <si>
    <t xml:space="preserve">SACOLA BRANCA KILO FORTE 40X50 PCT 5K   </t>
  </si>
  <si>
    <t xml:space="preserve">SACOLA BRANCA KILO FORTE 50X60 PCT 5K   </t>
  </si>
  <si>
    <t xml:space="preserve">SACOLA BRANCA MILHEIRO 38X48 GOLD       </t>
  </si>
  <si>
    <t xml:space="preserve">SACOLA RECICLADA 30X40 PCT 5KG          </t>
  </si>
  <si>
    <t xml:space="preserve">SACOLA RECICLADA 40X50 PCT 5KG          </t>
  </si>
  <si>
    <t xml:space="preserve">SACOLA RECICLADA 50X60 PCT 5KG          </t>
  </si>
  <si>
    <t xml:space="preserve">SACOLA RECICLADA BRANCA 30X40 PCT 5KG   </t>
  </si>
  <si>
    <t xml:space="preserve">SACOLA RECICLADA BRANCA 50X60 PCT 5KG   </t>
  </si>
  <si>
    <t>SALAME FATIADO ALHO GOURMET SEARA CX\12X80G</t>
  </si>
  <si>
    <t>SALAME FATIADO C/PIMENTA SEARA GOURMET CX\10X100GR</t>
  </si>
  <si>
    <t>SALAME FATIADO HAMBURGUES SEARA GOURMET CX\10X100GR</t>
  </si>
  <si>
    <t>SALAME FATIADO PEPPERONI SEARA GOURMET  800G</t>
  </si>
  <si>
    <t>SALAME FATIADO PEPPERONI SEARA GOURMET CX\10X100GR</t>
  </si>
  <si>
    <t>SALAME FATIADO QUEIJO GOURMET SEARA 12X80G</t>
  </si>
  <si>
    <t>SALAME FATIADO SEARA GOURMET CX\10X100GR</t>
  </si>
  <si>
    <t>SALAME HAMBURGUES GOURMET SEARA CX\4X1,250</t>
  </si>
  <si>
    <t xml:space="preserve">SALAME ITALIANO  C/ VINHO GOURMET SEARA </t>
  </si>
  <si>
    <t>SALAME ITALIANO ALHO NEGRO GOURMET SEARA</t>
  </si>
  <si>
    <t>SALAME ITALIANO GRANDE GOURMET SEARA</t>
  </si>
  <si>
    <t>SALAME ITALIANO GRANDE REZENDE</t>
  </si>
  <si>
    <t>SALAME ITALIANO PEQUENO LEBON</t>
  </si>
  <si>
    <t>SALAME ITALIANO PEQUENO REZENDE</t>
  </si>
  <si>
    <t>SALAME ITALIANO PEQUENO SEARA</t>
  </si>
  <si>
    <t>SALAME ITALIANO PEQUENO SEARA GOURMET</t>
  </si>
  <si>
    <t>SALAME ITALIANO TRUFADO SEARA</t>
  </si>
  <si>
    <t>SALAME KIT ALHO,QUEIJO,VINHO SEARA GOURMET</t>
  </si>
  <si>
    <t xml:space="preserve">SALAMINHO FATIADO ITALIANO EDER 16X80GR </t>
  </si>
  <si>
    <t xml:space="preserve">SALMAO EM POSTA EL CARDUMEN CX/15X800GR </t>
  </si>
  <si>
    <t xml:space="preserve">SALSICHA AVIVAR CX\8X2,5KG              </t>
  </si>
  <si>
    <t>SALSICHA DEFUMADA AIR FRYER SEARA CX/24X250G</t>
  </si>
  <si>
    <t xml:space="preserve">SALSICHA DEFUMADA SEARA CX/12X500GR     </t>
  </si>
  <si>
    <t xml:space="preserve">SALSICHA DEFUMADA SEARA CX\6X3KG        </t>
  </si>
  <si>
    <t xml:space="preserve">SALSICHA FRANGO SEARA CX\12X500GR       </t>
  </si>
  <si>
    <t xml:space="preserve">SALSICHA LEBON CX/12X450 GR             </t>
  </si>
  <si>
    <t xml:space="preserve">SALSICHA LEBON CX\4X4KG                 </t>
  </si>
  <si>
    <t xml:space="preserve">SALSICHA LONGUETTE SEARA CX/12X500GR    </t>
  </si>
  <si>
    <t>INATIVAR</t>
  </si>
  <si>
    <t xml:space="preserve">SALSICHA PARA GRELHA SEARA CX\24X330G   </t>
  </si>
  <si>
    <t xml:space="preserve">SALSICHA PIF PAF CX\4X3,3KG             </t>
  </si>
  <si>
    <t xml:space="preserve">SALSICHA REZENDE CX/12X500GR            </t>
  </si>
  <si>
    <t xml:space="preserve">SALSICHA REZENDE CX\4X5KG               </t>
  </si>
  <si>
    <t xml:space="preserve">SALSICHA SEARA CX/12X500GR              </t>
  </si>
  <si>
    <t xml:space="preserve">SALSICHA SEARA CX\4X5KG                 </t>
  </si>
  <si>
    <t xml:space="preserve">SAMBIQUIRA FRANGO AGROAVES CX/20KG      </t>
  </si>
  <si>
    <t xml:space="preserve">SAMBIQUIRA FRANGO ATALAIA CX/20KG       </t>
  </si>
  <si>
    <t xml:space="preserve">SAMBIQUIRA FRANGO FREDINI CX/20KG       </t>
  </si>
  <si>
    <t xml:space="preserve">SAMBIQUIRA FRANGO REAL CX/20KG          </t>
  </si>
  <si>
    <t xml:space="preserve">SARDINHA 88 MOLHO CX\25X125GR           </t>
  </si>
  <si>
    <t xml:space="preserve">SARDINHA 88 OLEO CX25X125GR             </t>
  </si>
  <si>
    <t>SARDINHA GOMES DA COSTA MOLHO CX\25X125G</t>
  </si>
  <si>
    <t>SARDINHA GOMES DA COSTA OLEO CX\25X125GR</t>
  </si>
  <si>
    <t>044SMNA</t>
  </si>
  <si>
    <t>SARDINHA NAUTIQUE MOLHO CX/25X125GR</t>
  </si>
  <si>
    <t>033SONA</t>
  </si>
  <si>
    <t>SARDINHA NAUTIQUE OLEO CX/25X125GR</t>
  </si>
  <si>
    <t xml:space="preserve">SELETA LEGUMES SEARA NATURE 10X1,0KG    </t>
  </si>
  <si>
    <t xml:space="preserve">SELETA LEGUMES SEARA NATURE 16X300GR    </t>
  </si>
  <si>
    <t xml:space="preserve">SHOULDER BOVINO FRIGODIAS  KG           </t>
  </si>
  <si>
    <t>SOBRECOXA ENVELOPADA  REAL  CX/20KG</t>
  </si>
  <si>
    <t>SOBRECOXA PCT PIF PAF CX.20KG</t>
  </si>
  <si>
    <t xml:space="preserve">SOBRECOXA RIVELLI BANDEJA CX\12KG       </t>
  </si>
  <si>
    <t xml:space="preserve">SOBRECOXA SEARA BANDEJA CX\12KG         </t>
  </si>
  <si>
    <t xml:space="preserve">SOBRECOXA SEARA IQF CX\12KG             </t>
  </si>
  <si>
    <t>SOBREPALETA RECHEAD.SUINA PIF PAF CX11KG</t>
  </si>
  <si>
    <t xml:space="preserve">SOBREPALETA SUINA PIF PAF CX/18KG       </t>
  </si>
  <si>
    <t xml:space="preserve">SOBREPALETA SUINA SADIA CX/12KG         </t>
  </si>
  <si>
    <t xml:space="preserve">SPETTIN FRANGO PIF PAF CX\3KG           </t>
  </si>
  <si>
    <t xml:space="preserve">SPETTIN FRANGO PIF PAF EMPANADO CX\3KG  </t>
  </si>
  <si>
    <t xml:space="preserve">STEAK ANCHO BOVINO FRIGODIAS KG         </t>
  </si>
  <si>
    <t xml:space="preserve">STEAK AURORA CX\30X100GR                </t>
  </si>
  <si>
    <t>STEAK INCRIVEL EMPANADO SEARA CX/16X300GR</t>
  </si>
  <si>
    <t xml:space="preserve">STEAK INCRIVEL SEARA CX\28X100GR        </t>
  </si>
  <si>
    <t>STEAK NOBRE CX\30X100GR</t>
  </si>
  <si>
    <t>STEAK RECHEADO CHEDDER\BACON SEARA CX\25X110GR</t>
  </si>
  <si>
    <t>STEAK RECHEADO LEVISSIMO\QUEIJO SEARA CX\25X110GR</t>
  </si>
  <si>
    <t>STEAK RECHEADO PRESUNTO\QUEIJO SEARA CX\25X110GR</t>
  </si>
  <si>
    <t>STEAK SABOR QUEIJO SEARA CX\72X100GR</t>
  </si>
  <si>
    <t>STEAK TRADICIONAL FRANGOSUL CX\72X100GR</t>
  </si>
  <si>
    <t>STEAK TRADICIONAL REZENDE CX\72X100GR</t>
  </si>
  <si>
    <t>STEAK TRADICIONAL SEARA 72X100G</t>
  </si>
  <si>
    <t>STRANGER EMPANADO CHICKEN SEARA CX/16X275GR</t>
  </si>
  <si>
    <t>STRANGER PIZZA CHEESE SEARA CX/12X210GR</t>
  </si>
  <si>
    <t>STRANGER PIZZA PEPPERONI SEARA CX/12X210GR</t>
  </si>
  <si>
    <t xml:space="preserve">SUCO GOIABA TIAL CX/12X330ML            </t>
  </si>
  <si>
    <t xml:space="preserve">SUCO MANGA 100% TIAL CX/12X1LT          </t>
  </si>
  <si>
    <t xml:space="preserve">SUCO MORANGO 100% TIAL CX/12X1LT        </t>
  </si>
  <si>
    <t xml:space="preserve">SUCO NECTAR CAJU TIAL CX/24X200ML       </t>
  </si>
  <si>
    <t xml:space="preserve">SUCO NECTAR CAJU TIAL CX\12X1LT         </t>
  </si>
  <si>
    <t xml:space="preserve">SUCO NECTAR GOIABA TIAL CX/12X1LT       </t>
  </si>
  <si>
    <t xml:space="preserve">SUCO NECTAR GOIABA TIAL CX/24X200ML     </t>
  </si>
  <si>
    <t xml:space="preserve">SUCO NECTAR LARANJA TIAL CX\12X1LT      </t>
  </si>
  <si>
    <t xml:space="preserve">SUCO NECTAR LARANJA TIAL CX\24X200ML    </t>
  </si>
  <si>
    <t xml:space="preserve">SUCO NECTAR MANGA TIAL  CX/12X1LT       </t>
  </si>
  <si>
    <t xml:space="preserve">SUCO NECTAR MANGA TIAL CX/24X200ML      </t>
  </si>
  <si>
    <t xml:space="preserve">SUCO NECTAR MANGA TIAL CX\12X330ML      </t>
  </si>
  <si>
    <t xml:space="preserve">SUCO NECTAR MARACUJA TIAL CX 12X1LT     </t>
  </si>
  <si>
    <t xml:space="preserve">SUCO NECTAR MARACUJA TIAL CX/24X200ML   </t>
  </si>
  <si>
    <t xml:space="preserve">SUCO NECTAR PESSEGO TIAL CX/12X1LT      </t>
  </si>
  <si>
    <t xml:space="preserve">SUCO NECTAR PESSEGO TIAL CX\24X200ML    </t>
  </si>
  <si>
    <t xml:space="preserve">SUCO NECTAR UVA TIAL CX/12X1LT          </t>
  </si>
  <si>
    <t xml:space="preserve">SUCO NECTAR UVA TIAL CX\24X200ML        </t>
  </si>
  <si>
    <t xml:space="preserve">SUCO UVA 100% TIAL CX/12X1LT            </t>
  </si>
  <si>
    <t xml:space="preserve">SUCO UVA 100% TIAL CX/24X200ML          </t>
  </si>
  <si>
    <t xml:space="preserve">SUCO UVA INTEGRAL OQ  CX\6X1,5 LT       </t>
  </si>
  <si>
    <t>SUCO UVA INTEGRAL TINTO AURORA GAS- 12X2</t>
  </si>
  <si>
    <t>SUCO UVA INTEGRAL TP TINTO AURORA  CX/6X</t>
  </si>
  <si>
    <t xml:space="preserve">SUCO UVA TIAL CX/12X330ML               </t>
  </si>
  <si>
    <t xml:space="preserve">TEKITOS BIG QUEIJO SEARA CX\5X900GR     </t>
  </si>
  <si>
    <t>TEKITOS BIG TRADICIONAL SEARA CX\5X900GR</t>
  </si>
  <si>
    <t xml:space="preserve">TEKITOS SEARA CX\16X300GR               </t>
  </si>
  <si>
    <t xml:space="preserve">TEKITOS SEARA CX\2X2,5KG                </t>
  </si>
  <si>
    <t xml:space="preserve">TEKITOS SEARA CX\5X1KG                  </t>
  </si>
  <si>
    <t xml:space="preserve">TEKITOS SEARA QUEIJO/OREGANO CX/5X1KG   </t>
  </si>
  <si>
    <t>TEKITOS SEARA QUEIJO/OREGANO CX\16X300GR</t>
  </si>
  <si>
    <t xml:space="preserve">TENDER SUINO BOLINHA GOURMET SEARA KG   </t>
  </si>
  <si>
    <t xml:space="preserve">TENDER SUINO BOLINHA PIF PAF CX/6,4KG   </t>
  </si>
  <si>
    <t xml:space="preserve">TENDER SUINO BOLINHA SEARA KG           </t>
  </si>
  <si>
    <t xml:space="preserve">TIRINHAS DE FRANGO AURORA CX\16X275GR   </t>
  </si>
  <si>
    <t xml:space="preserve">TIRINHAS DE FRANGO PIF PAF CX\4X1,5KG   </t>
  </si>
  <si>
    <t xml:space="preserve">TOMAHAWK SUINO TEMP SEARA GOURMET       </t>
  </si>
  <si>
    <t xml:space="preserve">TORRESMO P.FRITO SABOR DA ROCA 25X200GR </t>
  </si>
  <si>
    <t xml:space="preserve">TORRESMO UAI DAS GERAIS CX\20X60GR      </t>
  </si>
  <si>
    <t xml:space="preserve">TORRESMO UAI DAS GERAIS FD\5X200G       </t>
  </si>
  <si>
    <t>2068-0</t>
  </si>
  <si>
    <t xml:space="preserve">TOUCINHO SALGADO SUINO FRIGOLESTE KG    </t>
  </si>
  <si>
    <t>TOUCINHO SUINO ADEEL KG</t>
  </si>
  <si>
    <t>TOUCINHO SUINO DIMELHOR KG</t>
  </si>
  <si>
    <t xml:space="preserve">TOUCINHO SUINO FRANGOGEL KG             </t>
  </si>
  <si>
    <t>TOUCINHO SUINO GRAND MINAS KG</t>
  </si>
  <si>
    <t>TOUCINHO SUINO LOMBAR  ATALAIA KG</t>
  </si>
  <si>
    <t>TOUCINHO SUINO LOMBAR DIMELHOR KG</t>
  </si>
  <si>
    <t xml:space="preserve">TOUCINHO SUINO LOMBAR SEALI  KG         </t>
  </si>
  <si>
    <t xml:space="preserve">TOUCINHO SUINO PALADAR KG               </t>
  </si>
  <si>
    <t>TOUCINHO SUINO PICADO  ADEEL CX/24X1KG</t>
  </si>
  <si>
    <t>170134-0</t>
  </si>
  <si>
    <t>TOUCINHO SUINO PICADO GRAND MINAS KG</t>
  </si>
  <si>
    <t xml:space="preserve">TOUCINHO SUINO PICADO PALADAR CX\20X1KG </t>
  </si>
  <si>
    <t>125300-0</t>
  </si>
  <si>
    <t xml:space="preserve">TOUCINHO SUINO SAUDALI CX/20KG          </t>
  </si>
  <si>
    <t>PALADAR</t>
  </si>
  <si>
    <t xml:space="preserve">TOUCINHO SUINO SEM PELE NOTABLE 20KG    </t>
  </si>
  <si>
    <t>TOUCINHO TEMP. SUINO PICADO DIMELHOR CX/15X800GR</t>
  </si>
  <si>
    <t>UVA PASSA</t>
  </si>
  <si>
    <t>UVA PASSA BRANCA S/SEMENTE TOZZI CX 12X180GR</t>
  </si>
  <si>
    <t>UVA PASSA S/SEMENTE POTE TOZZI 12X180GR</t>
  </si>
  <si>
    <t>UVA PASSA S/SEMENTE SACHE TOZZI  24X70GR</t>
  </si>
  <si>
    <t>UVA PASSA S/SEMENTE TOZZI  10KG</t>
  </si>
  <si>
    <t xml:space="preserve">VINAGRE ALCOO/ALHO TOSCANO CX/12X750 ML </t>
  </si>
  <si>
    <t xml:space="preserve">VINAGRE ALCOOL TOSCANO CX/12X750 ML     </t>
  </si>
  <si>
    <t xml:space="preserve">VINAGRE BALSAMICO TOSCANO CX/12X500ML   </t>
  </si>
  <si>
    <t xml:space="preserve">VINAGRE COLORIDO TOSCANO CX/12X750 ML   </t>
  </si>
  <si>
    <t xml:space="preserve">VINAGRE DE MACA TOSCANO CX/12X750ML     </t>
  </si>
  <si>
    <t>VINAGRE ERVAS FINAS TOSCANO CX/12X750 ML</t>
  </si>
  <si>
    <t>VINAGRE HORTE/PIMET TOSCANO CX/12X750 ML</t>
  </si>
  <si>
    <t xml:space="preserve">VINAGRE LIMAO TOSCANO CX/12X750 ML      </t>
  </si>
  <si>
    <t>VINAGRE MACA 5% B.VIVER TOSCANO CX/12X50</t>
  </si>
  <si>
    <t>VINAGRE VINHO TINTO 6% B.VIVER TOSCANO 1</t>
  </si>
  <si>
    <t xml:space="preserve">VINAGRE VINHO TOSCANO CX/12X750 ML      </t>
  </si>
  <si>
    <t xml:space="preserve">VITAMINA ALEGRINHO CX/27X200ML          </t>
  </si>
  <si>
    <t xml:space="preserve">VITAMINA FRUTAS ALEGRINHO CX\12X1LT     </t>
  </si>
  <si>
    <t xml:space="preserve">VITAMINA FRUTAS CEMIL CX\12X1LT         </t>
  </si>
  <si>
    <t xml:space="preserve">VITAMINA FRUTAS CEMIL CX\27X200ML       </t>
  </si>
  <si>
    <t xml:space="preserve">VITAMINA FRUTAS IBITURUNA CX/12X1LT     </t>
  </si>
  <si>
    <t xml:space="preserve">VITAMINA FRUTAS IBITURUNA CX/27X200ML   </t>
  </si>
  <si>
    <t>VITAMINA FRUTAS QUATA CX/27X180ML</t>
  </si>
  <si>
    <t xml:space="preserve">VITAMINA FRUTAS QUATA CX/27X200ML       </t>
  </si>
  <si>
    <t xml:space="preserve">YAKISOBA SEARA CX/6X500GR               </t>
  </si>
  <si>
    <t>BACON CUBOS ATALAIA CX\12X1KG</t>
  </si>
  <si>
    <t>FILE PIRAMUTABA INTERFOLHADA BUONA PESCA 10KG</t>
  </si>
  <si>
    <t>GORDURA BALDE FRY ELOGIATA 14,5KG</t>
  </si>
  <si>
    <t>LOMBO SUINO MACIO  PIF PAF CX\18KG</t>
  </si>
  <si>
    <t>LOMBO SUINO MACIO FRICASA CX\17KG</t>
  </si>
  <si>
    <t>MARGARINA BALDE 50% CLAYBOM 14KG</t>
  </si>
  <si>
    <t>MARGARINA BALDE 50% CREMOSY  14,5 KG</t>
  </si>
  <si>
    <t>MARGARINA BALDE 75% CUKIN 15 KG</t>
  </si>
  <si>
    <t>MARGARINA BALDE 75% DELICATA 15KG</t>
  </si>
  <si>
    <t>MARGARINA BALDE 80% CUKIN 15 KG</t>
  </si>
  <si>
    <t>MARGARINA BALDE 80% ELOGIATA  15KG</t>
  </si>
  <si>
    <t>MARGARINA CREMOSY CX/24X250GR 997873</t>
  </si>
  <si>
    <t>OLEO DE ALGODAO BALDE ELOGIATA 14KG</t>
  </si>
  <si>
    <t>PRESUNTO ROYAL SEARA FATIADO CX/18X100GR</t>
  </si>
  <si>
    <t>BACALHAU POSTA SAITHE CX/8X1KG</t>
  </si>
  <si>
    <t>FILE TILAPIA RIVIERA CX/15X800GR</t>
  </si>
  <si>
    <t>SOBRECOXA IQF PIF PAF CX/12X1KG</t>
  </si>
  <si>
    <t>BANHA AURORA CX\15X1KG</t>
  </si>
  <si>
    <t>COSTELA SUINA DA BARRIGA PCT ADEEL KG</t>
  </si>
  <si>
    <t>ASA FRANGO ENVELOPADA FRIAL CX\20KG</t>
  </si>
  <si>
    <t>BATATA PALHA EXTRA FINA  MAGU FD/30X100GR</t>
  </si>
  <si>
    <t>BATATA PALHA EXTRA FINA CHEF FD/15X800GR</t>
  </si>
  <si>
    <t>CORACAO FRANGO BANDEJA RIVELLI CX\12X1KG</t>
  </si>
  <si>
    <t>COSTELA SUINA TEMPERADA MELLORE KG</t>
  </si>
  <si>
    <t>COSTELA SUINA TEMPERADA SEALI KG</t>
  </si>
  <si>
    <t>300524-0</t>
  </si>
  <si>
    <t>COXA IQF LAR CX\15X1KG</t>
  </si>
  <si>
    <t>300303-0</t>
  </si>
  <si>
    <t>COXINHA DA ASA TEMP IQF LAR CX\20X700GR</t>
  </si>
  <si>
    <t>COXINHA DE FRANGO PIF PAF CX\20X300GR</t>
  </si>
  <si>
    <t>DESATIVADO</t>
  </si>
  <si>
    <t>FRANGO PASSARINHO TEMP. BIG FRANGO CX\18KG</t>
  </si>
  <si>
    <t>GALINHA GORDA BIP CX/22KG</t>
  </si>
  <si>
    <t>LEITE CONDENSADO DAMARE CX\27X395GR</t>
  </si>
  <si>
    <t>LING CHIMICHURRI SEARA CX/30X600GR</t>
  </si>
  <si>
    <t>LING FRANGO SEARA CX/30X600GR</t>
  </si>
  <si>
    <t>LING PERNIL SEARA CX/30X600GR</t>
  </si>
  <si>
    <t>LING PIMENTA BIQUINHO SEARA GOURMET 12X500G</t>
  </si>
  <si>
    <t>LING SUINA C\BACON SEARA CX/30X600GR</t>
  </si>
  <si>
    <t>LING SUINA SEARA CX/30X600GR</t>
  </si>
  <si>
    <t>LING TOSCANA GRAND MINAS CX/5X5KG</t>
  </si>
  <si>
    <t>LING TOSCANA SEARA CX/30X600GR</t>
  </si>
  <si>
    <t>MAIONESE SACHE SOYA CX\6X1KG</t>
  </si>
  <si>
    <t>MOELA DE FRANGO PCT PIF PAF CX/20KG</t>
  </si>
  <si>
    <t>PALETA BOVINA PCT PALADAR KG</t>
  </si>
  <si>
    <t>PAO DE QUEIJO BISCOITO PROVOLONE FORNERIA 5X2KG</t>
  </si>
  <si>
    <t>PAO DE QUEIJO MINI BISCOITO DE PROVOLONE FORNERIA 8X1KG</t>
  </si>
  <si>
    <t>PATINHO BOVINO FRIGODIAS KG</t>
  </si>
  <si>
    <t>PIZZA BACON AIRFRYER  CX12X250GR</t>
  </si>
  <si>
    <t>PIZZA MUSSARELA AIRFRYER CX12X220GR</t>
  </si>
  <si>
    <t>SALSICHA RESFRIADA SEARA CX\4X3KG</t>
  </si>
  <si>
    <t>KIT FEIJOADA DUPORCO CX\8X1KG</t>
  </si>
  <si>
    <t>BARRA CEREAL AVEIA BANANA MEL NUTRY 24X22G</t>
  </si>
  <si>
    <t>BARRA PROTEIN CHOCOLATE\LEITE NUTRY 12X30G</t>
  </si>
  <si>
    <t>CREME DE LEITE IBITURUNA CX\27X200GR</t>
  </si>
  <si>
    <t>BARRA PROTEIN PASTA AMENDOIM NUTRY CX\24X3X30G</t>
  </si>
  <si>
    <t>BARRA PROTEIN CHOCOLATE\LEITE NUTRY CX\24X3X30G</t>
  </si>
  <si>
    <t>BARRA PROTEIN COOKIES NUTRY CX\24X3X30G</t>
  </si>
  <si>
    <t>BARRA CEREAL BANANA NUTRY 24X22GR</t>
  </si>
  <si>
    <t>BARRA CEREAL CASTANHA-DO-BRASIL  NUTRY 24X22GR</t>
  </si>
  <si>
    <t>BARRA BANANINHA ZERO NUTRY 24X23GR</t>
  </si>
  <si>
    <t>BARRA FRUTA COCO\CHOC NUTRY 24X19G</t>
  </si>
  <si>
    <t>BARRA FRUTA AMEIXA NUTRY 24X20G</t>
  </si>
  <si>
    <t>BARRA FRUTA BANANA NUTRY 24X20G</t>
  </si>
  <si>
    <t>BARRA TUBE PROTEIN MORANGO NUTRY 12X38GR</t>
  </si>
  <si>
    <t>BARRA TUBE PROTEIN CHOCOLATE NUTRY  12X38GR</t>
  </si>
  <si>
    <t>BARRA TUBE PROTEIN COOKIES NUTRY 12X38GR</t>
  </si>
  <si>
    <t>FARINHA LACTEA NUTRIMENTALCX/12X180G</t>
  </si>
  <si>
    <t>MARGARINA CREMOSY 50%  CX\12X1KG</t>
  </si>
  <si>
    <t>BARRA CEREAL AVEIA BANANA MEL NUTRY CX\24X3X22G</t>
  </si>
  <si>
    <t>BARRA CEREAL AVELA CHOCOLATE NUTRY CX\24X3X22G</t>
  </si>
  <si>
    <t>BARRA CEREAL BOLO CHOCOLATE NUTRY CX\24X3X22G</t>
  </si>
  <si>
    <t>BARRA CEREAL CAJU CHOCOLATE  NUTRY CX\24X3X22G</t>
  </si>
  <si>
    <t>BARRA CEREAL COCO CHOCOLATE NUTRY CX\24X3X22G</t>
  </si>
  <si>
    <t>BARRA CEREAL FRUTAS VERMELHAS NUTRY CX\24X3X22G</t>
  </si>
  <si>
    <t>BARRA CEREAL MORANGO CHOCOLATE NUTRY CX\24X3X22G</t>
  </si>
  <si>
    <t>COXINHA DE FRANGO C/ REQUIJAO PIF PAF CX\20X300GR</t>
  </si>
  <si>
    <t>NUTRIBOM AVEIA E ARROZ 12X600G</t>
  </si>
  <si>
    <t>NUTRIBOM MILHO 12X360G</t>
  </si>
  <si>
    <t>NUTRIBOM MULTICEREAIS 12X360G</t>
  </si>
  <si>
    <t>NUTRIBOM MULTICEREAIS 12X600G</t>
  </si>
  <si>
    <t>MÊS PASSADO</t>
  </si>
  <si>
    <t>ACUCAR DMAIS (SACHE) 400X5GR</t>
  </si>
  <si>
    <t>BACON MANTA REZENDE KG</t>
  </si>
  <si>
    <t>BARRA CEREAL COOKIES CREAM NUTRY 24X20G</t>
  </si>
  <si>
    <t>FILE MERLUZA INTERF. ARGENTINA CX\12KG</t>
  </si>
  <si>
    <t>2689A</t>
  </si>
  <si>
    <t>TORRESMO  UAI DAS GERAIS 15X180GR</t>
  </si>
  <si>
    <t>BISTECA SUINA IQF SADIA CX10/800GR</t>
  </si>
  <si>
    <t>BACON PALETA  PIF PAF CX 8KG</t>
  </si>
  <si>
    <t>BARRA CEREAL TRUFA  NUTRY 24X20GR</t>
  </si>
  <si>
    <t>BATATA CHIPS BRASA MOMENTOS CX\26X90G</t>
  </si>
  <si>
    <t>BATATA CHIPS CEBOLA/SALSA FAVORITOOS CX\24X40G</t>
  </si>
  <si>
    <t>BATATA CHIPS CHURRASCO FAVORITOOS CX\24X40G</t>
  </si>
  <si>
    <t>BATATA CHIPS FRANGO MOMENTOS CX\26X90G</t>
  </si>
  <si>
    <t>BATATA CHIPS NATURAL FAVORITOOS CX\24X40G</t>
  </si>
  <si>
    <t>BATATA CHIPS PIMENTA MOMENTOS CX\26X90G</t>
  </si>
  <si>
    <t>BATATA PALHA EXTRA FINA FAVORITTA 12X800GR</t>
  </si>
  <si>
    <t>BATATA PALHA PREMIUM MONREVE CX 20X100G</t>
  </si>
  <si>
    <t>CHOCOLATE EM PÓ DAMARE 50% CACAU 1,010KG</t>
  </si>
  <si>
    <t>COXAO DURO PCT BOVINO FRIGO DIAS KG</t>
  </si>
  <si>
    <t>COXAO MOLE PCT BOVINO FRIGO DIAS KG</t>
  </si>
  <si>
    <t>CREME CULINÁRIO UHT DAMARE 1,01KG</t>
  </si>
  <si>
    <t>LEITE EM PO INTEGRAL DAMARE FD\25X400G</t>
  </si>
  <si>
    <t>MEIO DA ASA TEMP. IQF SEARA CX/12X1KG</t>
  </si>
  <si>
    <t>TEKITOS FORMATOS CX 20X275GR</t>
  </si>
  <si>
    <t>BACON CUBOS ADEEL CX/10X200GR</t>
  </si>
  <si>
    <t>BACON CUBOS ADEEL CX/12X1KG</t>
  </si>
  <si>
    <t>BATATA P.FRITA FLIP  PIF PAF CX\10X1,05KG</t>
  </si>
  <si>
    <t xml:space="preserve">MUSSARELA FATIADA CRISTAULAT CX\10X1KG  </t>
  </si>
  <si>
    <t>MUSSARELA FATIADA CRISTAULAT CX\40X150GR</t>
  </si>
  <si>
    <t>SALAME NFX LATA BRIDGERTON  320GR</t>
  </si>
  <si>
    <t>BARRIGA MANTA SUINA FRIGONANDO  KG</t>
  </si>
  <si>
    <t>COSTELA BOVINA TIRAS FRIGONANDO KG</t>
  </si>
  <si>
    <t>KETCHUP TRADICIONAL SACHE FUGINI 1,7KG</t>
  </si>
  <si>
    <t>MOLHO TOMATE PIZZA SACHE FUGINI 1,7KG</t>
  </si>
  <si>
    <t>PALETA BOVINA FRIGONANDO KG</t>
  </si>
  <si>
    <t>PEIXE TAMBAQUI COSTELA ZALTANA CX\24X400G</t>
  </si>
  <si>
    <t>BACALHAU LOMBO DESSALGADO PESCA NOBRE CX/12X800GR</t>
  </si>
  <si>
    <t>BARRA FRUTAS VERMELHAS NUTRY  24X20G</t>
  </si>
  <si>
    <t>FILE POLACA ALASCA BACALANOR CX\20X500G</t>
  </si>
  <si>
    <t>FILE POLACA ALASCA DHFISH CX\20X500G</t>
  </si>
  <si>
    <t>FILE POLACA ALASCA JETFISH CX\12X800G</t>
  </si>
  <si>
    <t>FILE TILAPIA CARA PRETA CX/22X500G</t>
  </si>
  <si>
    <t>FILE TILAPIA RIVIERA CX/14X400GR</t>
  </si>
  <si>
    <t>GALINHA PASSARINHO SABOROSA CX/20KG</t>
  </si>
  <si>
    <t>LOMBO SUINO PCT DICASA KG</t>
  </si>
  <si>
    <t xml:space="preserve">MAIONESE SACHÊ LACHEIRO 600X5GR         </t>
  </si>
  <si>
    <t>MASCARA C\ORELHA COMPLETA SUINA DICASA KG</t>
  </si>
  <si>
    <t>MEIO DA ASA AURORA INTER. CX15KG</t>
  </si>
  <si>
    <t>MEIO DA ASA IQF AURORA CX/10X1KG</t>
  </si>
  <si>
    <t>MEIO DA ASA IQF AURORA CX/4X3KG</t>
  </si>
  <si>
    <t>MUSCULO TRASEIRO BOVINO CONG. FRIGONANDO KG</t>
  </si>
  <si>
    <t>PEIXE PIRAMUTABA POSTA S\PELE MULTIPESC CX/20X1KG</t>
  </si>
  <si>
    <t>PEIXE SURUBIM POSTA MULTIPESC 15X1KG</t>
  </si>
  <si>
    <t>PICANHA SUINA DICASA KG</t>
  </si>
  <si>
    <t>BACALHAU POSTA SAITHE PESCA NOBRE CX/12X800GR</t>
  </si>
  <si>
    <t>BARRIGA EM TIRAS GRILL TEMP PIF PAF CONG CX10KG</t>
  </si>
  <si>
    <t>CORACAO FRANGO BDJ NHO BENTO CX\15X600G</t>
  </si>
  <si>
    <t>DOCE DE LEITE COM AMIDO CRISTAULAT BALDE 4,6KG</t>
  </si>
  <si>
    <t>FILE MERLUZA PEIXE&amp;CIA 20X1KG</t>
  </si>
  <si>
    <t>FILE PIRAMUTABA PEIXE&amp;CIA CX\20X1KG</t>
  </si>
  <si>
    <t>FILE TAMBAQUI PEDACO ZALTANA 24X400GR</t>
  </si>
  <si>
    <t>FILE TILAPIA CARA PRETA CX/30X400G</t>
  </si>
  <si>
    <t>FRANGO PASSARINHO PADARIA  IQF TEMP .SEARA 12X1KG</t>
  </si>
  <si>
    <t>PA110009</t>
  </si>
  <si>
    <t>KETCHUP BILLY DJAN 50X35G</t>
  </si>
  <si>
    <t>PA110004</t>
  </si>
  <si>
    <t>MAIONESE BACON BILLY DJAN 50X35G</t>
  </si>
  <si>
    <t>PA110003</t>
  </si>
  <si>
    <t>MAIONESE CHURRASCO BILLY DJAN 50X35G</t>
  </si>
  <si>
    <t>PA110008</t>
  </si>
  <si>
    <t>MOLHO BARBECUE BILLY DJAN 50X35G</t>
  </si>
  <si>
    <t>PA110001</t>
  </si>
  <si>
    <t>MOLHO PICLES BILLY DJAN 50X35G</t>
  </si>
  <si>
    <t>PA110002</t>
  </si>
  <si>
    <t>MOLHO VERDE BILLY DJAN 50X35G</t>
  </si>
  <si>
    <t>OLEO DE ALGODAO ELOGIATA CX\20X900ML</t>
  </si>
  <si>
    <t>OLEO DE SOJA SOYA CX/20X900ML</t>
  </si>
  <si>
    <t>PEIXE</t>
  </si>
  <si>
    <t>PEIXE DOURADA POSTA PEIXE&amp;CIA CX\20X1KG</t>
  </si>
  <si>
    <t>PEIXE PIRAMUTABA POSTA S\PELE 20X1KG</t>
  </si>
  <si>
    <t>PEIXE PIRAMUTABA POSTA SEM PELE 8X1KG</t>
  </si>
  <si>
    <t>PESSEGO CALDA LT OLE CX 12X450GR</t>
  </si>
  <si>
    <t>PESSEGO CALDA LT TOZZI CX 12X450GR</t>
  </si>
  <si>
    <t>PESSEGO CALDA ZERO ACUCAR LT TOZZI CX12X450GR</t>
  </si>
  <si>
    <t>COSTELA SUINA TEMP. RESFRIADA PIF PAF CX/10KG</t>
  </si>
  <si>
    <t>ERVILHA LATAO PREDILECTA  CX\6X1,7KG</t>
  </si>
  <si>
    <t>PE DE FRANGO PCT  REAL CX\15KG</t>
  </si>
  <si>
    <t>BARRIGA MANTA SUINA SEALI KG</t>
  </si>
  <si>
    <t>COSTELA ABA BARRIGA SUINA REZENDE CX18KG</t>
  </si>
  <si>
    <t>COSTELA INTEIRA SUINA SEARA CX\15KG</t>
  </si>
  <si>
    <t>OLEO DE ALGODAO ELOGIATA 5,1LT</t>
  </si>
  <si>
    <t>SEARA PROTEIN FRANGO 12X270G</t>
  </si>
  <si>
    <t>SEARA PROTEIN MIGNON  12X270G</t>
  </si>
  <si>
    <t>SEARA PROTEIN PICADINHO 12X270G</t>
  </si>
  <si>
    <t>COSTELA SUINA ( RECORTE ) FRIGONANDO KG</t>
  </si>
  <si>
    <t>COSTELA SUINA EM TIRAS FRIGONANDO KG</t>
  </si>
  <si>
    <t>ESPINHAÇO SUINO FRIGONANDO  KG</t>
  </si>
  <si>
    <t>FARINHA TRIGO PASTEL SUPREMA 5KG</t>
  </si>
  <si>
    <t>FARINHA TRIGO PIZZA SUPREMA 5KG</t>
  </si>
  <si>
    <t>LING TOSCANA SEARA  5KG</t>
  </si>
  <si>
    <t>LOMBO SUINO FRIGONANDO KG</t>
  </si>
  <si>
    <t>MINI HOT DOG COREANO NETFLIX SEARA 12X245G</t>
  </si>
  <si>
    <t>MUSCULO BOVINO FRIGODIAS KG</t>
  </si>
  <si>
    <t>BATATA P.FRITA CRINKLE QUALITY FRIES  CX\10X1,050KG</t>
  </si>
  <si>
    <t>DOBRADINHA BOVINA FRIGODIAS KG</t>
  </si>
  <si>
    <t>KETCHUP PREDILECTA CX\24X200GR</t>
  </si>
  <si>
    <t>KETCHUP PREDILECTA CX\24X400GR</t>
  </si>
  <si>
    <t>MORTADELA FRANGO SEARA 12X400G</t>
  </si>
  <si>
    <t>PAO DE QUEIJO C\CARNE SECA FORNERIA CX\20X400GR</t>
  </si>
  <si>
    <t>PAO DE QUEIJO C\FRANGO FORNERIA CX\20X400GR</t>
  </si>
  <si>
    <t>PAO DE QUEIJO C\GOIABADA FORNERIA CX\20X400G</t>
  </si>
  <si>
    <t>PAO DE QUEIJO C\REQUEIJAO FORNERIA CX\10X800GR</t>
  </si>
  <si>
    <t>PAO DE QUEIJO C\REQUEIJAO FORNERIA CX\20X400GR</t>
  </si>
  <si>
    <t>PAO DE QUEIJO CHIPA FORNERIA  CX\6X1KG</t>
  </si>
  <si>
    <t>SALSICHÃO PIF PAF CX\3X2KG</t>
  </si>
  <si>
    <t>BACON TABLETE SEARA GOURMET CX\30X150GR</t>
  </si>
  <si>
    <t>BARRA FRUTA BANANINHA NUTRY  24X30G</t>
  </si>
  <si>
    <t>BARRA PROTEIN BOMBOM DE COCO NUTRY 12X30G</t>
  </si>
  <si>
    <t>COXAO MOLE BOVINO CARA PRETA KG</t>
  </si>
  <si>
    <t>LING T.CALABRESA FATIADA SEARA CX\8X1KG</t>
  </si>
  <si>
    <t>LING T.CALABRESA LEBON CX\12X400GR</t>
  </si>
  <si>
    <t>MAIONESE SOYA BALDE 3KG</t>
  </si>
  <si>
    <t>MAIONESE SOYA SACHE 3KG</t>
  </si>
  <si>
    <t>MARROM GLACE FLOW PACK PREDILECTA CX/24X350GR</t>
  </si>
  <si>
    <t>APRESUNTADO REZENDE  3,4KG</t>
  </si>
  <si>
    <t>ESPINHAÇO SUINO FRIGOLESTE KG</t>
  </si>
  <si>
    <t>LING SUINA DEF.FINA APIMENTADA TROPEIRA CX\13X400GR</t>
  </si>
  <si>
    <t>VITAMINA FRUTAS DAMARE KIDS  24X200GR</t>
  </si>
  <si>
    <t>BATATA PALHA OURO MINAS FD 16X900GR</t>
  </si>
  <si>
    <t>BATATA PALHA OURO MINAS FD 36X400G</t>
  </si>
  <si>
    <t>CORACAO FRANGO BANDEJA LAR CX16X1KG</t>
  </si>
  <si>
    <t>CORACAO FRANGO PCT  LAR CX24X700G</t>
  </si>
  <si>
    <t>FILEZINHO SASSAMI PCT AURORA CX\16KG</t>
  </si>
  <si>
    <t>HAMBURGUERDE CARNE BOVINA CARA PRETA 30X120GR</t>
  </si>
  <si>
    <t>LING CARA PRETA COSTELA C/QUEIJO 18X420G</t>
  </si>
  <si>
    <t>PAO DE QUEIJO LANCHE 80GR FORNERIA CX\4X2KG</t>
  </si>
  <si>
    <t>PAO DE QUEIJO TRADICIONAL FORNERIA CX\20X400GR</t>
  </si>
  <si>
    <t>PAO DE QUEIJO TRADICIONAL FORNERIA CX\8X1KG</t>
  </si>
  <si>
    <t>SOBRECOXA IQF RIVELLI CX\18X900G</t>
  </si>
  <si>
    <t>STEAK DE FRANGO LAR CX\30X100GR</t>
  </si>
  <si>
    <t>TIRINHAS DE FRANGO LAR CX\10X700GR</t>
  </si>
  <si>
    <t>AZEITONA VERDE C/CAROCO COPO ABRE FACIL TOZZI  24X100GR</t>
  </si>
  <si>
    <t>COSTELA PASSARINHO TEMP. DIMELHOR 20X800GR</t>
  </si>
  <si>
    <t>FARINHA TRIGO SALGADOS SUPREMA 5KG</t>
  </si>
  <si>
    <t>KIBE AIRFRYER SEARA CX/8X840GR</t>
  </si>
  <si>
    <t>MANDIOCA EM CUBOS RIPA 10X800GR</t>
  </si>
  <si>
    <t>MANDIOCA EM CUBOS RIPA 20X400GR</t>
  </si>
  <si>
    <t>PEIXE EVISCERADO PATI CX\20KG</t>
  </si>
  <si>
    <t>STRANGER EMP COMBO CX\6X400G</t>
  </si>
  <si>
    <t>COPA LOMBO SUINO FRIGODIAS KG</t>
  </si>
  <si>
    <t>PALETA SUINA FRIGODIAS KG</t>
  </si>
  <si>
    <t>PERNIL SUINO FRIGODIAS  KG</t>
  </si>
  <si>
    <t>CORACAO FRANGO PCT RIVELLI CX\30X700GR</t>
  </si>
  <si>
    <t>FILÉ DE SALMAO ATLANT PREMIUM CX/10KG</t>
  </si>
  <si>
    <t>BATATA PALHA LANCHERO 12X800G</t>
  </si>
  <si>
    <t>BATATA PALHA LANCHERO 24X400G</t>
  </si>
  <si>
    <t>EMPANITOS DE FRANGO LAR CX\4X1,5KG</t>
  </si>
  <si>
    <t>FIGADO BOVINO DICASA KG</t>
  </si>
  <si>
    <t>LEITE EM PO INTEGRAL INSTANTANEO GLORIA  FD\25X360GR</t>
  </si>
  <si>
    <t>LEITE EM PO INTEGRAL INSTANTANEO PIRACANJUBA FDX25X400G</t>
  </si>
  <si>
    <t>LEITE EM PO INTEGRAL ITALAC FD\25X400G</t>
  </si>
  <si>
    <t>LEITE EM PO INTEGRAL PIRACANJUBA FD/25X400G</t>
  </si>
  <si>
    <t>MEIO DA ASA TEMPERADO PIF PAF CX\24X700GR</t>
  </si>
  <si>
    <t>MILHO VERDE LATAO PREDILECTA 1,5KG</t>
  </si>
  <si>
    <t>PAO DE QUEIJO LEVE MINAS TRADICIONAL CX\12X1KG</t>
  </si>
  <si>
    <t>PASTA ALHO SEARA CX\24X200GR</t>
  </si>
  <si>
    <t>PEITO FRANGO ENVELOPADO LAR CX\18KG</t>
  </si>
  <si>
    <t>PICANHA  A BOVINA MATOSO KG</t>
  </si>
  <si>
    <t>ACEM BOVINO PCT PLENA  KG</t>
  </si>
  <si>
    <t>EMPANADO QUEIJO TURMA DA MONICA CX\16X300GR</t>
  </si>
  <si>
    <t>FILEZINHO SASSAMI TEMP. IQF LAR CX\20X700GR</t>
  </si>
  <si>
    <t>MINI HAMB BOV/SUI SEARA 9X300GR</t>
  </si>
  <si>
    <t>PAO DE QUEIJO USAR NE OUTRO</t>
  </si>
  <si>
    <t>APRESUNTADO NOBRE AURORA 3,7KG</t>
  </si>
  <si>
    <t>ACEM BOVINO CARA BRANCA KG</t>
  </si>
  <si>
    <t>ACEM BOVINO FRIGONANDO KG</t>
  </si>
  <si>
    <t>BIFE VAZIO BOVINA (FLANK STEAK) CARA BRANCA KG</t>
  </si>
  <si>
    <t>COXA SOBRECOXA BANDEJA AURORA 12X1KG</t>
  </si>
  <si>
    <t>COXA SOBRECOXA BANDEJA RIVELLI 12X1KG</t>
  </si>
  <si>
    <t>COXA SOBRECOXA DORSAL ENVEL BIG FRANGO CX 18KG</t>
  </si>
  <si>
    <t>COXA SOBRECOXA DORSAL ENVEL LAR CX 18KG</t>
  </si>
  <si>
    <t>COXA SOBRECOXA ENVEL  AVE NOVA CX 20KG</t>
  </si>
  <si>
    <t>COXA SOBRECOXA ENVEL  FERREIRA CX 20KG</t>
  </si>
  <si>
    <t>COXA SOBRECOXA ENVEL  FRANCAP CX 20KG</t>
  </si>
  <si>
    <t>COXA SOBRECOXA ENVEL  FREDINI CX 20KG</t>
  </si>
  <si>
    <t>COXA SOBRECOXA ENVEL  FRIALL CX 20KG</t>
  </si>
  <si>
    <t>COXA SOBRECOXA ENVEL  LAR CX 20KG</t>
  </si>
  <si>
    <t>COXA SOBRECOXA ENVEL  REAL CX 20KG</t>
  </si>
  <si>
    <t>COXA SOBRECOXA ENVEL ATALAIA CX 20KG</t>
  </si>
  <si>
    <t>COXA SOBRECOXA ENVEL SEARA CX 15KG</t>
  </si>
  <si>
    <t>COXA SOBRECOXA INTERF FERREIRA CX 20KG</t>
  </si>
  <si>
    <t>COXA SOBRECOXA INTERF FRANCAP CX 20KG</t>
  </si>
  <si>
    <t>COXA SOBRECOXA INTERF FREDINI CX 20KG</t>
  </si>
  <si>
    <t>COXA SOBRECOXA INTERF FRIALL CX 20KG</t>
  </si>
  <si>
    <t>COXA SOBRECOXA INTERF REAL CX 20KG</t>
  </si>
  <si>
    <t>COXA SOBRECOXA INTERF SEARA CX 15KG</t>
  </si>
  <si>
    <t>COXA SOBRECOXA PCT  ATALAIA CX 20KG</t>
  </si>
  <si>
    <t>COXA SOBRECOXA PCT  AVE NOVA CX 20KG</t>
  </si>
  <si>
    <t>COXA SOBRECOXA PCT FERREIRA CX 20KG</t>
  </si>
  <si>
    <t>COXA SOBRECOXA PCT FRANCAP CX 20KG</t>
  </si>
  <si>
    <t>COXA SOBRECOXA PCT FREDINI CX 20KG</t>
  </si>
  <si>
    <t>COXA SOBRECOXA PCT FRIALL CX 20KG</t>
  </si>
  <si>
    <t>COXA SOBRECOXA PCT PIF PAF CX 20KG</t>
  </si>
  <si>
    <t>COXA SOBRECOXA PCT REAL CX 20KG</t>
  </si>
  <si>
    <t>COXAO DURO BOVINO FRIGORAÇA KG</t>
  </si>
  <si>
    <t>COXINHA DA ASA BANDEJA AURORA CX 12X1KG</t>
  </si>
  <si>
    <t>COXINHA DA ASA BANDEJA LAR CX 16X1KG</t>
  </si>
  <si>
    <t>COXINHA DA ASA BANDEJA RIVELLI CX 12X1KG</t>
  </si>
  <si>
    <t>COXINHA DA ASA BANDEJA SEARA CX 12X1KG</t>
  </si>
  <si>
    <t>COXINHA DA ASA ENVEL  RIVELLI CX 20KG</t>
  </si>
  <si>
    <t>COXINHA DA ASA ENVEL LAR CX 20KG</t>
  </si>
  <si>
    <t>COXINHA DA ASA ENVEL SEARA CX 18X1KG</t>
  </si>
  <si>
    <t>COXINHA DA ASA IQF AURORA CX 10X1KG</t>
  </si>
  <si>
    <t>COXINHA DA ASA IQF PIF PAF CX 16X700GR</t>
  </si>
  <si>
    <t>COXINHA DA ASA IQF RIVELLI CX 20X800GR</t>
  </si>
  <si>
    <t>COXINHA DA ASA IQF SADIA CX 8X1KG</t>
  </si>
  <si>
    <t>COXINHA DA ASA IQF SEARA CX 12X1KG</t>
  </si>
  <si>
    <t>FILE TILAPIA C VALE CX 24X400G</t>
  </si>
  <si>
    <t>FILE TILAPIA PEDACOS C VALE CX 22X500G</t>
  </si>
  <si>
    <t>PETISCO TILAPIA BARRIGA C VALE CX 20X500G</t>
  </si>
  <si>
    <t>TILAPIA POSTA C VALE CX 16X800G</t>
  </si>
  <si>
    <t>AGUA COCO DUCOCO  BLEND CX/12X1LT</t>
  </si>
  <si>
    <t>AGUA COCO DUCOCO BLEND CX/27X200ML</t>
  </si>
  <si>
    <t>BEB. LACTEA MORANGO CEMIL CX\12X1LT</t>
  </si>
  <si>
    <t>COSTELA SUINA EM TIRAS DICASA KG</t>
  </si>
  <si>
    <t>COXA SOBRECOXA EMP (FRANGO ORIENTAL NETFLIX) SEARA CX/16X275G</t>
  </si>
  <si>
    <t>COXINHA DA ASA PCT TEMP C VALE CX 18X1KG</t>
  </si>
  <si>
    <t>FARINHA TRIGO SUPREMA PREMIATA 5KG</t>
  </si>
  <si>
    <t>FILE COXA\SOBRECOXA TEMP IQF LAR CX\20X700GR</t>
  </si>
  <si>
    <t>FILEZINHO DE PEITO BDJ PIF PAF CX\12X1KG</t>
  </si>
  <si>
    <t>LEITE CONDENSADO CEMIL 2X5KG</t>
  </si>
  <si>
    <t>LING CHURRASCO LEBON 32X600GR</t>
  </si>
  <si>
    <t>LING FRANGO LEBON CX\32X600GR</t>
  </si>
  <si>
    <t>LOMBO SUINO INTERIO DICASA  KG</t>
  </si>
  <si>
    <t>MILHO VERDE LATA RAMY CX\30X170GR</t>
  </si>
  <si>
    <t>MORTADELA ITALIANA FATIADA SEARA CX\18X100GR</t>
  </si>
  <si>
    <t>PEIXE DESFIADO SAITHE E POLACA CX 12X300G</t>
  </si>
  <si>
    <t>PEIXE SURUBIM FILE CX/2X10KG</t>
  </si>
  <si>
    <t>PIZZA MARGHERITA SEARA CX\8X360G</t>
  </si>
  <si>
    <t>PRESUNTO ALEMÃO SEARA FATIADO CX/18X100GR</t>
  </si>
  <si>
    <t>PRESUNTO CRU ITALIANO FATIADO SEARA CX/18X120GR</t>
  </si>
  <si>
    <t>SACOLA RECICLADA BRANCA 40X50 PCT 5KG</t>
  </si>
  <si>
    <t>SALSICHA INCRIVEL SEARA CX\10X240GR</t>
  </si>
  <si>
    <t>SALSICHA T.VIENA LT ANGLO CX\24X180G</t>
  </si>
  <si>
    <t>SALSICHA T.VIENA LT FRISA CX\24X180GR</t>
  </si>
  <si>
    <t>TOUCINHO SUINO LOMBAR  DICASA  KG</t>
  </si>
  <si>
    <t>ALCATRA COMPLETA GRILL BOVINA ALIMENTAR KG</t>
  </si>
  <si>
    <t>ALCATRA COMPLETA GRILL BOVINA FRIGODIAS KG</t>
  </si>
  <si>
    <t>ALCATRA COMPLETA GRILL BOVINA MATOSO  KG</t>
  </si>
  <si>
    <t>ALCATRA COMPLETA GRILL BOVINA PLENA  KG</t>
  </si>
  <si>
    <t>ALCATRA SUINA TEMPERADA DI MELHOR KG</t>
  </si>
  <si>
    <t>ALCATRA SUINA TEMPERADA SEALI KG</t>
  </si>
  <si>
    <t>AZEITONA SACHE VALE FERT CX/12X</t>
  </si>
  <si>
    <t>COXA SOBRECOXA ENVEL RIVELLI CX 20KG</t>
  </si>
  <si>
    <t>MAIONESE SACHE SALADA 1KG</t>
  </si>
  <si>
    <t>REQUEIJAO C.CHEESE BISNAGA SCALA 1,2KG</t>
  </si>
  <si>
    <t>REQUEIJAO C.CHEESE BISNAGA SCALA 400GR</t>
  </si>
  <si>
    <t>REQUEIJAO CHEDDAR BISNAGA SCALA 1,5KG</t>
  </si>
  <si>
    <t>REQUEIJAO CHEDDAR BISNAGA SCALA 400GR</t>
  </si>
  <si>
    <t>ASA FRANGO BANDEJA AVIVAR CX\12X1KG</t>
  </si>
  <si>
    <t>ASA FRANGO BANDEJA SEARA CX\12X1KG</t>
  </si>
  <si>
    <t>COCO RALADO SECO 100 % DUCOCO 1KG</t>
  </si>
  <si>
    <t>CONTRA FILE BOVINO PCT CARA BRANCA KG</t>
  </si>
  <si>
    <t>ERVILHA LATAO PREDILECTA  1,5KG</t>
  </si>
  <si>
    <t>FILE PEITO BANDEJA AURORA CX12X1KG</t>
  </si>
  <si>
    <t>FILE PEITO BANDEJA SEARA CX12X1KG</t>
  </si>
  <si>
    <t>FILE TILAPIA  INTER. PESCA NOBRE CX/5KG</t>
  </si>
  <si>
    <t>MARGARINA BALDE 60% PRIMOR 3KG</t>
  </si>
  <si>
    <t xml:space="preserve">MUSSARELA CRISTAULAT KG                 </t>
  </si>
  <si>
    <t>REQUEIJAO BISNAGA CRISTAULAT 1,5KG</t>
  </si>
  <si>
    <t>SALAME PISTACHE SEARA GOURMET</t>
  </si>
  <si>
    <t>SALSICHA AMERICAN GRILL DEF. BOVINA CX/30X330G</t>
  </si>
  <si>
    <t/>
  </si>
  <si>
    <t>LING FRANGO PETISCO LAR CX\20X700GR</t>
  </si>
  <si>
    <t>LING FRANGO FINA LAR CX\15X1KG</t>
  </si>
  <si>
    <t>BEB.LACTEA ABACAXI CEMIL CX\27X200ML</t>
  </si>
  <si>
    <t>CARNE BOVINA MOIDA CRUZEIRO DO SUL CX/24X1KG</t>
  </si>
  <si>
    <t>CARNE BOVINA MOIDA CRUZEIRO DO SUL CX/48X500G</t>
  </si>
  <si>
    <t>CREME DE RICOTA LIGHT SCALA CX\12X200GR</t>
  </si>
  <si>
    <t>CREME DE RICOTA SCALA CX\12X200GR</t>
  </si>
  <si>
    <t>FIGADO BOVINO CONGELADO CRUZEIRO DO SUL KG</t>
  </si>
  <si>
    <t>FIGADO BOVINO HIPERCARNES KG</t>
  </si>
  <si>
    <t>GALINHA GORDA ROSAVES CX/20KG</t>
  </si>
  <si>
    <t>GALO GORDO ROSAVES CX/18KG</t>
  </si>
  <si>
    <t>GALO GORDO ROSAVES CX/22KG</t>
  </si>
  <si>
    <t>MANTEIGA SCALA CX\12X500GR</t>
  </si>
  <si>
    <t>MANTEIGA SCALA CX\24X200GR</t>
  </si>
  <si>
    <t>MUSSARELA BOLINHA SCALA 340GR</t>
  </si>
  <si>
    <t>MUSSARELA MINI SCALA 400GR</t>
  </si>
  <si>
    <t>QUEIJO COALHO SEM ESPETO SCALA CX/16X215GR</t>
  </si>
  <si>
    <t>QUEIJO COLONIAL SCALA KG</t>
  </si>
  <si>
    <t>QUEIJO MATURADO MOFO AZUL SCALA KG</t>
  </si>
  <si>
    <t>QUEIJO MINAS MEIA CURA SCALA KG</t>
  </si>
  <si>
    <t>QUEIJO MONTANHES SCALA 180GR</t>
  </si>
  <si>
    <t>QUEIJO PARMESAO 12 MESES SCALA 180GR</t>
  </si>
  <si>
    <t>QUEIJO PARMESAO 18 MESES SCALA 180GR</t>
  </si>
  <si>
    <t>QUEIJO PARMESAO 6 MESES SCALA 180GR</t>
  </si>
  <si>
    <t>QUEIJO PARMESAO CILINDRO SCALA 180GR</t>
  </si>
  <si>
    <t>QUEIJO PARMESAO LASCAS SCALA 150GR</t>
  </si>
  <si>
    <t>QUEIJO PARMESAO RALADO SCALA 20X50GR</t>
  </si>
  <si>
    <t>QUEIJO PRATO MINI SCALA  KG</t>
  </si>
  <si>
    <t>RECHEIO CHOCOLATE BISNAGA DOLCE CREME 1,005KG</t>
  </si>
  <si>
    <t>RECHEIO CHOCOLATE BRANCO BISNAGA DOLCI CREME 1,005KG</t>
  </si>
  <si>
    <t>RECHEIO CREME AVELÃ,CACAU BISNAGA DOLCI CREME 1,005KG</t>
  </si>
  <si>
    <t>REQUEIJAO C.CHEESE LIGHT POTE SCALA CX\16X150GR</t>
  </si>
  <si>
    <t>REQUEIJAO C.CHEESE LIGHT POTE SCALA CX\8X300GR</t>
  </si>
  <si>
    <t>REQUEIJAO C.CHEESE POTE SCALA CX\16X150GR</t>
  </si>
  <si>
    <t>REQUEIJAO C.CHEESE POTE SCALA CX\8X300GR</t>
  </si>
  <si>
    <t xml:space="preserve">FABRICA </t>
  </si>
  <si>
    <t>ABACAXI CALDA LT TOZZI CX 12X400GR</t>
  </si>
  <si>
    <t>BACON FATIAS 2,4MM GOURMET SEARA 2,5KG</t>
  </si>
  <si>
    <t>BACON FATIAS 20GR SEARA FS 2,5KG</t>
  </si>
  <si>
    <t>FILE MERLUZA INTERF ARGENTINA CX\10KG</t>
  </si>
  <si>
    <t>FILE MERLUZA INTERF ARGENTINA CX\18KG</t>
  </si>
  <si>
    <t>IOGURTE POUCH TURMA MILK FD\30X100GR</t>
  </si>
  <si>
    <t>LING SUINA CHURRASCO ADEEL 5KG</t>
  </si>
  <si>
    <t>LING SUINA REZENDE CX/32X600G</t>
  </si>
  <si>
    <t>MUSCULO DIANTEIRO CARA BRANCA</t>
  </si>
  <si>
    <t>PE SUINO ALIBEM CX\20KG</t>
  </si>
  <si>
    <t>PIZZA CALABRESE GOURMET SEARA CX\8X360G</t>
  </si>
  <si>
    <t>PRESUNTO  RETANGULAR SEARA 3,5KG FS</t>
  </si>
  <si>
    <t>QUEIJO PARMESAO RALADO SCALA 100GR</t>
  </si>
  <si>
    <t>QUEIJO PROVOLONE SCALA KG</t>
  </si>
  <si>
    <t>CRISPY FRANGO  EMPANADO SEARA CX/24X160G</t>
  </si>
  <si>
    <t>EMPANADO FILE DE POLACA SEARA FS CX 3X1,2KG</t>
  </si>
  <si>
    <t>FILEZINHO SASSAMI EMPANADO SEARA CX/4X2KG</t>
  </si>
  <si>
    <t>QUEIJO MINAS PADRAO FRACIONADO SCALA KG</t>
  </si>
  <si>
    <t>CX</t>
  </si>
  <si>
    <t>KG</t>
  </si>
  <si>
    <t>PC</t>
  </si>
  <si>
    <t>UN</t>
  </si>
  <si>
    <t>FD</t>
  </si>
  <si>
    <t>BD</t>
  </si>
  <si>
    <t>KETCHUP SACHE PREDILECTA CX144X7GR</t>
  </si>
  <si>
    <t>MAIONESE SACHE PREDILECTA CX/144X7G</t>
  </si>
  <si>
    <t>MAIONESE SACHE SALADA CX\6X1KG DESATIVADA</t>
  </si>
  <si>
    <t>MILHO VERDE LATAO STELLA D.ORO 1,5KG</t>
  </si>
  <si>
    <t>QUEIJO MINAS FRACIONADO CRISTAULAT KG</t>
  </si>
  <si>
    <t>QUEIJO MINAS PADRAO CRISTAULAT KG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</si>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</sst>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8"/>
      <color rgb="FF00B050"/>
      <name val="Calibri"/>
      <family val="2"/>
    </font>
    <font>
      <b/>
      <sz val="18"/>
      <color theme="4" tint="-0.499984740745262"/>
      <name val="Calibri"/>
      <family val="2"/>
    </font>
    <font>
      <b/>
      <sz val="18"/>
      <color rgb="FFFF0000"/>
      <name val="Calibri"/>
      <family val="2"/>
    </font>
    <font>
      <b/>
      <sz val="1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9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4" borderId="1" xfId="0" quotePrefix="1" applyFont="1" applyFill="1" applyBorder="1" applyAlignment="1">
      <alignment horizontal="center"/>
    </xf>
    <xf numFmtId="0" fontId="4" fillId="5" borderId="1" xfId="0" quotePrefix="1" applyFont="1" applyFill="1" applyBorder="1" applyAlignment="1">
      <alignment horizontal="center"/>
    </xf>
    <xf numFmtId="0" fontId="12" fillId="0" borderId="1" xfId="0" applyFont="1" applyBorder="1" applyAlignment="1">
      <alignment vertical="center"/>
    </xf>
    <xf numFmtId="16" fontId="7" fillId="0" borderId="1" xfId="0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5" fillId="0" borderId="3" xfId="0" applyFont="1" applyBorder="1" applyAlignment="1">
      <alignment vertical="center"/>
    </xf>
    <xf numFmtId="0" fontId="1" fillId="2" borderId="4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12" fillId="0" borderId="3" xfId="0" applyFont="1" applyBorder="1" applyAlignment="1">
      <alignment vertical="center"/>
    </xf>
    <xf numFmtId="0" fontId="7" fillId="0" borderId="4" xfId="0" applyFont="1" applyBorder="1" applyAlignment="1">
      <alignment horizontal="left"/>
    </xf>
    <xf numFmtId="0" fontId="7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ARCOS\arquiv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ARCOS\Desempenho_de_Produtos%20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ARCOS\Desempenho_de_Produt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sheet"/>
    </sheetNames>
    <sheetDataSet>
      <sheetData sheetId="0">
        <row r="1">
          <cell r="A1" t="str">
            <v>Código Produto</v>
          </cell>
          <cell r="B1" t="str">
            <v>Produto</v>
          </cell>
          <cell r="C1" t="str">
            <v>Estoque</v>
          </cell>
          <cell r="D1" t="str">
            <v>Reservado</v>
          </cell>
          <cell r="E1" t="str">
            <v>Disponível</v>
          </cell>
        </row>
        <row r="2">
          <cell r="A2">
            <v>4147</v>
          </cell>
          <cell r="B2" t="str">
            <v>ACEM BOVINO CARA BRANCA KG</v>
          </cell>
          <cell r="C2">
            <v>806.06</v>
          </cell>
          <cell r="D2">
            <v>0</v>
          </cell>
          <cell r="E2">
            <v>806.06</v>
          </cell>
        </row>
        <row r="3">
          <cell r="A3">
            <v>3925</v>
          </cell>
          <cell r="B3" t="str">
            <v>ACUCAR DMAIS (SACHE) 400X5GR</v>
          </cell>
          <cell r="C3">
            <v>174</v>
          </cell>
          <cell r="D3">
            <v>0</v>
          </cell>
          <cell r="E3">
            <v>174</v>
          </cell>
        </row>
        <row r="4">
          <cell r="A4">
            <v>4201</v>
          </cell>
          <cell r="B4" t="str">
            <v>AGUA COCO DUCOCO  BLEND CX/12X1LT</v>
          </cell>
          <cell r="C4">
            <v>204</v>
          </cell>
          <cell r="D4">
            <v>0</v>
          </cell>
          <cell r="E4">
            <v>204</v>
          </cell>
        </row>
        <row r="5">
          <cell r="A5">
            <v>4202</v>
          </cell>
          <cell r="B5" t="str">
            <v>AGUA COCO DUCOCO BLEND CX/27X200ML</v>
          </cell>
          <cell r="C5">
            <v>510</v>
          </cell>
          <cell r="D5">
            <v>0</v>
          </cell>
          <cell r="E5">
            <v>510</v>
          </cell>
        </row>
        <row r="6">
          <cell r="A6">
            <v>1055</v>
          </cell>
          <cell r="B6" t="str">
            <v>AGUA COCO DUCOCO CX/12X1LT</v>
          </cell>
          <cell r="C6">
            <v>262</v>
          </cell>
          <cell r="D6">
            <v>1</v>
          </cell>
          <cell r="E6">
            <v>261</v>
          </cell>
        </row>
        <row r="7">
          <cell r="A7">
            <v>1054</v>
          </cell>
          <cell r="B7" t="str">
            <v>AGUA COCO DUCOCO CX/27X200ML</v>
          </cell>
          <cell r="C7">
            <v>1222</v>
          </cell>
          <cell r="D7">
            <v>14</v>
          </cell>
          <cell r="E7">
            <v>1208</v>
          </cell>
        </row>
        <row r="8">
          <cell r="A8">
            <v>3105</v>
          </cell>
          <cell r="B8" t="str">
            <v>AGUA COCO INTEGRAL SOCOCO CX\24X200ML</v>
          </cell>
          <cell r="C8">
            <v>176</v>
          </cell>
          <cell r="D8">
            <v>0</v>
          </cell>
          <cell r="E8">
            <v>176</v>
          </cell>
        </row>
        <row r="9">
          <cell r="A9">
            <v>420</v>
          </cell>
          <cell r="B9" t="str">
            <v>AGUA COCO MAIS COCO CX\12X1000ML</v>
          </cell>
          <cell r="C9">
            <v>131</v>
          </cell>
          <cell r="D9">
            <v>0</v>
          </cell>
          <cell r="E9">
            <v>131</v>
          </cell>
        </row>
        <row r="10">
          <cell r="A10">
            <v>421</v>
          </cell>
          <cell r="B10" t="str">
            <v>AGUA COCO MAIS COCO CX\24X200ML</v>
          </cell>
          <cell r="C10">
            <v>344</v>
          </cell>
          <cell r="D10">
            <v>0</v>
          </cell>
          <cell r="E10">
            <v>344</v>
          </cell>
        </row>
        <row r="11">
          <cell r="A11">
            <v>93</v>
          </cell>
          <cell r="B11" t="str">
            <v>ALCATRA COMPLETA GRILL BOVINA FRIGODIAS KG</v>
          </cell>
          <cell r="C11">
            <v>616.77</v>
          </cell>
          <cell r="D11">
            <v>0</v>
          </cell>
          <cell r="E11">
            <v>616.77</v>
          </cell>
        </row>
        <row r="12">
          <cell r="A12">
            <v>3651</v>
          </cell>
          <cell r="B12" t="str">
            <v>ALCATRA COMPLETA GRILL BOVINA MATOSO  KG</v>
          </cell>
          <cell r="C12">
            <v>0.99</v>
          </cell>
          <cell r="D12">
            <v>0</v>
          </cell>
          <cell r="E12">
            <v>0.99</v>
          </cell>
        </row>
        <row r="13">
          <cell r="A13">
            <v>3291</v>
          </cell>
          <cell r="B13" t="str">
            <v>ALCATRA SUINA TEMPERADA SEALI KG</v>
          </cell>
          <cell r="C13">
            <v>85.57</v>
          </cell>
          <cell r="D13">
            <v>0</v>
          </cell>
          <cell r="E13">
            <v>85.57</v>
          </cell>
        </row>
        <row r="14">
          <cell r="A14">
            <v>104</v>
          </cell>
          <cell r="B14" t="str">
            <v>ALMONDEGA CARNE BOVINA SEARA CX\12X500G</v>
          </cell>
          <cell r="C14">
            <v>2</v>
          </cell>
          <cell r="D14">
            <v>0</v>
          </cell>
          <cell r="E14">
            <v>2</v>
          </cell>
        </row>
        <row r="15">
          <cell r="A15">
            <v>315</v>
          </cell>
          <cell r="B15" t="str">
            <v>ALMONDEGA INCRIVEL LUVA SEARA CX\10X256G</v>
          </cell>
          <cell r="C15">
            <v>2</v>
          </cell>
          <cell r="D15">
            <v>1</v>
          </cell>
          <cell r="E15">
            <v>1</v>
          </cell>
        </row>
        <row r="16">
          <cell r="A16">
            <v>225</v>
          </cell>
          <cell r="B16" t="str">
            <v>AMEIXA S/CAROCO POTE TOZZI 12X200GR</v>
          </cell>
          <cell r="C16">
            <v>118</v>
          </cell>
          <cell r="D16">
            <v>0</v>
          </cell>
          <cell r="E16">
            <v>118</v>
          </cell>
        </row>
        <row r="17">
          <cell r="A17">
            <v>226</v>
          </cell>
          <cell r="B17" t="str">
            <v>AMEIXA S/CAROCO SACHE TOZZI 24X70GR</v>
          </cell>
          <cell r="C17">
            <v>83</v>
          </cell>
          <cell r="D17">
            <v>2</v>
          </cell>
          <cell r="E17">
            <v>81</v>
          </cell>
        </row>
        <row r="18">
          <cell r="A18">
            <v>227</v>
          </cell>
          <cell r="B18" t="str">
            <v>AMEIXA S/CAROÇO TOZZI CX\10KG</v>
          </cell>
          <cell r="C18">
            <v>18</v>
          </cell>
          <cell r="D18">
            <v>0</v>
          </cell>
          <cell r="E18">
            <v>18</v>
          </cell>
        </row>
        <row r="19">
          <cell r="A19">
            <v>429</v>
          </cell>
          <cell r="B19" t="str">
            <v>APRESUNTADO PIF PAF RETANGULAR 3,8KG</v>
          </cell>
          <cell r="C19">
            <v>1031</v>
          </cell>
          <cell r="D19">
            <v>41</v>
          </cell>
          <cell r="E19">
            <v>990</v>
          </cell>
        </row>
        <row r="20">
          <cell r="A20">
            <v>431</v>
          </cell>
          <cell r="B20" t="str">
            <v>APRESUNTADO REZENDE  3,4KG</v>
          </cell>
          <cell r="C20">
            <v>155</v>
          </cell>
          <cell r="D20">
            <v>28</v>
          </cell>
          <cell r="E20">
            <v>127</v>
          </cell>
        </row>
        <row r="21">
          <cell r="A21">
            <v>313</v>
          </cell>
          <cell r="B21" t="str">
            <v>APRESUNTADO SEARA RETANGULAR 3,4KG</v>
          </cell>
          <cell r="C21">
            <v>50</v>
          </cell>
          <cell r="D21">
            <v>0</v>
          </cell>
          <cell r="E21">
            <v>50</v>
          </cell>
        </row>
        <row r="22">
          <cell r="A22">
            <v>1998</v>
          </cell>
          <cell r="B22" t="str">
            <v>ASA FRANGO ENVELOPADA LAR CX\18KG</v>
          </cell>
          <cell r="C22">
            <v>121</v>
          </cell>
          <cell r="D22">
            <v>10</v>
          </cell>
          <cell r="E22">
            <v>111</v>
          </cell>
        </row>
        <row r="23">
          <cell r="A23">
            <v>435</v>
          </cell>
          <cell r="B23" t="str">
            <v>ASA FRANGO ENVELOPADA REAL CX\20KG</v>
          </cell>
          <cell r="C23">
            <v>420</v>
          </cell>
          <cell r="D23">
            <v>38</v>
          </cell>
          <cell r="E23">
            <v>382</v>
          </cell>
        </row>
        <row r="24">
          <cell r="A24">
            <v>1928</v>
          </cell>
          <cell r="B24" t="str">
            <v>ASA FRANGO INTERFOLHADA FREDINI CX\20KG</v>
          </cell>
          <cell r="C24">
            <v>1</v>
          </cell>
          <cell r="D24">
            <v>0</v>
          </cell>
          <cell r="E24">
            <v>1</v>
          </cell>
        </row>
        <row r="25">
          <cell r="A25">
            <v>3087</v>
          </cell>
          <cell r="B25" t="str">
            <v>ASA FRANGO INTERFOLHADA SEARA CX\15KG</v>
          </cell>
          <cell r="C25">
            <v>1268</v>
          </cell>
          <cell r="D25">
            <v>25</v>
          </cell>
          <cell r="E25">
            <v>1243</v>
          </cell>
        </row>
        <row r="26">
          <cell r="A26">
            <v>438</v>
          </cell>
          <cell r="B26" t="str">
            <v>ASA FRANGO PCT REAL CX\20KG</v>
          </cell>
          <cell r="C26">
            <v>776</v>
          </cell>
          <cell r="D26">
            <v>19</v>
          </cell>
          <cell r="E26">
            <v>757</v>
          </cell>
        </row>
        <row r="27">
          <cell r="A27">
            <v>3256</v>
          </cell>
          <cell r="B27" t="str">
            <v>ASA PERU PCT PERDIGAO KG</v>
          </cell>
          <cell r="C27">
            <v>1417.38</v>
          </cell>
          <cell r="D27">
            <v>45</v>
          </cell>
          <cell r="E27">
            <v>1372.38</v>
          </cell>
        </row>
        <row r="28">
          <cell r="A28">
            <v>941</v>
          </cell>
          <cell r="B28" t="str">
            <v>AVE BRISCKER REZENDE KG  951153</v>
          </cell>
          <cell r="C28">
            <v>36.020000000000003</v>
          </cell>
          <cell r="D28">
            <v>0</v>
          </cell>
          <cell r="E28">
            <v>36.020000000000003</v>
          </cell>
        </row>
        <row r="29">
          <cell r="A29">
            <v>2003</v>
          </cell>
          <cell r="B29" t="str">
            <v>AVE BRUSTER CONGELADO KG 950586</v>
          </cell>
          <cell r="C29">
            <v>220.79</v>
          </cell>
          <cell r="D29">
            <v>0</v>
          </cell>
          <cell r="E29">
            <v>220.79</v>
          </cell>
        </row>
        <row r="30">
          <cell r="A30">
            <v>1754</v>
          </cell>
          <cell r="B30" t="str">
            <v>AVE FIESTA MEDITERRANEO SEARA KG  43375</v>
          </cell>
          <cell r="C30">
            <v>0.4</v>
          </cell>
          <cell r="D30">
            <v>0</v>
          </cell>
          <cell r="E30">
            <v>0.4</v>
          </cell>
        </row>
        <row r="31">
          <cell r="A31">
            <v>1755</v>
          </cell>
          <cell r="B31" t="str">
            <v>AVE FIESTA ORGANICO SEARA KG  41364</v>
          </cell>
          <cell r="C31">
            <v>34.380000000000003</v>
          </cell>
          <cell r="D31">
            <v>0</v>
          </cell>
          <cell r="E31">
            <v>34.380000000000003</v>
          </cell>
        </row>
        <row r="32">
          <cell r="A32">
            <v>1752</v>
          </cell>
          <cell r="B32" t="str">
            <v>AVE FIESTA SEARA DESOSSADO KG</v>
          </cell>
          <cell r="C32">
            <v>53.22</v>
          </cell>
          <cell r="D32">
            <v>0</v>
          </cell>
          <cell r="E32">
            <v>53.22</v>
          </cell>
        </row>
        <row r="33">
          <cell r="A33">
            <v>1416</v>
          </cell>
          <cell r="B33" t="str">
            <v>AZEITE COCINEIRO EXTRA VIRGEM 6X250ML</v>
          </cell>
          <cell r="C33">
            <v>55</v>
          </cell>
          <cell r="D33">
            <v>2</v>
          </cell>
          <cell r="E33">
            <v>53</v>
          </cell>
        </row>
        <row r="34">
          <cell r="A34">
            <v>152</v>
          </cell>
          <cell r="B34" t="str">
            <v>AZEITE COCINEIRO EXTRA VIRGEM 6X500ML</v>
          </cell>
          <cell r="C34">
            <v>141</v>
          </cell>
          <cell r="D34">
            <v>2</v>
          </cell>
          <cell r="E34">
            <v>139</v>
          </cell>
        </row>
        <row r="35">
          <cell r="A35">
            <v>3354</v>
          </cell>
          <cell r="B35" t="str">
            <v>AZEITONA SACHE FATIADA TOZZI 24X80GR</v>
          </cell>
          <cell r="C35">
            <v>123</v>
          </cell>
          <cell r="D35">
            <v>2</v>
          </cell>
          <cell r="E35">
            <v>121</v>
          </cell>
        </row>
        <row r="36">
          <cell r="A36">
            <v>3355</v>
          </cell>
          <cell r="B36" t="str">
            <v>AZEITONA SACHE S/CAROCO TOZZI  24X80GR</v>
          </cell>
          <cell r="C36">
            <v>188</v>
          </cell>
          <cell r="D36">
            <v>6</v>
          </cell>
          <cell r="E36">
            <v>182</v>
          </cell>
        </row>
        <row r="37">
          <cell r="A37">
            <v>3353</v>
          </cell>
          <cell r="B37" t="str">
            <v>AZEITONA SACHE TOZZI  24X80GR</v>
          </cell>
          <cell r="C37">
            <v>147</v>
          </cell>
          <cell r="D37">
            <v>1</v>
          </cell>
          <cell r="E37">
            <v>146</v>
          </cell>
        </row>
        <row r="38">
          <cell r="A38">
            <v>4136</v>
          </cell>
          <cell r="B38" t="str">
            <v>AZEITONA VERDE C/CAROCO COPO ABRE FACIL TOZZI  24X100GR</v>
          </cell>
          <cell r="C38">
            <v>82</v>
          </cell>
          <cell r="D38">
            <v>0</v>
          </cell>
          <cell r="E38">
            <v>82</v>
          </cell>
        </row>
        <row r="39">
          <cell r="A39">
            <v>3356</v>
          </cell>
          <cell r="B39" t="str">
            <v>AZEITONA VIDRO  ZAVO CX\12X500GR</v>
          </cell>
          <cell r="C39">
            <v>148</v>
          </cell>
          <cell r="D39">
            <v>1</v>
          </cell>
          <cell r="E39">
            <v>147</v>
          </cell>
        </row>
        <row r="40">
          <cell r="A40">
            <v>877</v>
          </cell>
          <cell r="B40" t="str">
            <v>BACALHAU POSTA SAITHE PESCA NOBRE CX/12X800GR</v>
          </cell>
          <cell r="C40">
            <v>19</v>
          </cell>
          <cell r="D40">
            <v>0</v>
          </cell>
          <cell r="E40">
            <v>19</v>
          </cell>
        </row>
        <row r="41">
          <cell r="A41">
            <v>3946</v>
          </cell>
          <cell r="B41" t="str">
            <v>BACON CUBOS ADEEL CX/10X200GR</v>
          </cell>
          <cell r="C41">
            <v>318.60000000000002</v>
          </cell>
          <cell r="D41">
            <v>0</v>
          </cell>
          <cell r="E41">
            <v>318.60000000000002</v>
          </cell>
        </row>
        <row r="42">
          <cell r="A42">
            <v>3945</v>
          </cell>
          <cell r="B42" t="str">
            <v>BACON CUBOS ADEEL CX/12X1KG</v>
          </cell>
          <cell r="C42">
            <v>308</v>
          </cell>
          <cell r="D42">
            <v>9</v>
          </cell>
          <cell r="E42">
            <v>299</v>
          </cell>
        </row>
        <row r="43">
          <cell r="A43">
            <v>215</v>
          </cell>
          <cell r="B43" t="str">
            <v>BACON CUBOS REZENDE CX/12X700GR</v>
          </cell>
          <cell r="C43">
            <v>5</v>
          </cell>
          <cell r="D43">
            <v>0</v>
          </cell>
          <cell r="E43">
            <v>5</v>
          </cell>
        </row>
        <row r="44">
          <cell r="A44">
            <v>3077</v>
          </cell>
          <cell r="B44" t="str">
            <v>BACON CUBOS SEALI CX\20X1KG</v>
          </cell>
          <cell r="C44">
            <v>273</v>
          </cell>
          <cell r="D44">
            <v>8</v>
          </cell>
          <cell r="E44">
            <v>265</v>
          </cell>
        </row>
        <row r="45">
          <cell r="A45">
            <v>3107</v>
          </cell>
          <cell r="B45" t="str">
            <v>BACON CUBOS TROPEIRA 10X200GR</v>
          </cell>
          <cell r="C45">
            <v>75</v>
          </cell>
          <cell r="D45">
            <v>1</v>
          </cell>
          <cell r="E45">
            <v>74</v>
          </cell>
        </row>
        <row r="46">
          <cell r="A46">
            <v>1051</v>
          </cell>
          <cell r="B46" t="str">
            <v>BACON FATIAS 2,4MM GOURMET SEARA 2,5KG</v>
          </cell>
          <cell r="C46">
            <v>13</v>
          </cell>
          <cell r="D46">
            <v>0</v>
          </cell>
          <cell r="E46">
            <v>13</v>
          </cell>
        </row>
        <row r="47">
          <cell r="A47">
            <v>4302</v>
          </cell>
          <cell r="B47" t="str">
            <v>BACON FATIAS 20GR SEARA FS 2,5KG</v>
          </cell>
          <cell r="C47">
            <v>30</v>
          </cell>
          <cell r="D47">
            <v>0</v>
          </cell>
          <cell r="E47">
            <v>30</v>
          </cell>
        </row>
        <row r="48">
          <cell r="A48">
            <v>445</v>
          </cell>
          <cell r="B48" t="str">
            <v>BACON FATIAS REZENDE CX/12X650GR</v>
          </cell>
          <cell r="C48">
            <v>107</v>
          </cell>
          <cell r="D48">
            <v>5</v>
          </cell>
          <cell r="E48">
            <v>102</v>
          </cell>
        </row>
        <row r="49">
          <cell r="A49">
            <v>879</v>
          </cell>
          <cell r="B49" t="str">
            <v>BACON MANTA LEBON KG</v>
          </cell>
          <cell r="C49">
            <v>0.6</v>
          </cell>
          <cell r="D49">
            <v>0</v>
          </cell>
          <cell r="E49">
            <v>0.6</v>
          </cell>
        </row>
        <row r="50">
          <cell r="A50">
            <v>452</v>
          </cell>
          <cell r="B50" t="str">
            <v>BACON MANTA PIF PAF CX10KG</v>
          </cell>
          <cell r="C50">
            <v>20</v>
          </cell>
          <cell r="D50">
            <v>0</v>
          </cell>
          <cell r="E50">
            <v>20</v>
          </cell>
        </row>
        <row r="51">
          <cell r="A51">
            <v>3920</v>
          </cell>
          <cell r="B51" t="str">
            <v>BACON MANTA REZENDE KG</v>
          </cell>
          <cell r="C51">
            <v>144.24</v>
          </cell>
          <cell r="D51">
            <v>0</v>
          </cell>
          <cell r="E51">
            <v>144.24</v>
          </cell>
        </row>
        <row r="52">
          <cell r="A52">
            <v>1607</v>
          </cell>
          <cell r="B52" t="str">
            <v>BACON MANTA SEARA KG</v>
          </cell>
          <cell r="C52">
            <v>89.67</v>
          </cell>
          <cell r="D52">
            <v>0</v>
          </cell>
          <cell r="E52">
            <v>89.67</v>
          </cell>
        </row>
        <row r="53">
          <cell r="A53">
            <v>214</v>
          </cell>
          <cell r="B53" t="str">
            <v>BACON PALETA  MELLORE  KG</v>
          </cell>
          <cell r="C53">
            <v>0.1</v>
          </cell>
          <cell r="D53">
            <v>0.09</v>
          </cell>
          <cell r="E53">
            <v>0.01</v>
          </cell>
        </row>
        <row r="54">
          <cell r="A54">
            <v>213</v>
          </cell>
          <cell r="B54" t="str">
            <v>BACON PALETA ADEEL KG</v>
          </cell>
          <cell r="C54">
            <v>6152.96</v>
          </cell>
          <cell r="D54">
            <v>110.22</v>
          </cell>
          <cell r="E54">
            <v>6042.74</v>
          </cell>
        </row>
        <row r="55">
          <cell r="A55">
            <v>450</v>
          </cell>
          <cell r="B55" t="str">
            <v>BACON PALETA IMPERATRIZ  KG</v>
          </cell>
          <cell r="C55">
            <v>469.41</v>
          </cell>
          <cell r="D55">
            <v>120.03</v>
          </cell>
          <cell r="E55">
            <v>349.38</v>
          </cell>
        </row>
        <row r="56">
          <cell r="A56">
            <v>448</v>
          </cell>
          <cell r="B56" t="str">
            <v>BACON PALETA SEARA KG</v>
          </cell>
          <cell r="C56">
            <v>197.62</v>
          </cell>
          <cell r="D56">
            <v>0</v>
          </cell>
          <cell r="E56">
            <v>197.62</v>
          </cell>
        </row>
        <row r="57">
          <cell r="A57">
            <v>1522</v>
          </cell>
          <cell r="B57" t="str">
            <v>BACON PALETA SEM PELE UAI KG</v>
          </cell>
          <cell r="C57">
            <v>0.51</v>
          </cell>
          <cell r="D57">
            <v>0</v>
          </cell>
          <cell r="E57">
            <v>0.51</v>
          </cell>
        </row>
        <row r="58">
          <cell r="A58">
            <v>443</v>
          </cell>
          <cell r="B58" t="str">
            <v>BACON PEDACOS REZENDE KG</v>
          </cell>
          <cell r="C58">
            <v>69.48</v>
          </cell>
          <cell r="D58">
            <v>0</v>
          </cell>
          <cell r="E58">
            <v>69.48</v>
          </cell>
        </row>
        <row r="59">
          <cell r="A59">
            <v>1695</v>
          </cell>
          <cell r="B59" t="str">
            <v>BACON PEDACOS SEARA KG</v>
          </cell>
          <cell r="C59">
            <v>39.21</v>
          </cell>
          <cell r="D59">
            <v>0</v>
          </cell>
          <cell r="E59">
            <v>39.21</v>
          </cell>
        </row>
        <row r="60">
          <cell r="A60">
            <v>216</v>
          </cell>
          <cell r="B60" t="str">
            <v>BACON PERNIL ADEEL KG</v>
          </cell>
          <cell r="C60">
            <v>829</v>
          </cell>
          <cell r="D60">
            <v>0</v>
          </cell>
          <cell r="E60">
            <v>829</v>
          </cell>
        </row>
        <row r="61">
          <cell r="A61">
            <v>451</v>
          </cell>
          <cell r="B61" t="str">
            <v>BACON PERNIL TROPEIRA PCT 5KG</v>
          </cell>
          <cell r="C61">
            <v>98</v>
          </cell>
          <cell r="D61">
            <v>0</v>
          </cell>
          <cell r="E61">
            <v>98</v>
          </cell>
        </row>
        <row r="62">
          <cell r="A62">
            <v>780</v>
          </cell>
          <cell r="B62" t="str">
            <v>BACON PERNIL UAI KG</v>
          </cell>
          <cell r="C62">
            <v>0.36</v>
          </cell>
          <cell r="D62">
            <v>0</v>
          </cell>
          <cell r="E62">
            <v>0.36</v>
          </cell>
        </row>
        <row r="63">
          <cell r="A63">
            <v>310</v>
          </cell>
          <cell r="B63" t="str">
            <v>BACON TABLETE SEARA GOURMET CX\30X150GR</v>
          </cell>
          <cell r="C63">
            <v>1</v>
          </cell>
          <cell r="D63">
            <v>0</v>
          </cell>
          <cell r="E63">
            <v>1</v>
          </cell>
        </row>
        <row r="64">
          <cell r="A64">
            <v>207</v>
          </cell>
          <cell r="B64" t="str">
            <v>BANHA ALIBEM CX\18KG</v>
          </cell>
          <cell r="C64">
            <v>423</v>
          </cell>
          <cell r="D64">
            <v>0</v>
          </cell>
          <cell r="E64">
            <v>423</v>
          </cell>
        </row>
        <row r="65">
          <cell r="A65">
            <v>3814</v>
          </cell>
          <cell r="B65" t="str">
            <v>BANHA AURORA CX\15X1KG</v>
          </cell>
          <cell r="C65">
            <v>41</v>
          </cell>
          <cell r="D65">
            <v>2</v>
          </cell>
          <cell r="E65">
            <v>39</v>
          </cell>
        </row>
        <row r="66">
          <cell r="A66">
            <v>209</v>
          </cell>
          <cell r="B66" t="str">
            <v>BANHA SEARA CX\18KG</v>
          </cell>
          <cell r="C66">
            <v>438</v>
          </cell>
          <cell r="D66">
            <v>6</v>
          </cell>
          <cell r="E66">
            <v>432</v>
          </cell>
        </row>
        <row r="67">
          <cell r="A67">
            <v>210</v>
          </cell>
          <cell r="B67" t="str">
            <v>BANHA UAI DAS GERAIS POTE CX/24X400GR</v>
          </cell>
          <cell r="C67">
            <v>54</v>
          </cell>
          <cell r="D67">
            <v>1</v>
          </cell>
          <cell r="E67">
            <v>53</v>
          </cell>
        </row>
        <row r="68">
          <cell r="A68">
            <v>3685</v>
          </cell>
          <cell r="B68" t="str">
            <v>BARRA CEREAL AVEIA BANANA MEL NUTRY 24X22G</v>
          </cell>
          <cell r="C68">
            <v>34</v>
          </cell>
          <cell r="D68">
            <v>1</v>
          </cell>
          <cell r="E68">
            <v>33</v>
          </cell>
        </row>
        <row r="69">
          <cell r="A69">
            <v>3686</v>
          </cell>
          <cell r="B69" t="str">
            <v>BARRA CEREAL AVELA CHOCOLATE NUTRY 24X22G</v>
          </cell>
          <cell r="C69">
            <v>91</v>
          </cell>
          <cell r="D69">
            <v>1</v>
          </cell>
          <cell r="E69">
            <v>90</v>
          </cell>
        </row>
        <row r="70">
          <cell r="A70">
            <v>3865</v>
          </cell>
          <cell r="B70" t="str">
            <v>BARRA CEREAL BANANA NUTRY 24X22GR</v>
          </cell>
          <cell r="C70">
            <v>23</v>
          </cell>
          <cell r="D70">
            <v>2</v>
          </cell>
          <cell r="E70">
            <v>21</v>
          </cell>
        </row>
        <row r="71">
          <cell r="A71">
            <v>3687</v>
          </cell>
          <cell r="B71" t="str">
            <v>BARRA CEREAL BOLO CHOCOLATE NUTRY 24X22G</v>
          </cell>
          <cell r="C71">
            <v>14</v>
          </cell>
          <cell r="D71">
            <v>1</v>
          </cell>
          <cell r="E71">
            <v>13</v>
          </cell>
        </row>
        <row r="72">
          <cell r="A72">
            <v>3866</v>
          </cell>
          <cell r="B72" t="str">
            <v>BARRA CEREAL CASTANHA-DO-BRASIL  NUTRY 24X22GR</v>
          </cell>
          <cell r="C72">
            <v>39</v>
          </cell>
          <cell r="D72">
            <v>0</v>
          </cell>
          <cell r="E72">
            <v>39</v>
          </cell>
        </row>
        <row r="73">
          <cell r="A73">
            <v>3689</v>
          </cell>
          <cell r="B73" t="str">
            <v>BARRA CEREAL COCO CHOCOLATE NUTRY 24X22G</v>
          </cell>
          <cell r="C73">
            <v>58</v>
          </cell>
          <cell r="D73">
            <v>0</v>
          </cell>
          <cell r="E73">
            <v>58</v>
          </cell>
        </row>
        <row r="74">
          <cell r="A74">
            <v>3913</v>
          </cell>
          <cell r="B74" t="str">
            <v>BARRA CEREAL COOKIES CREAM NUTRY 24X20G</v>
          </cell>
          <cell r="C74">
            <v>26</v>
          </cell>
          <cell r="D74">
            <v>0</v>
          </cell>
          <cell r="E74">
            <v>26</v>
          </cell>
        </row>
        <row r="75">
          <cell r="A75">
            <v>3690</v>
          </cell>
          <cell r="B75" t="str">
            <v>BARRA CEREAL FRUTAS VERMELHAS NUTRY  24X22G</v>
          </cell>
          <cell r="C75">
            <v>72</v>
          </cell>
          <cell r="D75">
            <v>1</v>
          </cell>
          <cell r="E75">
            <v>71</v>
          </cell>
        </row>
        <row r="76">
          <cell r="A76">
            <v>3872</v>
          </cell>
          <cell r="B76" t="str">
            <v>BARRA FRUTA BANANA NUTRY 24X20G</v>
          </cell>
          <cell r="C76">
            <v>5</v>
          </cell>
          <cell r="D76">
            <v>0</v>
          </cell>
          <cell r="E76">
            <v>5</v>
          </cell>
        </row>
        <row r="77">
          <cell r="A77">
            <v>3869</v>
          </cell>
          <cell r="B77" t="str">
            <v>BARRA FRUTA BANANINHA NUTRY  24X30G</v>
          </cell>
          <cell r="C77">
            <v>8</v>
          </cell>
          <cell r="D77">
            <v>0</v>
          </cell>
          <cell r="E77">
            <v>8</v>
          </cell>
        </row>
        <row r="78">
          <cell r="A78">
            <v>3870</v>
          </cell>
          <cell r="B78" t="str">
            <v>BARRA FRUTA COCO\CHOC NUTRY 24X19G</v>
          </cell>
          <cell r="C78">
            <v>8</v>
          </cell>
          <cell r="D78">
            <v>0</v>
          </cell>
          <cell r="E78">
            <v>8</v>
          </cell>
        </row>
        <row r="79">
          <cell r="A79">
            <v>3985</v>
          </cell>
          <cell r="B79" t="str">
            <v>BARRA FRUTAS VERMELHAS NUTRY  24X20G</v>
          </cell>
          <cell r="C79">
            <v>14</v>
          </cell>
          <cell r="D79">
            <v>0</v>
          </cell>
          <cell r="E79">
            <v>14</v>
          </cell>
        </row>
        <row r="80">
          <cell r="A80">
            <v>3692</v>
          </cell>
          <cell r="B80" t="str">
            <v>BARRA NUTS CACAU NUTRY 12X25G</v>
          </cell>
          <cell r="C80">
            <v>2</v>
          </cell>
          <cell r="D80">
            <v>0</v>
          </cell>
          <cell r="E80">
            <v>2</v>
          </cell>
        </row>
        <row r="81">
          <cell r="A81">
            <v>3695</v>
          </cell>
          <cell r="B81" t="str">
            <v>BARRA NUTS CLASSICA NUTRY  12X25G</v>
          </cell>
          <cell r="C81">
            <v>9</v>
          </cell>
          <cell r="D81">
            <v>0</v>
          </cell>
          <cell r="E81">
            <v>9</v>
          </cell>
        </row>
        <row r="82">
          <cell r="A82">
            <v>3693</v>
          </cell>
          <cell r="B82" t="str">
            <v>BARRA NUTS COCO NUTRY 12X25G</v>
          </cell>
          <cell r="C82">
            <v>8</v>
          </cell>
          <cell r="D82">
            <v>0</v>
          </cell>
          <cell r="E82">
            <v>8</v>
          </cell>
        </row>
        <row r="83">
          <cell r="A83">
            <v>3694</v>
          </cell>
          <cell r="B83" t="str">
            <v>BARRA NUTS CRANBERRY  NUTRY 12X25G</v>
          </cell>
          <cell r="C83">
            <v>3</v>
          </cell>
          <cell r="D83">
            <v>0</v>
          </cell>
          <cell r="E83">
            <v>3</v>
          </cell>
        </row>
        <row r="84">
          <cell r="A84">
            <v>3696</v>
          </cell>
          <cell r="B84" t="str">
            <v>BARRA NUTS SEMENTES NUTRY 12X25G</v>
          </cell>
          <cell r="C84">
            <v>39</v>
          </cell>
          <cell r="D84">
            <v>0</v>
          </cell>
          <cell r="E84">
            <v>39</v>
          </cell>
        </row>
        <row r="85">
          <cell r="A85">
            <v>4099</v>
          </cell>
          <cell r="B85" t="str">
            <v>BARRA PROTEIN BOMBOM DE COCO NUTRY 12X30G</v>
          </cell>
          <cell r="C85">
            <v>14</v>
          </cell>
          <cell r="D85">
            <v>0</v>
          </cell>
          <cell r="E85">
            <v>14</v>
          </cell>
        </row>
        <row r="86">
          <cell r="A86">
            <v>3698</v>
          </cell>
          <cell r="B86" t="str">
            <v>BARRA PROTEIN CHOCOLATE\LEITE NUTRY 12X30G</v>
          </cell>
          <cell r="C86">
            <v>40</v>
          </cell>
          <cell r="D86">
            <v>0</v>
          </cell>
          <cell r="E86">
            <v>40</v>
          </cell>
        </row>
        <row r="87">
          <cell r="A87">
            <v>3699</v>
          </cell>
          <cell r="B87" t="str">
            <v>BARRA PROTEIN COOKIES NUTRY 12X30G</v>
          </cell>
          <cell r="C87">
            <v>42</v>
          </cell>
          <cell r="D87">
            <v>0</v>
          </cell>
          <cell r="E87">
            <v>42</v>
          </cell>
        </row>
        <row r="88">
          <cell r="A88">
            <v>3864</v>
          </cell>
          <cell r="B88" t="str">
            <v>BARRA PROTEIN COOKIES NUTRY CX\24X3X30G</v>
          </cell>
          <cell r="C88">
            <v>1</v>
          </cell>
          <cell r="D88">
            <v>0</v>
          </cell>
          <cell r="E88">
            <v>1</v>
          </cell>
        </row>
        <row r="89">
          <cell r="A89">
            <v>3697</v>
          </cell>
          <cell r="B89" t="str">
            <v>BARRA PROTEIN PASTA AMENDOIM NUTRY 12X30G</v>
          </cell>
          <cell r="C89">
            <v>36</v>
          </cell>
          <cell r="D89">
            <v>0</v>
          </cell>
          <cell r="E89">
            <v>36</v>
          </cell>
        </row>
        <row r="90">
          <cell r="A90">
            <v>3862</v>
          </cell>
          <cell r="B90" t="str">
            <v>BARRA PROTEIN PASTA AMENDOIM NUTRY CX\24X3X30G</v>
          </cell>
          <cell r="C90">
            <v>2</v>
          </cell>
          <cell r="D90">
            <v>0</v>
          </cell>
          <cell r="E90">
            <v>2</v>
          </cell>
        </row>
        <row r="91">
          <cell r="A91">
            <v>3700</v>
          </cell>
          <cell r="B91" t="str">
            <v>BARRA PROTEIN TRUFA DE AVELA NUTRY 12X30G</v>
          </cell>
          <cell r="C91">
            <v>42</v>
          </cell>
          <cell r="D91">
            <v>0</v>
          </cell>
          <cell r="E91">
            <v>42</v>
          </cell>
        </row>
        <row r="92">
          <cell r="A92">
            <v>3878</v>
          </cell>
          <cell r="B92" t="str">
            <v>BARRA TUBE PROTEIN COOKIES NUTRY 12X38GR</v>
          </cell>
          <cell r="C92">
            <v>7</v>
          </cell>
          <cell r="D92">
            <v>0</v>
          </cell>
          <cell r="E92">
            <v>7</v>
          </cell>
        </row>
        <row r="93">
          <cell r="A93">
            <v>3876</v>
          </cell>
          <cell r="B93" t="str">
            <v>BARRA TUBE PROTEIN MORANGO NUTRY 12X38GR</v>
          </cell>
          <cell r="C93">
            <v>1</v>
          </cell>
          <cell r="D93">
            <v>1</v>
          </cell>
          <cell r="E93">
            <v>0</v>
          </cell>
        </row>
        <row r="94">
          <cell r="A94">
            <v>3961</v>
          </cell>
          <cell r="B94" t="str">
            <v>BARRIGA MANTA SUINA FRIGONANDO  KG</v>
          </cell>
          <cell r="C94">
            <v>1088.6199999999999</v>
          </cell>
          <cell r="D94">
            <v>60</v>
          </cell>
          <cell r="E94">
            <v>1028.6199999999999</v>
          </cell>
        </row>
        <row r="95">
          <cell r="A95">
            <v>4064</v>
          </cell>
          <cell r="B95" t="str">
            <v>BARRIGA MANTA SUINA SEALI KG</v>
          </cell>
          <cell r="C95">
            <v>452.07</v>
          </cell>
          <cell r="D95">
            <v>40</v>
          </cell>
          <cell r="E95">
            <v>412.07</v>
          </cell>
        </row>
        <row r="96">
          <cell r="A96">
            <v>455</v>
          </cell>
          <cell r="B96" t="str">
            <v>BARRIGA SUINA DIMELHOR KG</v>
          </cell>
          <cell r="C96">
            <v>0.01</v>
          </cell>
          <cell r="D96">
            <v>0</v>
          </cell>
          <cell r="E96">
            <v>0.01</v>
          </cell>
        </row>
        <row r="97">
          <cell r="A97">
            <v>2410</v>
          </cell>
          <cell r="B97" t="str">
            <v>BARRIGA SUINA TEMP GRAND MINAS CX/KG</v>
          </cell>
          <cell r="C97">
            <v>0</v>
          </cell>
          <cell r="D97">
            <v>0</v>
          </cell>
          <cell r="E97">
            <v>0</v>
          </cell>
        </row>
        <row r="98">
          <cell r="A98">
            <v>1676</v>
          </cell>
          <cell r="B98" t="str">
            <v>BARRIGA SUINA TEMP. SEALI CX/KG</v>
          </cell>
          <cell r="C98">
            <v>172.06</v>
          </cell>
          <cell r="D98">
            <v>75</v>
          </cell>
          <cell r="E98">
            <v>97.06</v>
          </cell>
        </row>
        <row r="99">
          <cell r="A99">
            <v>3936</v>
          </cell>
          <cell r="B99" t="str">
            <v>BATATA CHIPS BRASA MOMENTOS CX\26X90G</v>
          </cell>
          <cell r="C99">
            <v>28</v>
          </cell>
          <cell r="D99">
            <v>0</v>
          </cell>
          <cell r="E99">
            <v>28</v>
          </cell>
        </row>
        <row r="100">
          <cell r="A100">
            <v>3933</v>
          </cell>
          <cell r="B100" t="str">
            <v>BATATA CHIPS CEBOLA/SALSA FAVORITOOS CX\24X40G</v>
          </cell>
          <cell r="C100">
            <v>10</v>
          </cell>
          <cell r="D100">
            <v>1</v>
          </cell>
          <cell r="E100">
            <v>9</v>
          </cell>
        </row>
        <row r="101">
          <cell r="A101">
            <v>3934</v>
          </cell>
          <cell r="B101" t="str">
            <v>BATATA CHIPS CHURRASCO FAVORITOOS CX\24X40G</v>
          </cell>
          <cell r="C101">
            <v>18</v>
          </cell>
          <cell r="D101">
            <v>1</v>
          </cell>
          <cell r="E101">
            <v>17</v>
          </cell>
        </row>
        <row r="102">
          <cell r="A102">
            <v>3937</v>
          </cell>
          <cell r="B102" t="str">
            <v>BATATA CHIPS FRANGO MOMENTOS CX\26X90G</v>
          </cell>
          <cell r="C102">
            <v>31</v>
          </cell>
          <cell r="D102">
            <v>0</v>
          </cell>
          <cell r="E102">
            <v>31</v>
          </cell>
        </row>
        <row r="103">
          <cell r="A103">
            <v>3935</v>
          </cell>
          <cell r="B103" t="str">
            <v>BATATA CHIPS NATURAL FAVORITOOS CX\24X40G</v>
          </cell>
          <cell r="C103">
            <v>75</v>
          </cell>
          <cell r="D103">
            <v>0</v>
          </cell>
          <cell r="E103">
            <v>75</v>
          </cell>
        </row>
        <row r="104">
          <cell r="A104">
            <v>3938</v>
          </cell>
          <cell r="B104" t="str">
            <v>BATATA CHIPS PIMENTA MOMENTOS CX\26X90G</v>
          </cell>
          <cell r="C104">
            <v>28</v>
          </cell>
          <cell r="D104">
            <v>0</v>
          </cell>
          <cell r="E104">
            <v>28</v>
          </cell>
        </row>
        <row r="105">
          <cell r="A105">
            <v>942</v>
          </cell>
          <cell r="B105" t="str">
            <v>BATATA P.FRITA BOBS FININHA CX\10X1,05KG</v>
          </cell>
          <cell r="C105">
            <v>412</v>
          </cell>
          <cell r="D105">
            <v>4</v>
          </cell>
          <cell r="E105">
            <v>408</v>
          </cell>
        </row>
        <row r="106">
          <cell r="A106">
            <v>4095</v>
          </cell>
          <cell r="B106" t="str">
            <v>BATATA P.FRITA CRINKLE QUALITY FRIES  CX\10X1,050KG</v>
          </cell>
          <cell r="C106">
            <v>305</v>
          </cell>
          <cell r="D106">
            <v>4</v>
          </cell>
          <cell r="E106">
            <v>301</v>
          </cell>
        </row>
        <row r="107">
          <cell r="A107">
            <v>469</v>
          </cell>
          <cell r="B107" t="str">
            <v>BATATA P.FRITA CRINKLE QUALITY FRIES 6X2KG</v>
          </cell>
          <cell r="C107">
            <v>149</v>
          </cell>
          <cell r="D107">
            <v>2</v>
          </cell>
          <cell r="E107">
            <v>147</v>
          </cell>
        </row>
        <row r="108">
          <cell r="A108">
            <v>2329</v>
          </cell>
          <cell r="B108" t="str">
            <v>BATATA P.FRITA PIF PAF CX/5X2KG</v>
          </cell>
          <cell r="C108">
            <v>539</v>
          </cell>
          <cell r="D108">
            <v>15</v>
          </cell>
          <cell r="E108">
            <v>524</v>
          </cell>
        </row>
        <row r="109">
          <cell r="A109">
            <v>461</v>
          </cell>
          <cell r="B109" t="str">
            <v>BATATA P.FRITA QUALITY FRIES CX\10X1,050KG</v>
          </cell>
          <cell r="C109">
            <v>356</v>
          </cell>
          <cell r="D109">
            <v>18</v>
          </cell>
          <cell r="E109">
            <v>338</v>
          </cell>
        </row>
        <row r="110">
          <cell r="A110">
            <v>203</v>
          </cell>
          <cell r="B110" t="str">
            <v>BATATA P.FRITA QUALITY FRIES CX\25X400GR</v>
          </cell>
          <cell r="C110">
            <v>290</v>
          </cell>
          <cell r="D110">
            <v>8</v>
          </cell>
          <cell r="E110">
            <v>282</v>
          </cell>
        </row>
        <row r="111">
          <cell r="A111">
            <v>466</v>
          </cell>
          <cell r="B111" t="str">
            <v>BATATA P.FRITA REZENDE CX/25X400GR</v>
          </cell>
          <cell r="C111">
            <v>31</v>
          </cell>
          <cell r="D111">
            <v>0</v>
          </cell>
          <cell r="E111">
            <v>31</v>
          </cell>
        </row>
        <row r="112">
          <cell r="A112">
            <v>1347</v>
          </cell>
          <cell r="B112" t="str">
            <v>BATATA P.FRITA SEARA CX/24X400GR</v>
          </cell>
          <cell r="C112">
            <v>16</v>
          </cell>
          <cell r="D112">
            <v>0</v>
          </cell>
          <cell r="E112">
            <v>16</v>
          </cell>
        </row>
        <row r="113">
          <cell r="A113">
            <v>783</v>
          </cell>
          <cell r="B113" t="str">
            <v>BATATA P.FRITA SEARA CX\5X2KG</v>
          </cell>
          <cell r="C113">
            <v>26</v>
          </cell>
          <cell r="D113">
            <v>0</v>
          </cell>
          <cell r="E113">
            <v>26</v>
          </cell>
        </row>
        <row r="114">
          <cell r="A114">
            <v>206</v>
          </cell>
          <cell r="B114" t="str">
            <v>BATATA PALHA EXTRA FINA OURO MINAS 400GR</v>
          </cell>
          <cell r="C114">
            <v>1682</v>
          </cell>
          <cell r="D114">
            <v>284</v>
          </cell>
          <cell r="E114">
            <v>1398</v>
          </cell>
        </row>
        <row r="115">
          <cell r="A115">
            <v>2089</v>
          </cell>
          <cell r="B115" t="str">
            <v>BATATA PALHA OURO MINAS 40X120G</v>
          </cell>
          <cell r="C115">
            <v>1</v>
          </cell>
          <cell r="D115">
            <v>1</v>
          </cell>
          <cell r="E115">
            <v>0</v>
          </cell>
        </row>
        <row r="116">
          <cell r="A116">
            <v>4086</v>
          </cell>
          <cell r="B116" t="str">
            <v>BEB. LACTEA MORANGO CEMIL CX\12X1LT</v>
          </cell>
          <cell r="C116">
            <v>68</v>
          </cell>
          <cell r="D116">
            <v>0</v>
          </cell>
          <cell r="E116">
            <v>68</v>
          </cell>
        </row>
        <row r="117">
          <cell r="A117">
            <v>2161</v>
          </cell>
          <cell r="B117" t="str">
            <v>BEB.FARINHA LACTEA IBITURANA CX\27X200ML</v>
          </cell>
          <cell r="C117">
            <v>46</v>
          </cell>
          <cell r="D117">
            <v>1</v>
          </cell>
          <cell r="E117">
            <v>45</v>
          </cell>
        </row>
        <row r="118">
          <cell r="A118">
            <v>4271</v>
          </cell>
          <cell r="B118" t="str">
            <v>BEB.LACTEA ABACAXI CEMIL CX\27X200ML</v>
          </cell>
          <cell r="C118">
            <v>118</v>
          </cell>
          <cell r="D118">
            <v>2</v>
          </cell>
          <cell r="E118">
            <v>116</v>
          </cell>
        </row>
        <row r="119">
          <cell r="A119">
            <v>17</v>
          </cell>
          <cell r="B119" t="str">
            <v>BEB.LACTEA BLACK CEMIL CX\27X200ML</v>
          </cell>
          <cell r="C119">
            <v>306</v>
          </cell>
          <cell r="D119">
            <v>9</v>
          </cell>
          <cell r="E119">
            <v>297</v>
          </cell>
        </row>
        <row r="120">
          <cell r="A120">
            <v>470</v>
          </cell>
          <cell r="B120" t="str">
            <v>BEB.LACTEA CHOCOLATE CEMIL CX\12X1LT</v>
          </cell>
          <cell r="C120">
            <v>267</v>
          </cell>
          <cell r="D120">
            <v>10</v>
          </cell>
          <cell r="E120">
            <v>257</v>
          </cell>
        </row>
        <row r="121">
          <cell r="A121">
            <v>16</v>
          </cell>
          <cell r="B121" t="str">
            <v>BEB.LACTEA CHOCOLATE CEMIL CX\27/200ML</v>
          </cell>
          <cell r="C121">
            <v>169</v>
          </cell>
          <cell r="D121">
            <v>12</v>
          </cell>
          <cell r="E121">
            <v>157</v>
          </cell>
        </row>
        <row r="122">
          <cell r="A122">
            <v>3755</v>
          </cell>
          <cell r="B122" t="str">
            <v>BEB.LACTEA CHOCOLATE DAMARE KIDS  24X200GR</v>
          </cell>
          <cell r="C122">
            <v>878</v>
          </cell>
          <cell r="D122">
            <v>18</v>
          </cell>
          <cell r="E122">
            <v>860</v>
          </cell>
        </row>
        <row r="123">
          <cell r="A123">
            <v>472</v>
          </cell>
          <cell r="B123" t="str">
            <v>BEB.LACTEA CHOCOLATE IBITURUNA 27X200GR</v>
          </cell>
          <cell r="C123">
            <v>1712</v>
          </cell>
          <cell r="D123">
            <v>30</v>
          </cell>
          <cell r="E123">
            <v>1682</v>
          </cell>
        </row>
        <row r="124">
          <cell r="A124">
            <v>471</v>
          </cell>
          <cell r="B124" t="str">
            <v>BEB.LACTEA CHOCOLATE IBITURUNA CX\12X1LT</v>
          </cell>
          <cell r="C124">
            <v>40</v>
          </cell>
          <cell r="D124">
            <v>0</v>
          </cell>
          <cell r="E124">
            <v>40</v>
          </cell>
        </row>
        <row r="125">
          <cell r="A125">
            <v>3242</v>
          </cell>
          <cell r="B125" t="str">
            <v>BEB.LACTEA CHOCOLATE QUATA CX/27X180ML</v>
          </cell>
          <cell r="C125">
            <v>2115</v>
          </cell>
          <cell r="D125">
            <v>15</v>
          </cell>
          <cell r="E125">
            <v>2100</v>
          </cell>
        </row>
        <row r="126">
          <cell r="A126">
            <v>476</v>
          </cell>
          <cell r="B126" t="str">
            <v>BEB.LACTEA MORANGO CEMIL 27X200GR</v>
          </cell>
          <cell r="C126">
            <v>50</v>
          </cell>
          <cell r="D126">
            <v>2</v>
          </cell>
          <cell r="E126">
            <v>48</v>
          </cell>
        </row>
        <row r="127">
          <cell r="A127">
            <v>3756</v>
          </cell>
          <cell r="B127" t="str">
            <v>BEB.LACTEA MORANGO DAMARE KIDS  24X200GR</v>
          </cell>
          <cell r="C127">
            <v>545</v>
          </cell>
          <cell r="D127">
            <v>1</v>
          </cell>
          <cell r="E127">
            <v>544</v>
          </cell>
        </row>
        <row r="128">
          <cell r="A128">
            <v>478</v>
          </cell>
          <cell r="B128" t="str">
            <v>BEB.LACTEA MORANGO IBITURUNA 27X200ML</v>
          </cell>
          <cell r="C128">
            <v>248</v>
          </cell>
          <cell r="D128">
            <v>2</v>
          </cell>
          <cell r="E128">
            <v>246</v>
          </cell>
        </row>
        <row r="129">
          <cell r="A129">
            <v>479</v>
          </cell>
          <cell r="B129" t="str">
            <v>BEB.LACTEA SUCOMILHO CEMIL 27X200ML</v>
          </cell>
          <cell r="C129">
            <v>26</v>
          </cell>
          <cell r="D129">
            <v>1</v>
          </cell>
          <cell r="E129">
            <v>25</v>
          </cell>
        </row>
        <row r="130">
          <cell r="A130">
            <v>3908</v>
          </cell>
          <cell r="B130" t="str">
            <v>BIFE VAZIO BOVINA (FLANK STEAK) CARA BRANCA KG</v>
          </cell>
          <cell r="C130">
            <v>672.53</v>
          </cell>
          <cell r="D130">
            <v>0</v>
          </cell>
          <cell r="E130">
            <v>672.53</v>
          </cell>
        </row>
        <row r="131">
          <cell r="A131">
            <v>2159</v>
          </cell>
          <cell r="B131" t="str">
            <v>BISTECA SUINA ATALAIA  KG</v>
          </cell>
          <cell r="C131">
            <v>0</v>
          </cell>
          <cell r="D131">
            <v>0</v>
          </cell>
          <cell r="E131">
            <v>0</v>
          </cell>
        </row>
        <row r="132">
          <cell r="A132">
            <v>3930</v>
          </cell>
          <cell r="B132" t="str">
            <v>BISTECA SUINA IQF SADIA CX10/800GR</v>
          </cell>
          <cell r="C132">
            <v>499</v>
          </cell>
          <cell r="D132">
            <v>5</v>
          </cell>
          <cell r="E132">
            <v>494</v>
          </cell>
        </row>
        <row r="133">
          <cell r="A133">
            <v>3071</v>
          </cell>
          <cell r="B133" t="str">
            <v>BOLINHO CARNE SUINA EMPAPANADO 16X270G</v>
          </cell>
          <cell r="C133">
            <v>10</v>
          </cell>
          <cell r="D133">
            <v>0</v>
          </cell>
          <cell r="E133">
            <v>10</v>
          </cell>
        </row>
        <row r="134">
          <cell r="A134">
            <v>482</v>
          </cell>
          <cell r="B134" t="str">
            <v>BROCOLIS FLORETE NATURE SEARA CX/10X1,05</v>
          </cell>
          <cell r="C134">
            <v>9</v>
          </cell>
          <cell r="D134">
            <v>0</v>
          </cell>
          <cell r="E134">
            <v>9</v>
          </cell>
        </row>
        <row r="135">
          <cell r="A135">
            <v>306</v>
          </cell>
          <cell r="B135" t="str">
            <v>BROCOLIS FLORETENATURE SEARA CX/16X300G</v>
          </cell>
          <cell r="C135">
            <v>5</v>
          </cell>
          <cell r="D135">
            <v>0</v>
          </cell>
          <cell r="E135">
            <v>5</v>
          </cell>
        </row>
        <row r="136">
          <cell r="A136">
            <v>485</v>
          </cell>
          <cell r="B136" t="str">
            <v>CAPA CONTRA FILE BOVINA FRIGODIAS KG</v>
          </cell>
          <cell r="C136">
            <v>2262.4299999999998</v>
          </cell>
          <cell r="D136">
            <v>20</v>
          </cell>
          <cell r="E136">
            <v>2242.4299999999998</v>
          </cell>
        </row>
        <row r="137">
          <cell r="A137">
            <v>69</v>
          </cell>
          <cell r="B137" t="str">
            <v>CAPA FILE PCT BOVINA CARA BRANCA KG</v>
          </cell>
          <cell r="C137">
            <v>1481.31</v>
          </cell>
          <cell r="D137">
            <v>20</v>
          </cell>
          <cell r="E137">
            <v>1461.31</v>
          </cell>
        </row>
        <row r="138">
          <cell r="A138">
            <v>4296</v>
          </cell>
          <cell r="B138" t="str">
            <v>CARNE BOVINA MOIDA CRUZEIRO DO SUL CX/24X1KG</v>
          </cell>
          <cell r="C138">
            <v>199</v>
          </cell>
          <cell r="D138">
            <v>1</v>
          </cell>
          <cell r="E138">
            <v>198</v>
          </cell>
        </row>
        <row r="139">
          <cell r="A139">
            <v>4298</v>
          </cell>
          <cell r="B139" t="str">
            <v>CARNE BOVINA MOIDA CRUZEIRO DO SUL CX/48X500G</v>
          </cell>
          <cell r="C139">
            <v>105</v>
          </cell>
          <cell r="D139">
            <v>2</v>
          </cell>
          <cell r="E139">
            <v>103</v>
          </cell>
        </row>
        <row r="140">
          <cell r="A140">
            <v>2275</v>
          </cell>
          <cell r="B140" t="str">
            <v>CARNE BOVINA MOIDA FRIGODIAS 12X1KG</v>
          </cell>
          <cell r="C140">
            <v>119</v>
          </cell>
          <cell r="D140">
            <v>0</v>
          </cell>
          <cell r="E140">
            <v>119</v>
          </cell>
        </row>
        <row r="141">
          <cell r="A141">
            <v>379</v>
          </cell>
          <cell r="B141" t="str">
            <v>CARNE BOVINA MOIDA TUDBOM PLENA 15X1KG</v>
          </cell>
          <cell r="C141">
            <v>332</v>
          </cell>
          <cell r="D141">
            <v>2</v>
          </cell>
          <cell r="E141">
            <v>330</v>
          </cell>
        </row>
        <row r="142">
          <cell r="A142">
            <v>83</v>
          </cell>
          <cell r="B142" t="str">
            <v>CARNE BOVINA MOIDA TUDBOM PLENA 24X500G</v>
          </cell>
          <cell r="C142">
            <v>161</v>
          </cell>
          <cell r="D142">
            <v>2</v>
          </cell>
          <cell r="E142">
            <v>159</v>
          </cell>
        </row>
        <row r="143">
          <cell r="A143">
            <v>489</v>
          </cell>
          <cell r="B143" t="str">
            <v>CARRE SUINO AURORA KG</v>
          </cell>
          <cell r="C143">
            <v>2260.7199999999998</v>
          </cell>
          <cell r="D143">
            <v>0</v>
          </cell>
          <cell r="E143">
            <v>2260.7199999999998</v>
          </cell>
        </row>
        <row r="144">
          <cell r="A144">
            <v>491</v>
          </cell>
          <cell r="B144" t="str">
            <v>CHICKEN BITS REZENDE CX/16X300GR</v>
          </cell>
          <cell r="C144">
            <v>6</v>
          </cell>
          <cell r="D144">
            <v>0</v>
          </cell>
          <cell r="E144">
            <v>6</v>
          </cell>
        </row>
        <row r="145">
          <cell r="A145">
            <v>492</v>
          </cell>
          <cell r="B145" t="str">
            <v>CHICKEN BITS REZENDE CX\5X1KG</v>
          </cell>
          <cell r="C145">
            <v>8</v>
          </cell>
          <cell r="D145">
            <v>0</v>
          </cell>
          <cell r="E145">
            <v>8</v>
          </cell>
        </row>
        <row r="146">
          <cell r="A146">
            <v>493</v>
          </cell>
          <cell r="B146" t="str">
            <v>CHICKEN CRISPY QUEIJO SEARA CX\16X300G</v>
          </cell>
          <cell r="C146">
            <v>6</v>
          </cell>
          <cell r="D146">
            <v>1</v>
          </cell>
          <cell r="E146">
            <v>5</v>
          </cell>
        </row>
        <row r="147">
          <cell r="A147">
            <v>494</v>
          </cell>
          <cell r="B147" t="str">
            <v>CHICKEN CRISPY SEARA CX/16X300GR</v>
          </cell>
          <cell r="C147">
            <v>18</v>
          </cell>
          <cell r="D147">
            <v>1</v>
          </cell>
          <cell r="E147">
            <v>17</v>
          </cell>
        </row>
        <row r="148">
          <cell r="A148">
            <v>909</v>
          </cell>
          <cell r="B148" t="str">
            <v>CHICKEN CROC CROCANT LEBON 12X300</v>
          </cell>
          <cell r="C148">
            <v>93</v>
          </cell>
          <cell r="D148">
            <v>0</v>
          </cell>
          <cell r="E148">
            <v>93</v>
          </cell>
        </row>
        <row r="149">
          <cell r="A149">
            <v>1340</v>
          </cell>
          <cell r="B149" t="str">
            <v>CHICKEN SUPREME 2MOLHOS CX\12X220GR</v>
          </cell>
          <cell r="C149">
            <v>5</v>
          </cell>
          <cell r="D149">
            <v>0</v>
          </cell>
          <cell r="E149">
            <v>5</v>
          </cell>
        </row>
        <row r="150">
          <cell r="A150">
            <v>496</v>
          </cell>
          <cell r="B150" t="str">
            <v>CHICKEN SUPREME BURGER SEARA CX/3X2KG</v>
          </cell>
          <cell r="C150">
            <v>5</v>
          </cell>
          <cell r="D150">
            <v>0</v>
          </cell>
          <cell r="E150">
            <v>5</v>
          </cell>
        </row>
        <row r="151">
          <cell r="A151">
            <v>407</v>
          </cell>
          <cell r="B151" t="str">
            <v>CHICKEN SUPREME SEARA CX/16X300GR</v>
          </cell>
          <cell r="C151">
            <v>1</v>
          </cell>
          <cell r="D151">
            <v>0</v>
          </cell>
          <cell r="E151">
            <v>1</v>
          </cell>
        </row>
        <row r="152">
          <cell r="A152">
            <v>3181</v>
          </cell>
          <cell r="B152" t="str">
            <v>CHICKEN SUPREME SEARA CX/5X900G</v>
          </cell>
          <cell r="C152">
            <v>5</v>
          </cell>
          <cell r="D152">
            <v>0</v>
          </cell>
          <cell r="E152">
            <v>5</v>
          </cell>
        </row>
        <row r="153">
          <cell r="A153">
            <v>303</v>
          </cell>
          <cell r="B153" t="str">
            <v>CHICKEN SUPREME SEARA CX\2X2,5KG</v>
          </cell>
          <cell r="C153">
            <v>2</v>
          </cell>
          <cell r="D153">
            <v>2</v>
          </cell>
          <cell r="E153">
            <v>0</v>
          </cell>
        </row>
        <row r="154">
          <cell r="A154">
            <v>3188</v>
          </cell>
          <cell r="B154" t="str">
            <v>CHOCOLATE EM PÓ DAMARE 50% CACAU 1,010KG</v>
          </cell>
          <cell r="C154">
            <v>478</v>
          </cell>
          <cell r="D154">
            <v>5</v>
          </cell>
          <cell r="E154">
            <v>473</v>
          </cell>
        </row>
        <row r="155">
          <cell r="A155">
            <v>786</v>
          </cell>
          <cell r="B155" t="str">
            <v>CHUCK TENDER BOVINO FRIGODIAS KG</v>
          </cell>
          <cell r="C155">
            <v>0.01</v>
          </cell>
          <cell r="D155">
            <v>0</v>
          </cell>
          <cell r="E155">
            <v>0.01</v>
          </cell>
        </row>
        <row r="156">
          <cell r="A156">
            <v>2784</v>
          </cell>
          <cell r="B156" t="str">
            <v>COCO ADOÇADO DUCOCO 1KG</v>
          </cell>
          <cell r="C156">
            <v>70</v>
          </cell>
          <cell r="D156">
            <v>0</v>
          </cell>
          <cell r="E156">
            <v>70</v>
          </cell>
        </row>
        <row r="157">
          <cell r="A157">
            <v>2783</v>
          </cell>
          <cell r="B157" t="str">
            <v>COCO FLOCOS DUCOCO 1KG</v>
          </cell>
          <cell r="C157">
            <v>56</v>
          </cell>
          <cell r="D157">
            <v>0</v>
          </cell>
          <cell r="E157">
            <v>56</v>
          </cell>
        </row>
        <row r="158">
          <cell r="A158">
            <v>192</v>
          </cell>
          <cell r="B158" t="str">
            <v>COCO FLOCOS UMIDO ADOC. MENINA CX\24X100</v>
          </cell>
          <cell r="C158">
            <v>133</v>
          </cell>
          <cell r="D158">
            <v>1</v>
          </cell>
          <cell r="E158">
            <v>132</v>
          </cell>
        </row>
        <row r="159">
          <cell r="A159">
            <v>193</v>
          </cell>
          <cell r="B159" t="str">
            <v>COCO RALADO MENINA CX/24X100GR</v>
          </cell>
          <cell r="C159">
            <v>224</v>
          </cell>
          <cell r="D159">
            <v>2</v>
          </cell>
          <cell r="E159">
            <v>222</v>
          </cell>
        </row>
        <row r="160">
          <cell r="A160">
            <v>498</v>
          </cell>
          <cell r="B160" t="str">
            <v>COCO RALADO MENINA CX/48X50GR</v>
          </cell>
          <cell r="C160">
            <v>135</v>
          </cell>
          <cell r="D160">
            <v>1</v>
          </cell>
          <cell r="E160">
            <v>134</v>
          </cell>
        </row>
        <row r="161">
          <cell r="A161">
            <v>4249</v>
          </cell>
          <cell r="B161" t="str">
            <v>COCO RALADO SECO 100 % DUCOCO 1KG</v>
          </cell>
          <cell r="C161">
            <v>48</v>
          </cell>
          <cell r="D161">
            <v>0</v>
          </cell>
          <cell r="E161">
            <v>48</v>
          </cell>
        </row>
        <row r="162">
          <cell r="A162">
            <v>3173</v>
          </cell>
          <cell r="B162" t="str">
            <v>CONTRA FILE BOVINO PCT CARA BRANCA KG</v>
          </cell>
          <cell r="C162">
            <v>1008.23</v>
          </cell>
          <cell r="D162">
            <v>0</v>
          </cell>
          <cell r="E162">
            <v>1008.23</v>
          </cell>
        </row>
        <row r="163">
          <cell r="A163">
            <v>499</v>
          </cell>
          <cell r="B163" t="str">
            <v>CONTRA FILE GRILL BOVINO FRIGODIAS KG</v>
          </cell>
          <cell r="C163">
            <v>160.72</v>
          </cell>
          <cell r="D163">
            <v>0</v>
          </cell>
          <cell r="E163">
            <v>160.72</v>
          </cell>
        </row>
        <row r="164">
          <cell r="A164">
            <v>1022</v>
          </cell>
          <cell r="B164" t="str">
            <v>COPA LOMBO (SOBREPALETA) DIMELHOR KG</v>
          </cell>
          <cell r="C164">
            <v>0.01</v>
          </cell>
          <cell r="D164">
            <v>0</v>
          </cell>
          <cell r="E164">
            <v>0.01</v>
          </cell>
        </row>
        <row r="165">
          <cell r="A165">
            <v>4123</v>
          </cell>
          <cell r="B165" t="str">
            <v>CORACAO FRANGO BANDEJA LAR CX16X1KG</v>
          </cell>
          <cell r="C165">
            <v>22</v>
          </cell>
          <cell r="D165">
            <v>4</v>
          </cell>
          <cell r="E165">
            <v>18</v>
          </cell>
        </row>
        <row r="166">
          <cell r="A166">
            <v>3822</v>
          </cell>
          <cell r="B166" t="str">
            <v>CORACAO FRANGO BANDEJA RIVELLI CX\12X1KG</v>
          </cell>
          <cell r="C166">
            <v>490</v>
          </cell>
          <cell r="D166">
            <v>2</v>
          </cell>
          <cell r="E166">
            <v>488</v>
          </cell>
        </row>
        <row r="167">
          <cell r="A167">
            <v>4151</v>
          </cell>
          <cell r="B167" t="str">
            <v>CORACAO FRANGO PCT RIVELLI CX\30X700GR</v>
          </cell>
          <cell r="C167">
            <v>23</v>
          </cell>
          <cell r="D167">
            <v>8</v>
          </cell>
          <cell r="E167">
            <v>15</v>
          </cell>
        </row>
        <row r="168">
          <cell r="A168">
            <v>2001</v>
          </cell>
          <cell r="B168" t="str">
            <v>CORACAO FRANGO TEMP LAR CX\26X700G</v>
          </cell>
          <cell r="C168">
            <v>325</v>
          </cell>
          <cell r="D168">
            <v>5</v>
          </cell>
          <cell r="E168">
            <v>320</v>
          </cell>
        </row>
        <row r="169">
          <cell r="A169">
            <v>506</v>
          </cell>
          <cell r="B169" t="str">
            <v>COSTELA ASSADO TIRAS BOVINO FRIGODIAS KG</v>
          </cell>
          <cell r="C169">
            <v>0</v>
          </cell>
          <cell r="D169">
            <v>0</v>
          </cell>
          <cell r="E169">
            <v>0</v>
          </cell>
        </row>
        <row r="170">
          <cell r="A170">
            <v>75</v>
          </cell>
          <cell r="B170" t="str">
            <v>COSTELA BOVINA TIRAS FRIGOMATOSO KG</v>
          </cell>
          <cell r="C170">
            <v>2073.46</v>
          </cell>
          <cell r="D170">
            <v>60</v>
          </cell>
          <cell r="E170">
            <v>2013.46</v>
          </cell>
        </row>
        <row r="171">
          <cell r="A171">
            <v>123</v>
          </cell>
          <cell r="B171" t="str">
            <v>COSTELA SUINA BARBECUE SEARA GOURMET CX\1X6KG</v>
          </cell>
          <cell r="C171">
            <v>4</v>
          </cell>
          <cell r="D171">
            <v>0</v>
          </cell>
          <cell r="E171">
            <v>4</v>
          </cell>
        </row>
        <row r="172">
          <cell r="A172">
            <v>4182</v>
          </cell>
          <cell r="B172" t="str">
            <v>COSTELA SUINA EM TIRAS DICASA KG</v>
          </cell>
          <cell r="C172">
            <v>39.64</v>
          </cell>
          <cell r="D172">
            <v>20</v>
          </cell>
          <cell r="E172">
            <v>19.64</v>
          </cell>
        </row>
        <row r="173">
          <cell r="A173">
            <v>885</v>
          </cell>
          <cell r="B173" t="str">
            <v>COSTELA SUINA EM TIRAS PIF PAF CX/20KG</v>
          </cell>
          <cell r="C173">
            <v>64</v>
          </cell>
          <cell r="D173">
            <v>4</v>
          </cell>
          <cell r="E173">
            <v>60</v>
          </cell>
        </row>
        <row r="174">
          <cell r="A174">
            <v>510</v>
          </cell>
          <cell r="B174" t="str">
            <v>COSTELA SUINA PCT ADEEL KG</v>
          </cell>
          <cell r="C174">
            <v>0.03</v>
          </cell>
          <cell r="D174">
            <v>0.03</v>
          </cell>
          <cell r="E174">
            <v>0</v>
          </cell>
        </row>
        <row r="175">
          <cell r="A175">
            <v>3292</v>
          </cell>
          <cell r="B175" t="str">
            <v>COSTELA SUINA TEMPERADA SEALI KG</v>
          </cell>
          <cell r="C175">
            <v>129.69999999999999</v>
          </cell>
          <cell r="D175">
            <v>0</v>
          </cell>
          <cell r="E175">
            <v>129.69999999999999</v>
          </cell>
        </row>
        <row r="176">
          <cell r="A176">
            <v>514</v>
          </cell>
          <cell r="B176" t="str">
            <v>COXA INTERFOLHADA PIF PAF CX/20KG</v>
          </cell>
          <cell r="C176">
            <v>483</v>
          </cell>
          <cell r="D176">
            <v>0</v>
          </cell>
          <cell r="E176">
            <v>483</v>
          </cell>
        </row>
        <row r="177">
          <cell r="A177">
            <v>791</v>
          </cell>
          <cell r="B177" t="str">
            <v>COXA IQF SEARA CX\12KG</v>
          </cell>
          <cell r="C177">
            <v>59</v>
          </cell>
          <cell r="D177">
            <v>1</v>
          </cell>
          <cell r="E177">
            <v>58</v>
          </cell>
        </row>
        <row r="178">
          <cell r="A178">
            <v>3257</v>
          </cell>
          <cell r="B178" t="str">
            <v>COXA PERU PCT PERDIGAO KG</v>
          </cell>
          <cell r="C178">
            <v>517.55999999999995</v>
          </cell>
          <cell r="D178">
            <v>15</v>
          </cell>
          <cell r="E178">
            <v>502.56</v>
          </cell>
        </row>
        <row r="179">
          <cell r="A179">
            <v>516</v>
          </cell>
          <cell r="B179" t="str">
            <v>COXA SOBRECOXA BANDEJA RIVELLI 12X1KG</v>
          </cell>
          <cell r="C179">
            <v>194</v>
          </cell>
          <cell r="D179">
            <v>0</v>
          </cell>
          <cell r="E179">
            <v>194</v>
          </cell>
        </row>
        <row r="180">
          <cell r="A180">
            <v>4152</v>
          </cell>
          <cell r="B180" t="str">
            <v>COXA SOBRECOXA EMP (FRANGO ORIENTAL NETFLIX) SEARA CX/16X275G</v>
          </cell>
          <cell r="C180">
            <v>3</v>
          </cell>
          <cell r="D180">
            <v>0</v>
          </cell>
          <cell r="E180">
            <v>3</v>
          </cell>
        </row>
        <row r="181">
          <cell r="A181">
            <v>396</v>
          </cell>
          <cell r="B181" t="str">
            <v>COXA SOBRECOXA ENVEL  REAL CX 20KG</v>
          </cell>
          <cell r="C181">
            <v>1180</v>
          </cell>
          <cell r="D181">
            <v>109</v>
          </cell>
          <cell r="E181">
            <v>1071</v>
          </cell>
        </row>
        <row r="182">
          <cell r="A182">
            <v>521</v>
          </cell>
          <cell r="B182" t="str">
            <v>COXA SOBRECOXA INTERF FREDINI CX 20KG</v>
          </cell>
          <cell r="C182">
            <v>15</v>
          </cell>
          <cell r="D182">
            <v>6</v>
          </cell>
          <cell r="E182">
            <v>9</v>
          </cell>
        </row>
        <row r="183">
          <cell r="A183">
            <v>397</v>
          </cell>
          <cell r="B183" t="str">
            <v>COXA SOBRECOXA PCT REAL CX 20KG</v>
          </cell>
          <cell r="C183">
            <v>1372</v>
          </cell>
          <cell r="D183">
            <v>24</v>
          </cell>
          <cell r="E183">
            <v>1348</v>
          </cell>
        </row>
        <row r="184">
          <cell r="A184">
            <v>3171</v>
          </cell>
          <cell r="B184" t="str">
            <v>COXAO DURO BOVINO CARA BRANCA KG</v>
          </cell>
          <cell r="C184">
            <v>2535.5100000000002</v>
          </cell>
          <cell r="D184">
            <v>0</v>
          </cell>
          <cell r="E184">
            <v>2535.5100000000002</v>
          </cell>
        </row>
        <row r="185">
          <cell r="A185">
            <v>3932</v>
          </cell>
          <cell r="B185" t="str">
            <v>COXAO DURO PCT BOVINO FRIGO DIAS KG</v>
          </cell>
          <cell r="C185">
            <v>0.48</v>
          </cell>
          <cell r="D185">
            <v>0</v>
          </cell>
          <cell r="E185">
            <v>0.48</v>
          </cell>
        </row>
        <row r="186">
          <cell r="A186">
            <v>3311</v>
          </cell>
          <cell r="B186" t="str">
            <v>COXAO MOLE BOVINO CARA BRANCA KG</v>
          </cell>
          <cell r="C186">
            <v>216.37</v>
          </cell>
          <cell r="D186">
            <v>0</v>
          </cell>
          <cell r="E186">
            <v>216.37</v>
          </cell>
        </row>
        <row r="187">
          <cell r="A187">
            <v>4101</v>
          </cell>
          <cell r="B187" t="str">
            <v>COXAO MOLE BOVINO CARA PRETA KG</v>
          </cell>
          <cell r="C187">
            <v>15.96</v>
          </cell>
          <cell r="D187">
            <v>0</v>
          </cell>
          <cell r="E187">
            <v>15.96</v>
          </cell>
        </row>
        <row r="188">
          <cell r="A188">
            <v>76</v>
          </cell>
          <cell r="B188" t="str">
            <v>COXAO MOLE BOVINO FRIALTO  KG</v>
          </cell>
          <cell r="C188">
            <v>0</v>
          </cell>
          <cell r="D188">
            <v>0</v>
          </cell>
          <cell r="E188">
            <v>0</v>
          </cell>
        </row>
        <row r="189">
          <cell r="A189">
            <v>100</v>
          </cell>
          <cell r="B189" t="str">
            <v>COXAO MOLE BOVINO FRIGODIAS  KG</v>
          </cell>
          <cell r="C189">
            <v>2920.77</v>
          </cell>
          <cell r="D189">
            <v>60</v>
          </cell>
          <cell r="E189">
            <v>2860.77</v>
          </cell>
        </row>
        <row r="190">
          <cell r="A190">
            <v>400</v>
          </cell>
          <cell r="B190" t="str">
            <v>COXINHA DA ASA BANDEJA RIVELLI CX 12X1KG</v>
          </cell>
          <cell r="C190">
            <v>143</v>
          </cell>
          <cell r="D190">
            <v>6</v>
          </cell>
          <cell r="E190">
            <v>137</v>
          </cell>
        </row>
        <row r="191">
          <cell r="A191">
            <v>42</v>
          </cell>
          <cell r="B191" t="str">
            <v>COXINHA DA ASA ENVEL  RIVELLI CX 20KG</v>
          </cell>
          <cell r="C191">
            <v>248</v>
          </cell>
          <cell r="D191">
            <v>6</v>
          </cell>
          <cell r="E191">
            <v>242</v>
          </cell>
        </row>
        <row r="192">
          <cell r="A192">
            <v>2453</v>
          </cell>
          <cell r="B192" t="str">
            <v>COXINHA DA ASA IQF RIVELLI CX 20X800GR</v>
          </cell>
          <cell r="C192">
            <v>254</v>
          </cell>
          <cell r="D192">
            <v>5</v>
          </cell>
          <cell r="E192">
            <v>249</v>
          </cell>
        </row>
        <row r="193">
          <cell r="A193">
            <v>2000</v>
          </cell>
          <cell r="B193" t="str">
            <v>COXINHA DA ASA TEMP IQF LAR CX\20X700GR</v>
          </cell>
          <cell r="C193">
            <v>116</v>
          </cell>
          <cell r="D193">
            <v>1</v>
          </cell>
          <cell r="E193">
            <v>115</v>
          </cell>
        </row>
        <row r="194">
          <cell r="A194">
            <v>3821</v>
          </cell>
          <cell r="B194" t="str">
            <v>COXINHA DE FRANGO C/ REQUIJAO PIF PAF CX\20X300GR</v>
          </cell>
          <cell r="C194">
            <v>19</v>
          </cell>
          <cell r="D194">
            <v>1</v>
          </cell>
          <cell r="E194">
            <v>18</v>
          </cell>
        </row>
        <row r="195">
          <cell r="A195">
            <v>300</v>
          </cell>
          <cell r="B195" t="str">
            <v>COXINHA EMPANADA SEARA CX/12X400GR</v>
          </cell>
          <cell r="C195">
            <v>24</v>
          </cell>
          <cell r="D195">
            <v>1</v>
          </cell>
          <cell r="E195">
            <v>23</v>
          </cell>
        </row>
        <row r="196">
          <cell r="A196">
            <v>408</v>
          </cell>
          <cell r="B196" t="str">
            <v>COXINHA EMPANADA SEARA CX/5X900GR</v>
          </cell>
          <cell r="C196">
            <v>24</v>
          </cell>
          <cell r="D196">
            <v>0</v>
          </cell>
          <cell r="E196">
            <v>24</v>
          </cell>
        </row>
        <row r="197">
          <cell r="A197">
            <v>3410</v>
          </cell>
          <cell r="B197" t="str">
            <v>CREME AVELA\CACAU  TRIANGULO MINEIRO 10X170G</v>
          </cell>
          <cell r="C197">
            <v>21</v>
          </cell>
          <cell r="D197">
            <v>0</v>
          </cell>
          <cell r="E197">
            <v>21</v>
          </cell>
        </row>
        <row r="198">
          <cell r="A198">
            <v>3409</v>
          </cell>
          <cell r="B198" t="str">
            <v>CREME AVELA\CACAU TRIANGULO MINEIRO 12X300G</v>
          </cell>
          <cell r="C198">
            <v>5</v>
          </cell>
          <cell r="D198">
            <v>0</v>
          </cell>
          <cell r="E198">
            <v>5</v>
          </cell>
        </row>
        <row r="199">
          <cell r="A199">
            <v>3411</v>
          </cell>
          <cell r="B199" t="str">
            <v>CREME AVELA\CACAU TRIANGULO MINEIRO 3KG</v>
          </cell>
          <cell r="C199">
            <v>8</v>
          </cell>
          <cell r="D199">
            <v>4</v>
          </cell>
          <cell r="E199">
            <v>4</v>
          </cell>
        </row>
        <row r="200">
          <cell r="A200">
            <v>3204</v>
          </cell>
          <cell r="B200" t="str">
            <v>CREME CHANTILLY NORCAU 6X1LT</v>
          </cell>
          <cell r="C200">
            <v>69</v>
          </cell>
          <cell r="D200">
            <v>2</v>
          </cell>
          <cell r="E200">
            <v>67</v>
          </cell>
        </row>
        <row r="201">
          <cell r="A201">
            <v>3054</v>
          </cell>
          <cell r="B201" t="str">
            <v>CREME CULINARIO DAMARE 27X200G</v>
          </cell>
          <cell r="C201">
            <v>291</v>
          </cell>
          <cell r="D201">
            <v>1</v>
          </cell>
          <cell r="E201">
            <v>290</v>
          </cell>
        </row>
        <row r="202">
          <cell r="A202">
            <v>3189</v>
          </cell>
          <cell r="B202" t="str">
            <v>CREME CULINÁRIO UHT DAMARE 1,01KG</v>
          </cell>
          <cell r="C202">
            <v>906</v>
          </cell>
          <cell r="D202">
            <v>0</v>
          </cell>
          <cell r="E202">
            <v>906</v>
          </cell>
        </row>
        <row r="203">
          <cell r="A203">
            <v>528</v>
          </cell>
          <cell r="B203" t="str">
            <v>CREME DE LEITE CEMIL CX\27X200GR</v>
          </cell>
          <cell r="C203">
            <v>212</v>
          </cell>
          <cell r="D203">
            <v>6</v>
          </cell>
          <cell r="E203">
            <v>206</v>
          </cell>
        </row>
        <row r="204">
          <cell r="A204">
            <v>3053</v>
          </cell>
          <cell r="B204" t="str">
            <v>CREME DE LEITE LEVE DAMARE 27X200G</v>
          </cell>
          <cell r="C204">
            <v>158</v>
          </cell>
          <cell r="D204">
            <v>2</v>
          </cell>
          <cell r="E204">
            <v>156</v>
          </cell>
        </row>
        <row r="205">
          <cell r="A205">
            <v>530</v>
          </cell>
          <cell r="B205" t="str">
            <v>CREME DE LEITE PIRACANJUBA  CX/27X200G</v>
          </cell>
          <cell r="C205">
            <v>1244</v>
          </cell>
          <cell r="D205">
            <v>37</v>
          </cell>
          <cell r="E205">
            <v>1207</v>
          </cell>
        </row>
        <row r="206">
          <cell r="A206">
            <v>531</v>
          </cell>
          <cell r="B206" t="str">
            <v>CREME DE LEITE QUATA CX\27X200GR</v>
          </cell>
          <cell r="C206">
            <v>439</v>
          </cell>
          <cell r="D206">
            <v>9</v>
          </cell>
          <cell r="E206">
            <v>430</v>
          </cell>
        </row>
        <row r="207">
          <cell r="A207">
            <v>1102</v>
          </cell>
          <cell r="B207" t="str">
            <v>CRISPY BURGER QUEIJO SEARA CX/2X1,3KG</v>
          </cell>
          <cell r="C207">
            <v>8</v>
          </cell>
          <cell r="D207">
            <v>0</v>
          </cell>
          <cell r="E207">
            <v>8</v>
          </cell>
        </row>
        <row r="208">
          <cell r="A208">
            <v>4316</v>
          </cell>
          <cell r="B208" t="str">
            <v>CRISPY FRANGO  EMPANADO SEARA CX/24X160G</v>
          </cell>
          <cell r="C208">
            <v>2</v>
          </cell>
          <cell r="D208">
            <v>0</v>
          </cell>
          <cell r="E208">
            <v>2</v>
          </cell>
        </row>
        <row r="209">
          <cell r="A209">
            <v>85</v>
          </cell>
          <cell r="B209" t="str">
            <v>CUPIM RECHEADO BOVINO FRIGOLESTE KG</v>
          </cell>
          <cell r="C209">
            <v>0.93</v>
          </cell>
          <cell r="D209">
            <v>0</v>
          </cell>
          <cell r="E209">
            <v>0.93</v>
          </cell>
        </row>
        <row r="210">
          <cell r="A210">
            <v>92</v>
          </cell>
          <cell r="B210" t="str">
            <v>CUPIM TEMP. BACON BOVINO PALADAR KG</v>
          </cell>
          <cell r="C210">
            <v>468.54</v>
          </cell>
          <cell r="D210">
            <v>0</v>
          </cell>
          <cell r="E210">
            <v>468.54</v>
          </cell>
        </row>
        <row r="211">
          <cell r="A211">
            <v>2944</v>
          </cell>
          <cell r="B211" t="str">
            <v>DOCE DE LEITE BALDE CRISTAULAT 4,6KG</v>
          </cell>
          <cell r="C211">
            <v>28</v>
          </cell>
          <cell r="D211">
            <v>7</v>
          </cell>
          <cell r="E211">
            <v>21</v>
          </cell>
        </row>
        <row r="212">
          <cell r="A212">
            <v>4034</v>
          </cell>
          <cell r="B212" t="str">
            <v>DOCE DE LEITE COM AMIDO CRISTAULAT BALDE 4,6KG</v>
          </cell>
          <cell r="C212">
            <v>71</v>
          </cell>
          <cell r="D212">
            <v>2</v>
          </cell>
          <cell r="E212">
            <v>69</v>
          </cell>
        </row>
        <row r="213">
          <cell r="A213">
            <v>3186</v>
          </cell>
          <cell r="B213" t="str">
            <v>DOCE DE LEITE CRISTAULAT CX\18/400GR</v>
          </cell>
          <cell r="C213">
            <v>37</v>
          </cell>
          <cell r="D213">
            <v>5</v>
          </cell>
          <cell r="E213">
            <v>32</v>
          </cell>
        </row>
        <row r="214">
          <cell r="A214">
            <v>798</v>
          </cell>
          <cell r="B214" t="str">
            <v>DOCE DE LEITE TRIANGULO MINEIRO 12X300G</v>
          </cell>
          <cell r="C214">
            <v>93</v>
          </cell>
          <cell r="D214">
            <v>2</v>
          </cell>
          <cell r="E214">
            <v>91</v>
          </cell>
        </row>
        <row r="215">
          <cell r="A215">
            <v>219</v>
          </cell>
          <cell r="B215" t="str">
            <v>DOCE DE LEITE TRIANGULO MINEIRO 12X400G</v>
          </cell>
          <cell r="C215">
            <v>157</v>
          </cell>
          <cell r="D215">
            <v>2</v>
          </cell>
          <cell r="E215">
            <v>155</v>
          </cell>
        </row>
        <row r="216">
          <cell r="A216">
            <v>4317</v>
          </cell>
          <cell r="B216" t="str">
            <v>EMPANADO FILE DE POLACA SEARA FS CX 3X1,2KG</v>
          </cell>
          <cell r="C216">
            <v>3</v>
          </cell>
          <cell r="D216">
            <v>0</v>
          </cell>
          <cell r="E216">
            <v>3</v>
          </cell>
        </row>
        <row r="217">
          <cell r="A217">
            <v>4129</v>
          </cell>
          <cell r="B217" t="str">
            <v>EMPANITOS DE FRANGO LAR CX\4X1,5KG</v>
          </cell>
          <cell r="C217">
            <v>106</v>
          </cell>
          <cell r="D217">
            <v>0</v>
          </cell>
          <cell r="E217">
            <v>106</v>
          </cell>
        </row>
        <row r="218">
          <cell r="A218">
            <v>534</v>
          </cell>
          <cell r="B218" t="str">
            <v>ERVILHA CONGELADA SEARA CX/18X300G</v>
          </cell>
          <cell r="C218">
            <v>26</v>
          </cell>
          <cell r="D218">
            <v>0</v>
          </cell>
          <cell r="E218">
            <v>26</v>
          </cell>
        </row>
        <row r="219">
          <cell r="A219">
            <v>4243</v>
          </cell>
          <cell r="B219" t="str">
            <v>ERVILHA LATAO PREDILECTA  1,5KG</v>
          </cell>
          <cell r="C219">
            <v>756</v>
          </cell>
          <cell r="D219">
            <v>36</v>
          </cell>
          <cell r="E219">
            <v>720</v>
          </cell>
        </row>
        <row r="220">
          <cell r="A220">
            <v>1162</v>
          </cell>
          <cell r="B220" t="str">
            <v>EXTRATO SACHE SALSARETTI  32X300GR</v>
          </cell>
          <cell r="C220">
            <v>165</v>
          </cell>
          <cell r="D220">
            <v>0</v>
          </cell>
          <cell r="E220">
            <v>165</v>
          </cell>
        </row>
        <row r="221">
          <cell r="A221">
            <v>189</v>
          </cell>
          <cell r="B221" t="str">
            <v>EXTRATO TOMATE COPO OLE CX/12X260G</v>
          </cell>
          <cell r="C221">
            <v>244</v>
          </cell>
          <cell r="D221">
            <v>1</v>
          </cell>
          <cell r="E221">
            <v>243</v>
          </cell>
        </row>
        <row r="222">
          <cell r="A222">
            <v>190</v>
          </cell>
          <cell r="B222" t="str">
            <v>EXTRATO TOMATE COPO OLE CX\12X190G</v>
          </cell>
          <cell r="C222">
            <v>104</v>
          </cell>
          <cell r="D222">
            <v>2</v>
          </cell>
          <cell r="E222">
            <v>102</v>
          </cell>
        </row>
        <row r="223">
          <cell r="A223">
            <v>800</v>
          </cell>
          <cell r="B223" t="str">
            <v>EXTRATO TOMATE SACHE SALSARETTI CX\6X1,7</v>
          </cell>
          <cell r="C223">
            <v>74</v>
          </cell>
          <cell r="D223">
            <v>0</v>
          </cell>
          <cell r="E223">
            <v>74</v>
          </cell>
        </row>
        <row r="224">
          <cell r="A224">
            <v>4079</v>
          </cell>
          <cell r="B224" t="str">
            <v>FARINHA TRIGO PASTEL SUPREMA 5KG</v>
          </cell>
          <cell r="C224">
            <v>124</v>
          </cell>
          <cell r="D224">
            <v>0</v>
          </cell>
          <cell r="E224">
            <v>124</v>
          </cell>
        </row>
        <row r="225">
          <cell r="A225">
            <v>4078</v>
          </cell>
          <cell r="B225" t="str">
            <v>FARINHA TRIGO PIZZA SUPREMA 5KG</v>
          </cell>
          <cell r="C225">
            <v>1127</v>
          </cell>
          <cell r="D225">
            <v>47</v>
          </cell>
          <cell r="E225">
            <v>1080</v>
          </cell>
        </row>
        <row r="226">
          <cell r="A226">
            <v>4137</v>
          </cell>
          <cell r="B226" t="str">
            <v>FARINHA TRIGO SALGADOS SUPREMA 5KG</v>
          </cell>
          <cell r="C226">
            <v>359</v>
          </cell>
          <cell r="D226">
            <v>62</v>
          </cell>
          <cell r="E226">
            <v>297</v>
          </cell>
        </row>
        <row r="227">
          <cell r="A227">
            <v>4098</v>
          </cell>
          <cell r="B227" t="str">
            <v>FARINHA TRIGO SUPREMA PREMIATA 5KG</v>
          </cell>
          <cell r="C227">
            <v>5</v>
          </cell>
          <cell r="D227">
            <v>0</v>
          </cell>
          <cell r="E227">
            <v>5</v>
          </cell>
        </row>
        <row r="228">
          <cell r="A228">
            <v>538</v>
          </cell>
          <cell r="B228" t="str">
            <v>FETTUCINE BOLONHESA SEARA CX/12X350GR</v>
          </cell>
          <cell r="C228">
            <v>2</v>
          </cell>
          <cell r="D228">
            <v>0</v>
          </cell>
          <cell r="E228">
            <v>2</v>
          </cell>
        </row>
        <row r="229">
          <cell r="A229">
            <v>3362</v>
          </cell>
          <cell r="B229" t="str">
            <v>FIESTA NA CHURRASQUEIRA SEARA KG</v>
          </cell>
          <cell r="C229">
            <v>39.99</v>
          </cell>
          <cell r="D229">
            <v>0</v>
          </cell>
          <cell r="E229">
            <v>39.99</v>
          </cell>
        </row>
        <row r="230">
          <cell r="A230">
            <v>108</v>
          </cell>
          <cell r="B230" t="str">
            <v>FIGADO BOVINO FRIGOMATOSO KG</v>
          </cell>
          <cell r="C230">
            <v>12.96</v>
          </cell>
          <cell r="D230">
            <v>0</v>
          </cell>
          <cell r="E230">
            <v>12.96</v>
          </cell>
        </row>
        <row r="231">
          <cell r="A231">
            <v>4257</v>
          </cell>
          <cell r="B231" t="str">
            <v>FIGADO BOVINO HIPERCARNES KG</v>
          </cell>
          <cell r="C231">
            <v>2694.46</v>
          </cell>
          <cell r="D231">
            <v>160</v>
          </cell>
          <cell r="E231">
            <v>2534.46</v>
          </cell>
        </row>
        <row r="232">
          <cell r="A232">
            <v>3211</v>
          </cell>
          <cell r="B232" t="str">
            <v>FIGADO DE FRANGO ATALAIA CX/20KG</v>
          </cell>
          <cell r="C232">
            <v>1</v>
          </cell>
          <cell r="D232">
            <v>1</v>
          </cell>
          <cell r="E232">
            <v>0</v>
          </cell>
        </row>
        <row r="233">
          <cell r="A233">
            <v>39</v>
          </cell>
          <cell r="B233" t="str">
            <v>FIGADO DE FRANGO FREDINI CX/20KG</v>
          </cell>
          <cell r="C233">
            <v>86</v>
          </cell>
          <cell r="D233">
            <v>0</v>
          </cell>
          <cell r="E233">
            <v>86</v>
          </cell>
        </row>
        <row r="234">
          <cell r="A234">
            <v>2190</v>
          </cell>
          <cell r="B234" t="str">
            <v>FILE COXA/SOBRECOXA PCT RIVELLI 18X1KG</v>
          </cell>
          <cell r="C234">
            <v>87</v>
          </cell>
          <cell r="D234">
            <v>0</v>
          </cell>
          <cell r="E234">
            <v>87</v>
          </cell>
        </row>
        <row r="235">
          <cell r="A235">
            <v>936</v>
          </cell>
          <cell r="B235" t="str">
            <v>FILE COXA\SOBRECOXA BDJ SEARA 12X1KG</v>
          </cell>
          <cell r="C235">
            <v>8</v>
          </cell>
          <cell r="D235">
            <v>0</v>
          </cell>
          <cell r="E235">
            <v>8</v>
          </cell>
        </row>
        <row r="236">
          <cell r="A236">
            <v>4164</v>
          </cell>
          <cell r="B236" t="str">
            <v>FILE COXA\SOBRECOXA TEMP IQF LAR CX\20X700GR</v>
          </cell>
          <cell r="C236">
            <v>45</v>
          </cell>
          <cell r="D236">
            <v>0</v>
          </cell>
          <cell r="E236">
            <v>45</v>
          </cell>
        </row>
        <row r="237">
          <cell r="A237">
            <v>1414</v>
          </cell>
          <cell r="B237" t="str">
            <v>FILE FRANGO MILANESA  SEARA CX/28X100GR</v>
          </cell>
          <cell r="C237">
            <v>6</v>
          </cell>
          <cell r="D237">
            <v>6</v>
          </cell>
          <cell r="E237">
            <v>0</v>
          </cell>
        </row>
        <row r="238">
          <cell r="A238">
            <v>296</v>
          </cell>
          <cell r="B238" t="str">
            <v>FILE FRANGO MILANESA SEARA CX/12X400GR</v>
          </cell>
          <cell r="C238">
            <v>27</v>
          </cell>
          <cell r="D238">
            <v>0</v>
          </cell>
          <cell r="E238">
            <v>27</v>
          </cell>
        </row>
        <row r="239">
          <cell r="A239">
            <v>4306</v>
          </cell>
          <cell r="B239" t="str">
            <v>FILE MERLUZA INTERF ARGENTINA CX\10KG</v>
          </cell>
          <cell r="C239">
            <v>97</v>
          </cell>
          <cell r="D239">
            <v>0</v>
          </cell>
          <cell r="E239">
            <v>97</v>
          </cell>
        </row>
        <row r="240">
          <cell r="A240">
            <v>4307</v>
          </cell>
          <cell r="B240" t="str">
            <v>FILE MERLUZA INTERF ARGENTINA CX\18KG</v>
          </cell>
          <cell r="C240">
            <v>67</v>
          </cell>
          <cell r="D240">
            <v>0</v>
          </cell>
          <cell r="E240">
            <v>67</v>
          </cell>
        </row>
        <row r="241">
          <cell r="A241">
            <v>135</v>
          </cell>
          <cell r="B241" t="str">
            <v>FILE MERLUZA INTERF ARGENTINA CX\21KG</v>
          </cell>
          <cell r="C241">
            <v>182</v>
          </cell>
          <cell r="D241">
            <v>1</v>
          </cell>
          <cell r="E241">
            <v>181</v>
          </cell>
        </row>
        <row r="242">
          <cell r="A242">
            <v>47</v>
          </cell>
          <cell r="B242" t="str">
            <v>FILE PEITO BANDEJA AURORA CX12X1KG</v>
          </cell>
          <cell r="C242">
            <v>632</v>
          </cell>
          <cell r="D242">
            <v>8</v>
          </cell>
          <cell r="E242">
            <v>624</v>
          </cell>
        </row>
        <row r="243">
          <cell r="A243">
            <v>2363</v>
          </cell>
          <cell r="B243" t="str">
            <v>FILE PEITO BANDEJA PIF PAF CX/12X1KG</v>
          </cell>
          <cell r="C243">
            <v>92</v>
          </cell>
          <cell r="D243">
            <v>2</v>
          </cell>
          <cell r="E243">
            <v>90</v>
          </cell>
        </row>
        <row r="244">
          <cell r="A244">
            <v>803</v>
          </cell>
          <cell r="B244" t="str">
            <v>FILE PEITO BANDEJA SEARA CX12X1KG</v>
          </cell>
          <cell r="C244">
            <v>1585</v>
          </cell>
          <cell r="D244">
            <v>3</v>
          </cell>
          <cell r="E244">
            <v>1582</v>
          </cell>
        </row>
        <row r="245">
          <cell r="A245">
            <v>872</v>
          </cell>
          <cell r="B245" t="str">
            <v>FILE PEITO ENVELOPADO FRIAL CX\20KG</v>
          </cell>
          <cell r="C245">
            <v>630</v>
          </cell>
          <cell r="D245">
            <v>28</v>
          </cell>
          <cell r="E245">
            <v>602</v>
          </cell>
        </row>
        <row r="246">
          <cell r="A246">
            <v>3986</v>
          </cell>
          <cell r="B246" t="str">
            <v>FILE POLACA ALASCA BACALANOR CX\20X500G</v>
          </cell>
          <cell r="C246">
            <v>41</v>
          </cell>
          <cell r="D246">
            <v>0</v>
          </cell>
          <cell r="E246">
            <v>41</v>
          </cell>
        </row>
        <row r="247">
          <cell r="A247">
            <v>137</v>
          </cell>
          <cell r="B247" t="str">
            <v>FILE TAMBAQUI PEDACO ZALTANA 24X400GR</v>
          </cell>
          <cell r="C247">
            <v>11</v>
          </cell>
          <cell r="D247">
            <v>0</v>
          </cell>
          <cell r="E247">
            <v>11</v>
          </cell>
        </row>
        <row r="248">
          <cell r="A248">
            <v>1480</v>
          </cell>
          <cell r="B248" t="str">
            <v>FILE TILAPIA  INTER. PESCA NOBRE CX/5KG</v>
          </cell>
          <cell r="C248">
            <v>288</v>
          </cell>
          <cell r="D248">
            <v>4</v>
          </cell>
          <cell r="E248">
            <v>284</v>
          </cell>
        </row>
        <row r="249">
          <cell r="A249">
            <v>4178</v>
          </cell>
          <cell r="B249" t="str">
            <v>FILE TILAPIA C VALE CX 24X400G</v>
          </cell>
          <cell r="C249">
            <v>29</v>
          </cell>
          <cell r="D249">
            <v>0</v>
          </cell>
          <cell r="E249">
            <v>29</v>
          </cell>
        </row>
        <row r="250">
          <cell r="A250">
            <v>4189</v>
          </cell>
          <cell r="B250" t="str">
            <v>FILEZINHO DE PEITO BDJ PIF PAF CX\12X1KG</v>
          </cell>
          <cell r="C250">
            <v>2</v>
          </cell>
          <cell r="D250">
            <v>0</v>
          </cell>
          <cell r="E250">
            <v>2</v>
          </cell>
        </row>
        <row r="251">
          <cell r="A251">
            <v>544</v>
          </cell>
          <cell r="B251" t="str">
            <v>FILEZINHO EMPANADO SEARA CX\12X400G</v>
          </cell>
          <cell r="C251">
            <v>26</v>
          </cell>
          <cell r="D251">
            <v>1</v>
          </cell>
          <cell r="E251">
            <v>25</v>
          </cell>
        </row>
        <row r="252">
          <cell r="A252">
            <v>546</v>
          </cell>
          <cell r="B252" t="str">
            <v>FILEZINHO SASSAMI BANDEJA SEARA CX\12KG</v>
          </cell>
          <cell r="C252">
            <v>49</v>
          </cell>
          <cell r="D252">
            <v>5</v>
          </cell>
          <cell r="E252">
            <v>44</v>
          </cell>
        </row>
        <row r="253">
          <cell r="A253">
            <v>3351</v>
          </cell>
          <cell r="B253" t="str">
            <v>FILEZINHO SASSAMI BDJ PERDIGAO  CX\12X1KG</v>
          </cell>
          <cell r="C253">
            <v>3</v>
          </cell>
          <cell r="D253">
            <v>0</v>
          </cell>
          <cell r="E253">
            <v>3</v>
          </cell>
        </row>
        <row r="254">
          <cell r="A254">
            <v>4299</v>
          </cell>
          <cell r="B254" t="str">
            <v>FILEZINHO SASSAMI EMPANADO SEARA CX/4X2KG</v>
          </cell>
          <cell r="C254">
            <v>1</v>
          </cell>
          <cell r="D254">
            <v>0</v>
          </cell>
          <cell r="E254">
            <v>1</v>
          </cell>
        </row>
        <row r="255">
          <cell r="A255">
            <v>50</v>
          </cell>
          <cell r="B255" t="str">
            <v>FILEZINHO SASSAMI ENVELOPADO FRANCAP CX\20KG</v>
          </cell>
          <cell r="C255">
            <v>80</v>
          </cell>
          <cell r="D255">
            <v>13</v>
          </cell>
          <cell r="E255">
            <v>67</v>
          </cell>
        </row>
        <row r="256">
          <cell r="A256">
            <v>48</v>
          </cell>
          <cell r="B256" t="str">
            <v>FILEZINHO SASSAMI INTERFOLHADO LAR 18KG</v>
          </cell>
          <cell r="C256">
            <v>360</v>
          </cell>
          <cell r="D256">
            <v>8</v>
          </cell>
          <cell r="E256">
            <v>352</v>
          </cell>
        </row>
        <row r="257">
          <cell r="A257">
            <v>1648</v>
          </cell>
          <cell r="B257" t="str">
            <v>FILEZINHO SASSAMI IQF SEARA CX\12KG</v>
          </cell>
          <cell r="C257">
            <v>71</v>
          </cell>
          <cell r="D257">
            <v>0</v>
          </cell>
          <cell r="E257">
            <v>71</v>
          </cell>
        </row>
        <row r="258">
          <cell r="A258">
            <v>4163</v>
          </cell>
          <cell r="B258" t="str">
            <v>FILEZINHO SASSAMI TEMP. IQF LAR CX\20X700GR</v>
          </cell>
          <cell r="C258">
            <v>43</v>
          </cell>
          <cell r="D258">
            <v>0</v>
          </cell>
          <cell r="E258">
            <v>43</v>
          </cell>
        </row>
        <row r="259">
          <cell r="A259">
            <v>3195</v>
          </cell>
          <cell r="B259" t="str">
            <v>FILEZINHO SUINO SEARA CX/18KG</v>
          </cell>
          <cell r="C259">
            <v>23</v>
          </cell>
          <cell r="D259">
            <v>1</v>
          </cell>
          <cell r="E259">
            <v>22</v>
          </cell>
        </row>
        <row r="260">
          <cell r="A260">
            <v>3363</v>
          </cell>
          <cell r="B260" t="str">
            <v>FRALDINHA BOVINA FIRE FRIGODIAS KG</v>
          </cell>
          <cell r="C260">
            <v>1886.76</v>
          </cell>
          <cell r="D260">
            <v>0</v>
          </cell>
          <cell r="E260">
            <v>1886.76</v>
          </cell>
        </row>
        <row r="261">
          <cell r="A261">
            <v>549</v>
          </cell>
          <cell r="B261" t="str">
            <v>FRANGO CAIPIRA CORTADO NHO BENTO CX/18KG</v>
          </cell>
          <cell r="C261">
            <v>24</v>
          </cell>
          <cell r="D261">
            <v>0</v>
          </cell>
          <cell r="E261">
            <v>24</v>
          </cell>
        </row>
        <row r="262">
          <cell r="A262">
            <v>550</v>
          </cell>
          <cell r="B262" t="str">
            <v>FRANGO CAIPIRA NHO BENTO CX/18KG</v>
          </cell>
          <cell r="C262">
            <v>88</v>
          </cell>
          <cell r="D262">
            <v>0</v>
          </cell>
          <cell r="E262">
            <v>88</v>
          </cell>
        </row>
        <row r="263">
          <cell r="A263">
            <v>3315</v>
          </cell>
          <cell r="B263" t="str">
            <v>FRANGO CONG COGRAN CX\20KG</v>
          </cell>
          <cell r="C263">
            <v>1372</v>
          </cell>
          <cell r="D263">
            <v>98</v>
          </cell>
          <cell r="E263">
            <v>1274</v>
          </cell>
        </row>
        <row r="264">
          <cell r="A264">
            <v>551</v>
          </cell>
          <cell r="B264" t="str">
            <v>FRANGO CONG.ATALAIA CX/20KG</v>
          </cell>
          <cell r="C264">
            <v>1614</v>
          </cell>
          <cell r="D264">
            <v>37</v>
          </cell>
          <cell r="E264">
            <v>1577</v>
          </cell>
        </row>
        <row r="265">
          <cell r="A265">
            <v>51</v>
          </cell>
          <cell r="B265" t="str">
            <v>FRANGO CONG.FRANCAP CX/20KG</v>
          </cell>
          <cell r="C265">
            <v>45</v>
          </cell>
          <cell r="D265">
            <v>45</v>
          </cell>
          <cell r="E265">
            <v>0</v>
          </cell>
        </row>
        <row r="266">
          <cell r="A266">
            <v>1561</v>
          </cell>
          <cell r="B266" t="str">
            <v>FRANGO CONG.FREDINI CX/20KG</v>
          </cell>
          <cell r="C266">
            <v>2</v>
          </cell>
          <cell r="D266">
            <v>0</v>
          </cell>
          <cell r="E266">
            <v>2</v>
          </cell>
        </row>
        <row r="267">
          <cell r="A267">
            <v>52</v>
          </cell>
          <cell r="B267" t="str">
            <v>FRANGO CONG.FRIALL CX/20KG</v>
          </cell>
          <cell r="C267">
            <v>1718</v>
          </cell>
          <cell r="D267">
            <v>24</v>
          </cell>
          <cell r="E267">
            <v>1694</v>
          </cell>
        </row>
        <row r="268">
          <cell r="A268">
            <v>53</v>
          </cell>
          <cell r="B268" t="str">
            <v>FRANGO CONG.SEARA CX/20KG</v>
          </cell>
          <cell r="C268">
            <v>107</v>
          </cell>
          <cell r="D268">
            <v>22</v>
          </cell>
          <cell r="E268">
            <v>85</v>
          </cell>
        </row>
        <row r="269">
          <cell r="A269">
            <v>937</v>
          </cell>
          <cell r="B269" t="str">
            <v>FRANGO PADARIA S/MIUDOS SEARA CX/14,4KG</v>
          </cell>
          <cell r="C269">
            <v>75</v>
          </cell>
          <cell r="D269">
            <v>0</v>
          </cell>
          <cell r="E269">
            <v>75</v>
          </cell>
        </row>
        <row r="270">
          <cell r="A270">
            <v>808</v>
          </cell>
          <cell r="B270" t="str">
            <v>FRANGO PASSARINHO PADARIA  IQF TEMP .SEARA 12X1KG</v>
          </cell>
          <cell r="C270">
            <v>141</v>
          </cell>
          <cell r="D270">
            <v>0</v>
          </cell>
          <cell r="E270">
            <v>141</v>
          </cell>
        </row>
        <row r="271">
          <cell r="A271">
            <v>44</v>
          </cell>
          <cell r="B271" t="str">
            <v>FRANGO PASSARINHO TEMP.RIVELLI CX/18KG</v>
          </cell>
          <cell r="C271">
            <v>1</v>
          </cell>
          <cell r="D271">
            <v>0</v>
          </cell>
          <cell r="E271">
            <v>1</v>
          </cell>
        </row>
        <row r="272">
          <cell r="A272">
            <v>557</v>
          </cell>
          <cell r="B272" t="str">
            <v>FRUTA CRISTALIZADA POTE TOZZI 12X200GR</v>
          </cell>
          <cell r="C272">
            <v>12</v>
          </cell>
          <cell r="D272">
            <v>0</v>
          </cell>
          <cell r="E272">
            <v>12</v>
          </cell>
        </row>
        <row r="273">
          <cell r="A273">
            <v>1604</v>
          </cell>
          <cell r="B273" t="str">
            <v>GALINHA GORDA NOROESTE CX/20KG</v>
          </cell>
          <cell r="C273">
            <v>43</v>
          </cell>
          <cell r="D273">
            <v>1</v>
          </cell>
          <cell r="E273">
            <v>42</v>
          </cell>
        </row>
        <row r="274">
          <cell r="A274">
            <v>4261</v>
          </cell>
          <cell r="B274" t="str">
            <v>GALINHA GORDA ROSAVES CX/20KG</v>
          </cell>
          <cell r="C274">
            <v>349</v>
          </cell>
          <cell r="D274">
            <v>3</v>
          </cell>
          <cell r="E274">
            <v>346</v>
          </cell>
        </row>
        <row r="275">
          <cell r="A275">
            <v>559</v>
          </cell>
          <cell r="B275" t="str">
            <v>GALINHA LEVE SABOROSA CX\15KG</v>
          </cell>
          <cell r="C275">
            <v>1526</v>
          </cell>
          <cell r="D275">
            <v>28</v>
          </cell>
          <cell r="E275">
            <v>1498</v>
          </cell>
        </row>
        <row r="276">
          <cell r="A276">
            <v>3997</v>
          </cell>
          <cell r="B276" t="str">
            <v>GALINHA PASSARINHO SABOROSA CX/20KG</v>
          </cell>
          <cell r="C276">
            <v>106</v>
          </cell>
          <cell r="D276">
            <v>0</v>
          </cell>
          <cell r="E276">
            <v>106</v>
          </cell>
        </row>
        <row r="277">
          <cell r="A277">
            <v>1606</v>
          </cell>
          <cell r="B277" t="str">
            <v>GALO GORDO NOROESTE CX/18KG</v>
          </cell>
          <cell r="C277">
            <v>227</v>
          </cell>
          <cell r="D277">
            <v>1</v>
          </cell>
          <cell r="E277">
            <v>226</v>
          </cell>
        </row>
        <row r="278">
          <cell r="A278">
            <v>1605</v>
          </cell>
          <cell r="B278" t="str">
            <v>GALO GORDO NOROESTE CX/20KG</v>
          </cell>
          <cell r="C278">
            <v>507</v>
          </cell>
          <cell r="D278">
            <v>4</v>
          </cell>
          <cell r="E278">
            <v>503</v>
          </cell>
        </row>
        <row r="279">
          <cell r="A279">
            <v>4262</v>
          </cell>
          <cell r="B279" t="str">
            <v>GALO GORDO ROSAVES CX/18KG</v>
          </cell>
          <cell r="C279">
            <v>111</v>
          </cell>
          <cell r="D279">
            <v>0</v>
          </cell>
          <cell r="E279">
            <v>111</v>
          </cell>
        </row>
        <row r="280">
          <cell r="A280">
            <v>4263</v>
          </cell>
          <cell r="B280" t="str">
            <v>GALO GORDO ROSAVES CX/22KG</v>
          </cell>
          <cell r="C280">
            <v>124</v>
          </cell>
          <cell r="D280">
            <v>0</v>
          </cell>
          <cell r="E280">
            <v>124</v>
          </cell>
        </row>
        <row r="281">
          <cell r="A281">
            <v>145</v>
          </cell>
          <cell r="B281" t="str">
            <v>GOIABADA CASCAO PREDILECTA CX\24X350G</v>
          </cell>
          <cell r="C281">
            <v>93</v>
          </cell>
          <cell r="D281">
            <v>1</v>
          </cell>
          <cell r="E281">
            <v>92</v>
          </cell>
        </row>
        <row r="282">
          <cell r="A282">
            <v>220</v>
          </cell>
          <cell r="B282" t="str">
            <v>GOIABADA STELLA D´ORO CX\16X1,01KG</v>
          </cell>
          <cell r="C282">
            <v>174</v>
          </cell>
          <cell r="D282">
            <v>2</v>
          </cell>
          <cell r="E282">
            <v>172</v>
          </cell>
        </row>
        <row r="283">
          <cell r="A283">
            <v>561</v>
          </cell>
          <cell r="B283" t="str">
            <v>GOIABADA STELLA D´ORO CX\36X300G</v>
          </cell>
          <cell r="C283">
            <v>162</v>
          </cell>
          <cell r="D283">
            <v>0</v>
          </cell>
          <cell r="E283">
            <v>162</v>
          </cell>
        </row>
        <row r="284">
          <cell r="A284">
            <v>3774</v>
          </cell>
          <cell r="B284" t="str">
            <v>GORDURA BALDE FRY ELOGIATA 14,5KG</v>
          </cell>
          <cell r="C284">
            <v>7</v>
          </cell>
          <cell r="D284">
            <v>0</v>
          </cell>
          <cell r="E284">
            <v>7</v>
          </cell>
        </row>
        <row r="285">
          <cell r="A285">
            <v>562</v>
          </cell>
          <cell r="B285" t="str">
            <v>GORDURA VEGETAL PRIMOR 24X500GR</v>
          </cell>
          <cell r="C285">
            <v>24</v>
          </cell>
          <cell r="D285">
            <v>6</v>
          </cell>
          <cell r="E285">
            <v>18</v>
          </cell>
        </row>
        <row r="286">
          <cell r="A286">
            <v>3289</v>
          </cell>
          <cell r="B286" t="str">
            <v>HAMBURGUER BOVINO COSTELA SEARA CX21X150G</v>
          </cell>
          <cell r="C286">
            <v>1</v>
          </cell>
          <cell r="D286">
            <v>0</v>
          </cell>
          <cell r="E286">
            <v>1</v>
          </cell>
        </row>
        <row r="287">
          <cell r="A287">
            <v>410</v>
          </cell>
          <cell r="B287" t="str">
            <v>HAMBURGUER BOVINO SEARA CX\15X672GR</v>
          </cell>
          <cell r="C287">
            <v>4</v>
          </cell>
          <cell r="D287">
            <v>0</v>
          </cell>
          <cell r="E287">
            <v>4</v>
          </cell>
        </row>
        <row r="288">
          <cell r="A288">
            <v>241</v>
          </cell>
          <cell r="B288" t="str">
            <v>HAMBURGUER ENVELOPADO AURORA CX\36UN</v>
          </cell>
          <cell r="C288">
            <v>2457</v>
          </cell>
          <cell r="D288">
            <v>28</v>
          </cell>
          <cell r="E288">
            <v>2429</v>
          </cell>
        </row>
        <row r="289">
          <cell r="A289">
            <v>405</v>
          </cell>
          <cell r="B289" t="str">
            <v>HAMBURGUER ENVELOPADO FRISA CX\36UN</v>
          </cell>
          <cell r="C289">
            <v>680</v>
          </cell>
          <cell r="D289">
            <v>15</v>
          </cell>
          <cell r="E289">
            <v>665</v>
          </cell>
        </row>
        <row r="290">
          <cell r="A290">
            <v>897</v>
          </cell>
          <cell r="B290" t="str">
            <v>HAMBURGUER ENVELOPADO LEBON CX\36UN</v>
          </cell>
          <cell r="C290">
            <v>241</v>
          </cell>
          <cell r="D290">
            <v>16</v>
          </cell>
          <cell r="E290">
            <v>225</v>
          </cell>
        </row>
        <row r="291">
          <cell r="A291">
            <v>1037</v>
          </cell>
          <cell r="B291" t="str">
            <v>HAMBURGUER FRANGO TEXAS BURGER  36X56GR</v>
          </cell>
          <cell r="C291">
            <v>10</v>
          </cell>
          <cell r="D291">
            <v>0</v>
          </cell>
          <cell r="E291">
            <v>10</v>
          </cell>
        </row>
        <row r="292">
          <cell r="A292">
            <v>242</v>
          </cell>
          <cell r="B292" t="str">
            <v>HAMBURGUER FRISA CX\48UN</v>
          </cell>
          <cell r="C292">
            <v>3041</v>
          </cell>
          <cell r="D292">
            <v>56</v>
          </cell>
          <cell r="E292">
            <v>2985</v>
          </cell>
        </row>
        <row r="293">
          <cell r="A293">
            <v>3020</v>
          </cell>
          <cell r="B293" t="str">
            <v>HAMBURGUER GRAN ANGUS BURGER’S GOURMET SEARA 12X400GR</v>
          </cell>
          <cell r="C293">
            <v>1</v>
          </cell>
          <cell r="D293">
            <v>0</v>
          </cell>
          <cell r="E293">
            <v>1</v>
          </cell>
        </row>
        <row r="294">
          <cell r="A294">
            <v>768</v>
          </cell>
          <cell r="B294" t="str">
            <v>HAMBURGUER INCRIVEL LUVA SEARA CX\12X226</v>
          </cell>
          <cell r="C294">
            <v>1</v>
          </cell>
          <cell r="D294">
            <v>0</v>
          </cell>
          <cell r="E294">
            <v>1</v>
          </cell>
        </row>
        <row r="295">
          <cell r="A295">
            <v>1475</v>
          </cell>
          <cell r="B295" t="str">
            <v>HAMBURGUER INCRIVEL SEARA CX\40X60GR</v>
          </cell>
          <cell r="C295">
            <v>2</v>
          </cell>
          <cell r="D295">
            <v>0</v>
          </cell>
          <cell r="E295">
            <v>2</v>
          </cell>
        </row>
        <row r="296">
          <cell r="A296">
            <v>2447</v>
          </cell>
          <cell r="B296" t="str">
            <v>HAMBURGUER MISTO TEXAS SEARA CX30X112G</v>
          </cell>
          <cell r="C296">
            <v>5</v>
          </cell>
          <cell r="D296">
            <v>0</v>
          </cell>
          <cell r="E296">
            <v>5</v>
          </cell>
        </row>
        <row r="297">
          <cell r="A297">
            <v>404</v>
          </cell>
          <cell r="B297" t="str">
            <v>HAMBURGUER MOLDADO FELICITTA FRISA CX/48</v>
          </cell>
          <cell r="C297">
            <v>2383</v>
          </cell>
          <cell r="D297">
            <v>25</v>
          </cell>
          <cell r="E297">
            <v>2358</v>
          </cell>
        </row>
        <row r="298">
          <cell r="A298">
            <v>243</v>
          </cell>
          <cell r="B298" t="str">
            <v>HAMBURGUER PICANHA GRAFILE CX\24X90GR</v>
          </cell>
          <cell r="C298">
            <v>855</v>
          </cell>
          <cell r="D298">
            <v>4</v>
          </cell>
          <cell r="E298">
            <v>851</v>
          </cell>
        </row>
        <row r="299">
          <cell r="A299">
            <v>567</v>
          </cell>
          <cell r="B299" t="str">
            <v>HAMBURGUER REZENDE CX/12X672GR</v>
          </cell>
          <cell r="C299">
            <v>6</v>
          </cell>
          <cell r="D299">
            <v>0</v>
          </cell>
          <cell r="E299">
            <v>6</v>
          </cell>
        </row>
        <row r="300">
          <cell r="A300">
            <v>565</v>
          </cell>
          <cell r="B300" t="str">
            <v>HAMBURGUER REZENDE ENVELOPADO 36X56GR</v>
          </cell>
          <cell r="C300">
            <v>305</v>
          </cell>
          <cell r="D300">
            <v>18</v>
          </cell>
          <cell r="E300">
            <v>287</v>
          </cell>
        </row>
        <row r="301">
          <cell r="A301">
            <v>566</v>
          </cell>
          <cell r="B301" t="str">
            <v>HAMBURGUER SEARA TEXAS ENVELOPADO 36X56G</v>
          </cell>
          <cell r="C301">
            <v>703</v>
          </cell>
          <cell r="D301">
            <v>0</v>
          </cell>
          <cell r="E301">
            <v>703</v>
          </cell>
        </row>
        <row r="302">
          <cell r="A302">
            <v>811</v>
          </cell>
          <cell r="B302" t="str">
            <v>HAMBURGUER TEXAS BURGER CX/12X672GR</v>
          </cell>
          <cell r="C302">
            <v>2</v>
          </cell>
          <cell r="D302">
            <v>0</v>
          </cell>
          <cell r="E302">
            <v>2</v>
          </cell>
        </row>
        <row r="303">
          <cell r="A303">
            <v>412</v>
          </cell>
          <cell r="B303" t="str">
            <v>HOT HIT BACON CHEDDAR SEARA CX\18X145G</v>
          </cell>
          <cell r="C303">
            <v>39</v>
          </cell>
          <cell r="D303">
            <v>1</v>
          </cell>
          <cell r="E303">
            <v>38</v>
          </cell>
        </row>
        <row r="304">
          <cell r="A304">
            <v>411</v>
          </cell>
          <cell r="B304" t="str">
            <v>HOT HIT BACON SEARA CX\18X145G</v>
          </cell>
          <cell r="C304">
            <v>27</v>
          </cell>
          <cell r="D304">
            <v>1</v>
          </cell>
          <cell r="E304">
            <v>26</v>
          </cell>
        </row>
        <row r="305">
          <cell r="A305">
            <v>568</v>
          </cell>
          <cell r="B305" t="str">
            <v>HOT HIT BARBECUE SEARA CX\18X145G</v>
          </cell>
          <cell r="C305">
            <v>24</v>
          </cell>
          <cell r="D305">
            <v>1</v>
          </cell>
          <cell r="E305">
            <v>23</v>
          </cell>
        </row>
        <row r="306">
          <cell r="A306">
            <v>569</v>
          </cell>
          <cell r="B306" t="str">
            <v>HOT HIT CHEDDAR SEARA CX\18X145G</v>
          </cell>
          <cell r="C306">
            <v>39</v>
          </cell>
          <cell r="D306">
            <v>2</v>
          </cell>
          <cell r="E306">
            <v>37</v>
          </cell>
        </row>
        <row r="307">
          <cell r="A307">
            <v>293</v>
          </cell>
          <cell r="B307" t="str">
            <v>HOT HIT PICANHA SEARA CX\18X145G</v>
          </cell>
          <cell r="C307">
            <v>24</v>
          </cell>
          <cell r="D307">
            <v>5</v>
          </cell>
          <cell r="E307">
            <v>19</v>
          </cell>
        </row>
        <row r="308">
          <cell r="A308">
            <v>406</v>
          </cell>
          <cell r="B308" t="str">
            <v>IOGURTE BANDEJA TURMA MILK  CX\12</v>
          </cell>
          <cell r="C308">
            <v>19</v>
          </cell>
          <cell r="D308">
            <v>3</v>
          </cell>
          <cell r="E308">
            <v>16</v>
          </cell>
        </row>
        <row r="309">
          <cell r="A309">
            <v>812</v>
          </cell>
          <cell r="B309" t="str">
            <v>IOGURTE BANDEJA YOGUEDES CX\12</v>
          </cell>
          <cell r="C309">
            <v>65</v>
          </cell>
          <cell r="D309">
            <v>0</v>
          </cell>
          <cell r="E309">
            <v>65</v>
          </cell>
        </row>
        <row r="310">
          <cell r="A310">
            <v>570</v>
          </cell>
          <cell r="B310" t="str">
            <v>IOGURTE TURMA MILK FD/12X450GR</v>
          </cell>
          <cell r="C310">
            <v>16</v>
          </cell>
          <cell r="D310">
            <v>3</v>
          </cell>
          <cell r="E310">
            <v>13</v>
          </cell>
        </row>
        <row r="311">
          <cell r="A311">
            <v>571</v>
          </cell>
          <cell r="B311" t="str">
            <v>IOGURTE TURMA MILK FD/6X850GR</v>
          </cell>
          <cell r="C311">
            <v>35</v>
          </cell>
          <cell r="D311">
            <v>5</v>
          </cell>
          <cell r="E311">
            <v>30</v>
          </cell>
        </row>
        <row r="312">
          <cell r="A312">
            <v>572</v>
          </cell>
          <cell r="B312" t="str">
            <v>IOGURTE TURMA MILK FD\10X180GR</v>
          </cell>
          <cell r="C312">
            <v>13</v>
          </cell>
          <cell r="D312">
            <v>3</v>
          </cell>
          <cell r="E312">
            <v>10</v>
          </cell>
        </row>
        <row r="313">
          <cell r="A313">
            <v>573</v>
          </cell>
          <cell r="B313" t="str">
            <v>IOGURTE TURMA MILK FD\60X110ML</v>
          </cell>
          <cell r="C313">
            <v>1</v>
          </cell>
          <cell r="D313">
            <v>1</v>
          </cell>
          <cell r="E313">
            <v>0</v>
          </cell>
        </row>
        <row r="314">
          <cell r="A314">
            <v>574</v>
          </cell>
          <cell r="B314" t="str">
            <v>IOGURTE YOGUEDES FD\12X450</v>
          </cell>
          <cell r="C314">
            <v>31</v>
          </cell>
          <cell r="D314">
            <v>5</v>
          </cell>
          <cell r="E314">
            <v>26</v>
          </cell>
        </row>
        <row r="315">
          <cell r="A315">
            <v>576</v>
          </cell>
          <cell r="B315" t="str">
            <v>IOGURTE YOGUEDES FD\20X180</v>
          </cell>
          <cell r="C315">
            <v>47</v>
          </cell>
          <cell r="D315">
            <v>0</v>
          </cell>
          <cell r="E315">
            <v>47</v>
          </cell>
        </row>
        <row r="316">
          <cell r="A316">
            <v>577</v>
          </cell>
          <cell r="B316" t="str">
            <v>IOGURTE YOGUEDES FD\60X110ML</v>
          </cell>
          <cell r="C316">
            <v>15</v>
          </cell>
          <cell r="D316">
            <v>8</v>
          </cell>
          <cell r="E316">
            <v>7</v>
          </cell>
        </row>
        <row r="317">
          <cell r="A317">
            <v>578</v>
          </cell>
          <cell r="B317" t="str">
            <v>IOGURTE YOGUEDES FD\6X900</v>
          </cell>
          <cell r="C317">
            <v>6</v>
          </cell>
          <cell r="D317">
            <v>6</v>
          </cell>
          <cell r="E317">
            <v>0</v>
          </cell>
        </row>
        <row r="318">
          <cell r="A318">
            <v>579</v>
          </cell>
          <cell r="B318" t="str">
            <v>IOGURTE YOGUEDES PETIT SUISSE  CX\12</v>
          </cell>
          <cell r="C318">
            <v>55</v>
          </cell>
          <cell r="D318">
            <v>2</v>
          </cell>
          <cell r="E318">
            <v>53</v>
          </cell>
        </row>
        <row r="319">
          <cell r="A319">
            <v>292</v>
          </cell>
          <cell r="B319" t="str">
            <v>ISCA DE PEIXE SEARA INCRIVEL  CX/16X300G</v>
          </cell>
          <cell r="C319">
            <v>4</v>
          </cell>
          <cell r="D319">
            <v>1</v>
          </cell>
          <cell r="E319">
            <v>3</v>
          </cell>
        </row>
        <row r="320">
          <cell r="A320">
            <v>580</v>
          </cell>
          <cell r="B320" t="str">
            <v>ISCAS FRANGO EMPA APIMEN SEARA CX/16X300</v>
          </cell>
          <cell r="C320">
            <v>39</v>
          </cell>
          <cell r="D320">
            <v>1</v>
          </cell>
          <cell r="E320">
            <v>38</v>
          </cell>
        </row>
        <row r="321">
          <cell r="A321">
            <v>291</v>
          </cell>
          <cell r="B321" t="str">
            <v>ISCAS FRANGO EMPANADA SEARA CX/16X300G</v>
          </cell>
          <cell r="C321">
            <v>17</v>
          </cell>
          <cell r="D321">
            <v>0</v>
          </cell>
          <cell r="E321">
            <v>17</v>
          </cell>
        </row>
        <row r="322">
          <cell r="A322">
            <v>890</v>
          </cell>
          <cell r="B322" t="str">
            <v>ISCAS FRANGO EMPANADAS SEARA CX/5X900GR</v>
          </cell>
          <cell r="C322">
            <v>11</v>
          </cell>
          <cell r="D322">
            <v>1</v>
          </cell>
          <cell r="E322">
            <v>10</v>
          </cell>
        </row>
        <row r="323">
          <cell r="A323">
            <v>4049</v>
          </cell>
          <cell r="B323" t="str">
            <v>KETCHUP BILLY DJAN 50X35G</v>
          </cell>
          <cell r="C323">
            <v>40</v>
          </cell>
          <cell r="D323">
            <v>0</v>
          </cell>
          <cell r="E323">
            <v>40</v>
          </cell>
        </row>
        <row r="324">
          <cell r="A324">
            <v>178</v>
          </cell>
          <cell r="B324" t="str">
            <v>KETCHUP GALÃO LANCHERO  3KG</v>
          </cell>
          <cell r="C324">
            <v>789</v>
          </cell>
          <cell r="D324">
            <v>44</v>
          </cell>
          <cell r="E324">
            <v>745</v>
          </cell>
        </row>
        <row r="325">
          <cell r="A325">
            <v>2919</v>
          </cell>
          <cell r="B325" t="str">
            <v>KETCHUP PREDILECTA CX\24X200GR</v>
          </cell>
          <cell r="C325">
            <v>24</v>
          </cell>
          <cell r="D325">
            <v>0</v>
          </cell>
          <cell r="E325">
            <v>24</v>
          </cell>
        </row>
        <row r="326">
          <cell r="A326">
            <v>2647</v>
          </cell>
          <cell r="B326" t="str">
            <v>KETCHUP PREDILECTA CX\24X400GR</v>
          </cell>
          <cell r="C326">
            <v>50</v>
          </cell>
          <cell r="D326">
            <v>0</v>
          </cell>
          <cell r="E326">
            <v>50</v>
          </cell>
        </row>
        <row r="327">
          <cell r="A327">
            <v>1483</v>
          </cell>
          <cell r="B327" t="str">
            <v>KETCHUP SACHÊ LANCHEIRO 150X5GR</v>
          </cell>
          <cell r="C327">
            <v>374</v>
          </cell>
          <cell r="D327">
            <v>3</v>
          </cell>
          <cell r="E327">
            <v>371</v>
          </cell>
        </row>
        <row r="328">
          <cell r="A328">
            <v>1484</v>
          </cell>
          <cell r="B328" t="str">
            <v>KETCHUP SACHÊ LANCHEIRO 600X5GR</v>
          </cell>
          <cell r="C328">
            <v>726</v>
          </cell>
          <cell r="D328">
            <v>45</v>
          </cell>
          <cell r="E328">
            <v>681</v>
          </cell>
        </row>
        <row r="329">
          <cell r="A329">
            <v>4330</v>
          </cell>
          <cell r="B329" t="str">
            <v>KETCHUP SACHE PREDILECTA CX144X7GR</v>
          </cell>
          <cell r="C329">
            <v>250</v>
          </cell>
          <cell r="D329">
            <v>0</v>
          </cell>
          <cell r="E329">
            <v>250</v>
          </cell>
        </row>
        <row r="330">
          <cell r="A330">
            <v>1153</v>
          </cell>
          <cell r="B330" t="str">
            <v>KETCHUP SACHÊ SALSARETTI 144X7GR</v>
          </cell>
          <cell r="C330">
            <v>1995</v>
          </cell>
          <cell r="D330">
            <v>14</v>
          </cell>
          <cell r="E330">
            <v>1981</v>
          </cell>
        </row>
        <row r="331">
          <cell r="A331">
            <v>3958</v>
          </cell>
          <cell r="B331" t="str">
            <v>KETCHUP TRADICIONAL SACHE FUGINI 1,7KG</v>
          </cell>
          <cell r="C331">
            <v>113</v>
          </cell>
          <cell r="D331">
            <v>0</v>
          </cell>
          <cell r="E331">
            <v>113</v>
          </cell>
        </row>
        <row r="332">
          <cell r="A332">
            <v>4146</v>
          </cell>
          <cell r="B332" t="str">
            <v>KIBE AIRFRYER SEARA CX/8X840GR</v>
          </cell>
          <cell r="C332">
            <v>1</v>
          </cell>
          <cell r="D332">
            <v>0</v>
          </cell>
          <cell r="E332">
            <v>1</v>
          </cell>
        </row>
        <row r="333">
          <cell r="A333">
            <v>945</v>
          </cell>
          <cell r="B333" t="str">
            <v>KIBE INCRIVEL SEARA CX/12X300GR</v>
          </cell>
          <cell r="C333">
            <v>2</v>
          </cell>
          <cell r="D333">
            <v>1</v>
          </cell>
          <cell r="E333">
            <v>1</v>
          </cell>
        </row>
        <row r="334">
          <cell r="A334">
            <v>290</v>
          </cell>
          <cell r="B334" t="str">
            <v>KIBE SEARA CX/12X500GR</v>
          </cell>
          <cell r="C334">
            <v>2</v>
          </cell>
          <cell r="D334">
            <v>0</v>
          </cell>
          <cell r="E334">
            <v>2</v>
          </cell>
        </row>
        <row r="335">
          <cell r="A335">
            <v>4003</v>
          </cell>
          <cell r="B335" t="str">
            <v>KIT FEIJOADA DUPORCO CX\8X1KG</v>
          </cell>
          <cell r="C335">
            <v>17</v>
          </cell>
          <cell r="D335">
            <v>3</v>
          </cell>
          <cell r="E335">
            <v>14</v>
          </cell>
        </row>
        <row r="336">
          <cell r="A336">
            <v>583</v>
          </cell>
          <cell r="B336" t="str">
            <v>KIT FEIJOADA FRIGOLESTE KG</v>
          </cell>
          <cell r="C336">
            <v>0</v>
          </cell>
          <cell r="D336">
            <v>0</v>
          </cell>
          <cell r="E336">
            <v>0</v>
          </cell>
        </row>
        <row r="337">
          <cell r="A337">
            <v>2055</v>
          </cell>
          <cell r="B337" t="str">
            <v>KIT NATALINO PIF PAF CX\6,3KG</v>
          </cell>
          <cell r="C337">
            <v>33</v>
          </cell>
          <cell r="D337">
            <v>0</v>
          </cell>
          <cell r="E337">
            <v>33</v>
          </cell>
        </row>
        <row r="338">
          <cell r="A338">
            <v>3172</v>
          </cell>
          <cell r="B338" t="str">
            <v>LAGARTO BOVINO CARA BRANCA KG</v>
          </cell>
          <cell r="C338">
            <v>2275.91</v>
          </cell>
          <cell r="D338">
            <v>0</v>
          </cell>
          <cell r="E338">
            <v>2275.91</v>
          </cell>
        </row>
        <row r="339">
          <cell r="A339">
            <v>3096</v>
          </cell>
          <cell r="B339" t="str">
            <v>LASANHA 4 QUEIJOS AIRFRYER SEARA 12X300GR</v>
          </cell>
          <cell r="C339">
            <v>2</v>
          </cell>
          <cell r="D339">
            <v>0</v>
          </cell>
          <cell r="E339">
            <v>2</v>
          </cell>
        </row>
        <row r="340">
          <cell r="A340">
            <v>587</v>
          </cell>
          <cell r="B340" t="str">
            <v>LASANHA 4 QUEIJOS SEARA CX\10X600GR</v>
          </cell>
          <cell r="C340">
            <v>14</v>
          </cell>
          <cell r="D340">
            <v>0</v>
          </cell>
          <cell r="E340">
            <v>14</v>
          </cell>
        </row>
        <row r="341">
          <cell r="A341">
            <v>3098</v>
          </cell>
          <cell r="B341" t="str">
            <v>LASANHA BOLONHESA AIRFRYER SEARA 12X300GR</v>
          </cell>
          <cell r="C341">
            <v>17</v>
          </cell>
          <cell r="D341">
            <v>1</v>
          </cell>
          <cell r="E341">
            <v>16</v>
          </cell>
        </row>
        <row r="342">
          <cell r="A342">
            <v>2335</v>
          </cell>
          <cell r="B342" t="str">
            <v>LASANHA BOLONHESA LEBON 10X600GR</v>
          </cell>
          <cell r="C342">
            <v>14</v>
          </cell>
          <cell r="D342">
            <v>0</v>
          </cell>
          <cell r="E342">
            <v>14</v>
          </cell>
        </row>
        <row r="343">
          <cell r="A343">
            <v>589</v>
          </cell>
          <cell r="B343" t="str">
            <v>LASANHA BOLONHESA MENU SEARA  12X350G</v>
          </cell>
          <cell r="C343">
            <v>17</v>
          </cell>
          <cell r="D343">
            <v>0</v>
          </cell>
          <cell r="E343">
            <v>17</v>
          </cell>
        </row>
        <row r="344">
          <cell r="A344">
            <v>819</v>
          </cell>
          <cell r="B344" t="str">
            <v>LASANHA BOLONHESA REZENDE CX\10X600GR</v>
          </cell>
          <cell r="C344">
            <v>12</v>
          </cell>
          <cell r="D344">
            <v>0</v>
          </cell>
          <cell r="E344">
            <v>12</v>
          </cell>
        </row>
        <row r="345">
          <cell r="A345">
            <v>413</v>
          </cell>
          <cell r="B345" t="str">
            <v>LASANHA BOLONHESA SEARA CX\10X600GR</v>
          </cell>
          <cell r="C345">
            <v>24</v>
          </cell>
          <cell r="D345">
            <v>2</v>
          </cell>
          <cell r="E345">
            <v>22</v>
          </cell>
        </row>
        <row r="346">
          <cell r="A346">
            <v>590</v>
          </cell>
          <cell r="B346" t="str">
            <v>LASANHA BOLONHESA SEARA CX\6X1KG</v>
          </cell>
          <cell r="C346">
            <v>12</v>
          </cell>
          <cell r="D346">
            <v>0</v>
          </cell>
          <cell r="E346">
            <v>12</v>
          </cell>
        </row>
        <row r="347">
          <cell r="A347">
            <v>591</v>
          </cell>
          <cell r="B347" t="str">
            <v>LASANHA CALABRESA SEARA CX\10X600GR</v>
          </cell>
          <cell r="C347">
            <v>17</v>
          </cell>
          <cell r="D347">
            <v>2</v>
          </cell>
          <cell r="E347">
            <v>15</v>
          </cell>
        </row>
        <row r="348">
          <cell r="A348">
            <v>3097</v>
          </cell>
          <cell r="B348" t="str">
            <v>LASANHA FRANGO AIRFRYER SEARA CX/12X300GR</v>
          </cell>
          <cell r="C348">
            <v>10</v>
          </cell>
          <cell r="D348">
            <v>1</v>
          </cell>
          <cell r="E348">
            <v>9</v>
          </cell>
        </row>
        <row r="349">
          <cell r="A349">
            <v>592</v>
          </cell>
          <cell r="B349" t="str">
            <v>LASANHA FRANGO LEBON CX/10X600GR</v>
          </cell>
          <cell r="C349">
            <v>4</v>
          </cell>
          <cell r="D349">
            <v>0</v>
          </cell>
          <cell r="E349">
            <v>4</v>
          </cell>
        </row>
        <row r="350">
          <cell r="A350">
            <v>820</v>
          </cell>
          <cell r="B350" t="str">
            <v>LASANHA FRANGO REZENDE CX\10X600GR</v>
          </cell>
          <cell r="C350">
            <v>10</v>
          </cell>
          <cell r="D350">
            <v>0</v>
          </cell>
          <cell r="E350">
            <v>10</v>
          </cell>
        </row>
        <row r="351">
          <cell r="A351">
            <v>594</v>
          </cell>
          <cell r="B351" t="str">
            <v>LASANHA FRANGO SEARA CX/10X600GR</v>
          </cell>
          <cell r="C351">
            <v>17</v>
          </cell>
          <cell r="D351">
            <v>0</v>
          </cell>
          <cell r="E351">
            <v>17</v>
          </cell>
        </row>
        <row r="352">
          <cell r="A352">
            <v>883</v>
          </cell>
          <cell r="B352" t="str">
            <v>LASANHA MIX PIF PAF CX.10X600GR</v>
          </cell>
          <cell r="C352">
            <v>16</v>
          </cell>
          <cell r="D352">
            <v>0</v>
          </cell>
          <cell r="E352">
            <v>16</v>
          </cell>
        </row>
        <row r="353">
          <cell r="A353">
            <v>2334</v>
          </cell>
          <cell r="B353" t="str">
            <v>LASANHA PRESUNTO/QUEIJO LEBON 10X600GR</v>
          </cell>
          <cell r="C353">
            <v>4</v>
          </cell>
          <cell r="D353">
            <v>0</v>
          </cell>
          <cell r="E353">
            <v>4</v>
          </cell>
        </row>
        <row r="354">
          <cell r="A354">
            <v>289</v>
          </cell>
          <cell r="B354" t="str">
            <v>LASANHA PRESUNTO/QUEIJO SEARA CX\10X600G</v>
          </cell>
          <cell r="C354">
            <v>7</v>
          </cell>
          <cell r="D354">
            <v>1</v>
          </cell>
          <cell r="E354">
            <v>6</v>
          </cell>
        </row>
        <row r="355">
          <cell r="A355">
            <v>596</v>
          </cell>
          <cell r="B355" t="str">
            <v>LASANHA PRESUNTO\QUEIJO REZENDE CX\10X600GR</v>
          </cell>
          <cell r="C355">
            <v>1</v>
          </cell>
          <cell r="D355">
            <v>0</v>
          </cell>
          <cell r="E355">
            <v>1</v>
          </cell>
        </row>
        <row r="356">
          <cell r="A356">
            <v>4188</v>
          </cell>
          <cell r="B356" t="str">
            <v>LEITE CONDENSADO CEMIL 2X5KG</v>
          </cell>
          <cell r="C356">
            <v>29</v>
          </cell>
          <cell r="D356">
            <v>11</v>
          </cell>
          <cell r="E356">
            <v>18</v>
          </cell>
        </row>
        <row r="357">
          <cell r="A357">
            <v>597</v>
          </cell>
          <cell r="B357" t="str">
            <v>LEITE CONDENSADO CEMIL TP CX\27X395GR</v>
          </cell>
          <cell r="C357">
            <v>539</v>
          </cell>
          <cell r="D357">
            <v>9</v>
          </cell>
          <cell r="E357">
            <v>530</v>
          </cell>
        </row>
        <row r="358">
          <cell r="A358">
            <v>3846</v>
          </cell>
          <cell r="B358" t="str">
            <v>LEITE CONDENSADO DAMARE CX\27X395GR</v>
          </cell>
          <cell r="C358">
            <v>537</v>
          </cell>
          <cell r="D358">
            <v>9</v>
          </cell>
          <cell r="E358">
            <v>528</v>
          </cell>
        </row>
        <row r="359">
          <cell r="A359">
            <v>599</v>
          </cell>
          <cell r="B359" t="str">
            <v>LEITE CONDENSADO PIRACANJUBA TP 27X395GR</v>
          </cell>
          <cell r="C359">
            <v>682</v>
          </cell>
          <cell r="D359">
            <v>25</v>
          </cell>
          <cell r="E359">
            <v>657</v>
          </cell>
        </row>
        <row r="360">
          <cell r="A360">
            <v>377</v>
          </cell>
          <cell r="B360" t="str">
            <v>LEITE CONDENSADO TRIANGULO TP CX\27X395G</v>
          </cell>
          <cell r="C360">
            <v>152</v>
          </cell>
          <cell r="D360">
            <v>9</v>
          </cell>
          <cell r="E360">
            <v>143</v>
          </cell>
        </row>
        <row r="361">
          <cell r="A361">
            <v>191</v>
          </cell>
          <cell r="B361" t="str">
            <v>LEITE DE COCO MENINA CX/24X200ML</v>
          </cell>
          <cell r="C361">
            <v>107</v>
          </cell>
          <cell r="D361">
            <v>1</v>
          </cell>
          <cell r="E361">
            <v>106</v>
          </cell>
        </row>
        <row r="362">
          <cell r="A362">
            <v>770</v>
          </cell>
          <cell r="B362" t="str">
            <v>LEITE EM PO INTEGRAL PIRACANJUBA FD/25X400G</v>
          </cell>
          <cell r="C362">
            <v>29</v>
          </cell>
          <cell r="D362">
            <v>0</v>
          </cell>
          <cell r="E362">
            <v>29</v>
          </cell>
        </row>
        <row r="363">
          <cell r="A363">
            <v>601</v>
          </cell>
          <cell r="B363" t="str">
            <v>LEITE UHT DESNATADO IBITURUNA CX\12LT</v>
          </cell>
          <cell r="C363">
            <v>74</v>
          </cell>
          <cell r="D363">
            <v>4</v>
          </cell>
          <cell r="E363">
            <v>70</v>
          </cell>
        </row>
        <row r="364">
          <cell r="A364">
            <v>12</v>
          </cell>
          <cell r="B364" t="str">
            <v>LEITE UHT DESNATADO PIRACANJUBA CX\12 LT</v>
          </cell>
          <cell r="C364">
            <v>473</v>
          </cell>
          <cell r="D364">
            <v>0</v>
          </cell>
          <cell r="E364">
            <v>473</v>
          </cell>
        </row>
        <row r="365">
          <cell r="A365">
            <v>4</v>
          </cell>
          <cell r="B365" t="str">
            <v>LEITE UHT INTEGRAL CEMIL CX\12LT</v>
          </cell>
          <cell r="C365">
            <v>2230</v>
          </cell>
          <cell r="D365">
            <v>86</v>
          </cell>
          <cell r="E365">
            <v>2144</v>
          </cell>
        </row>
        <row r="366">
          <cell r="A366">
            <v>602</v>
          </cell>
          <cell r="B366" t="str">
            <v>LEITE UHT INTEGRAL IBITURUNA CX\12LT</v>
          </cell>
          <cell r="C366">
            <v>905</v>
          </cell>
          <cell r="D366">
            <v>113</v>
          </cell>
          <cell r="E366">
            <v>792</v>
          </cell>
        </row>
        <row r="367">
          <cell r="A367">
            <v>9</v>
          </cell>
          <cell r="B367" t="str">
            <v>LEITE UHT INTEGRAL PIRACANJUBA CX\12 LT</v>
          </cell>
          <cell r="C367">
            <v>513</v>
          </cell>
          <cell r="D367">
            <v>21</v>
          </cell>
          <cell r="E367">
            <v>492</v>
          </cell>
        </row>
        <row r="368">
          <cell r="A368">
            <v>384</v>
          </cell>
          <cell r="B368" t="str">
            <v>LEITE UHT ZERO LACTOSE CEMIL CX/12</v>
          </cell>
          <cell r="C368">
            <v>500</v>
          </cell>
          <cell r="D368">
            <v>3</v>
          </cell>
          <cell r="E368">
            <v>497</v>
          </cell>
        </row>
        <row r="369">
          <cell r="A369">
            <v>771</v>
          </cell>
          <cell r="B369" t="str">
            <v>LEITE UHT ZERO LACTOSE PIRACANJUBA CX\12</v>
          </cell>
          <cell r="C369">
            <v>124</v>
          </cell>
          <cell r="D369">
            <v>2</v>
          </cell>
          <cell r="E369">
            <v>122</v>
          </cell>
        </row>
        <row r="370">
          <cell r="A370">
            <v>603</v>
          </cell>
          <cell r="B370" t="str">
            <v>LEVISSIMO SEARA 3,450KG</v>
          </cell>
          <cell r="C370">
            <v>148</v>
          </cell>
          <cell r="D370">
            <v>1</v>
          </cell>
          <cell r="E370">
            <v>147</v>
          </cell>
        </row>
        <row r="371">
          <cell r="A371">
            <v>288</v>
          </cell>
          <cell r="B371" t="str">
            <v>LEVISSIMO SEARA FATIADO CX/22X180GR</v>
          </cell>
          <cell r="C371">
            <v>2</v>
          </cell>
          <cell r="D371">
            <v>2</v>
          </cell>
          <cell r="E371">
            <v>0</v>
          </cell>
        </row>
        <row r="372">
          <cell r="A372">
            <v>822</v>
          </cell>
          <cell r="B372" t="str">
            <v>LING ALHO PORO GOURMET SEARA 12X500G</v>
          </cell>
          <cell r="C372">
            <v>2</v>
          </cell>
          <cell r="D372">
            <v>0</v>
          </cell>
          <cell r="E372">
            <v>2</v>
          </cell>
        </row>
        <row r="373">
          <cell r="A373">
            <v>376</v>
          </cell>
          <cell r="B373" t="str">
            <v>LING APIMENTADA GOURMET SEARA CX/12X450G</v>
          </cell>
          <cell r="C373">
            <v>2</v>
          </cell>
          <cell r="D373">
            <v>0</v>
          </cell>
          <cell r="E373">
            <v>2</v>
          </cell>
        </row>
        <row r="374">
          <cell r="A374">
            <v>3243</v>
          </cell>
          <cell r="B374" t="str">
            <v>LING APIMENTADA SEARA CX/30X600GR</v>
          </cell>
          <cell r="C374">
            <v>168</v>
          </cell>
          <cell r="D374">
            <v>2</v>
          </cell>
          <cell r="E374">
            <v>166</v>
          </cell>
        </row>
        <row r="375">
          <cell r="A375">
            <v>4117</v>
          </cell>
          <cell r="B375" t="str">
            <v>LING CARA PRETA COSTELA C/QUEIJO 18X420G</v>
          </cell>
          <cell r="C375">
            <v>1</v>
          </cell>
          <cell r="D375">
            <v>0</v>
          </cell>
          <cell r="E375">
            <v>1</v>
          </cell>
        </row>
        <row r="376">
          <cell r="A376">
            <v>3245</v>
          </cell>
          <cell r="B376" t="str">
            <v>LING CHIMICHURRI SEARA CX/30X600GR</v>
          </cell>
          <cell r="C376">
            <v>20</v>
          </cell>
          <cell r="D376">
            <v>0</v>
          </cell>
          <cell r="E376">
            <v>20</v>
          </cell>
        </row>
        <row r="377">
          <cell r="A377">
            <v>4191</v>
          </cell>
          <cell r="B377" t="str">
            <v>LING CHURRASCO LEBON 32X600GR</v>
          </cell>
          <cell r="C377">
            <v>1566</v>
          </cell>
          <cell r="D377">
            <v>7</v>
          </cell>
          <cell r="E377">
            <v>1559</v>
          </cell>
        </row>
        <row r="378">
          <cell r="A378">
            <v>1419</v>
          </cell>
          <cell r="B378" t="str">
            <v>LING CHURRASCO LEBON CX\4X5KG</v>
          </cell>
          <cell r="C378">
            <v>35</v>
          </cell>
          <cell r="D378">
            <v>1</v>
          </cell>
          <cell r="E378">
            <v>34</v>
          </cell>
        </row>
        <row r="379">
          <cell r="A379">
            <v>887</v>
          </cell>
          <cell r="B379" t="str">
            <v>LING CHURRASCO REZENDE CX\4X5KG</v>
          </cell>
          <cell r="C379">
            <v>2742</v>
          </cell>
          <cell r="D379">
            <v>9</v>
          </cell>
          <cell r="E379">
            <v>2733</v>
          </cell>
        </row>
        <row r="380">
          <cell r="A380">
            <v>609</v>
          </cell>
          <cell r="B380" t="str">
            <v>LING CUIABANA GOURMET SEARA CX/12X500GR</v>
          </cell>
          <cell r="C380">
            <v>4</v>
          </cell>
          <cell r="D380">
            <v>2</v>
          </cell>
          <cell r="E380">
            <v>2</v>
          </cell>
        </row>
        <row r="381">
          <cell r="A381">
            <v>230</v>
          </cell>
          <cell r="B381" t="str">
            <v>LING DEF.FINA ADEEL CX7X2,5KG</v>
          </cell>
          <cell r="C381">
            <v>945</v>
          </cell>
          <cell r="D381">
            <v>11</v>
          </cell>
          <cell r="E381">
            <v>934</v>
          </cell>
        </row>
        <row r="382">
          <cell r="A382">
            <v>610</v>
          </cell>
          <cell r="B382" t="str">
            <v>LING DEF.FINA PIF PAF CX\4X2,5KG</v>
          </cell>
          <cell r="C382">
            <v>800</v>
          </cell>
          <cell r="D382">
            <v>8</v>
          </cell>
          <cell r="E382">
            <v>792</v>
          </cell>
        </row>
        <row r="383">
          <cell r="A383">
            <v>1230</v>
          </cell>
          <cell r="B383" t="str">
            <v>LING DEF.FINA REZENDE CX\24X215GR</v>
          </cell>
          <cell r="C383">
            <v>16</v>
          </cell>
          <cell r="D383">
            <v>0</v>
          </cell>
          <cell r="E383">
            <v>16</v>
          </cell>
        </row>
        <row r="384">
          <cell r="A384">
            <v>611</v>
          </cell>
          <cell r="B384" t="str">
            <v>LING DEF.FINA SEARA CX\24X215KG</v>
          </cell>
          <cell r="C384">
            <v>28</v>
          </cell>
          <cell r="D384">
            <v>0</v>
          </cell>
          <cell r="E384">
            <v>28</v>
          </cell>
        </row>
        <row r="385">
          <cell r="A385">
            <v>823</v>
          </cell>
          <cell r="B385" t="str">
            <v>LING DEF.FINA SEARA CX\6X2,5KG</v>
          </cell>
          <cell r="C385">
            <v>104</v>
          </cell>
          <cell r="D385">
            <v>5</v>
          </cell>
          <cell r="E385">
            <v>99</v>
          </cell>
        </row>
        <row r="386">
          <cell r="A386">
            <v>231</v>
          </cell>
          <cell r="B386" t="str">
            <v>LING DEF.PIMENTINHA MISTA CX\25UN</v>
          </cell>
          <cell r="C386">
            <v>513</v>
          </cell>
          <cell r="D386">
            <v>102</v>
          </cell>
          <cell r="E386">
            <v>411</v>
          </cell>
        </row>
        <row r="387">
          <cell r="A387">
            <v>612</v>
          </cell>
          <cell r="B387" t="str">
            <v>LING FRANGO C\BACON GOURMET SEARA CX6KG</v>
          </cell>
          <cell r="C387">
            <v>2</v>
          </cell>
          <cell r="D387">
            <v>0</v>
          </cell>
          <cell r="E387">
            <v>2</v>
          </cell>
        </row>
        <row r="388">
          <cell r="A388">
            <v>4125</v>
          </cell>
          <cell r="B388" t="str">
            <v>LING FRANGO FINA LAR CX\15X1KG</v>
          </cell>
          <cell r="C388">
            <v>40</v>
          </cell>
          <cell r="D388">
            <v>2</v>
          </cell>
          <cell r="E388">
            <v>38</v>
          </cell>
        </row>
        <row r="389">
          <cell r="A389">
            <v>375</v>
          </cell>
          <cell r="B389" t="str">
            <v>LING FRANGO FINA RIVELLI CX\15X1KG</v>
          </cell>
          <cell r="C389">
            <v>20</v>
          </cell>
          <cell r="D389">
            <v>1</v>
          </cell>
          <cell r="E389">
            <v>19</v>
          </cell>
        </row>
        <row r="390">
          <cell r="A390">
            <v>613</v>
          </cell>
          <cell r="B390" t="str">
            <v>LING FRANGO LEBON CX\32X600GR</v>
          </cell>
          <cell r="C390">
            <v>10</v>
          </cell>
          <cell r="D390">
            <v>1</v>
          </cell>
          <cell r="E390">
            <v>9</v>
          </cell>
        </row>
        <row r="391">
          <cell r="A391">
            <v>4127</v>
          </cell>
          <cell r="B391" t="str">
            <v>LING FRANGO PETISCO LAR CX\20X700GR</v>
          </cell>
          <cell r="C391">
            <v>106</v>
          </cell>
          <cell r="D391">
            <v>1</v>
          </cell>
          <cell r="E391">
            <v>105</v>
          </cell>
        </row>
        <row r="392">
          <cell r="A392">
            <v>3248</v>
          </cell>
          <cell r="B392" t="str">
            <v>LING FRANGO SEARA CX/30X600GR</v>
          </cell>
          <cell r="C392">
            <v>26</v>
          </cell>
          <cell r="D392">
            <v>2</v>
          </cell>
          <cell r="E392">
            <v>24</v>
          </cell>
        </row>
        <row r="393">
          <cell r="A393">
            <v>891</v>
          </cell>
          <cell r="B393" t="str">
            <v>LING FRANGO SEARA CX\4X5KG</v>
          </cell>
          <cell r="C393">
            <v>102</v>
          </cell>
          <cell r="D393">
            <v>7</v>
          </cell>
          <cell r="E393">
            <v>95</v>
          </cell>
        </row>
        <row r="394">
          <cell r="A394">
            <v>233</v>
          </cell>
          <cell r="B394" t="str">
            <v>LING MC TROPEIRA CX\25X400GR</v>
          </cell>
          <cell r="C394">
            <v>575</v>
          </cell>
          <cell r="D394">
            <v>12</v>
          </cell>
          <cell r="E394">
            <v>563</v>
          </cell>
        </row>
        <row r="395">
          <cell r="A395">
            <v>374</v>
          </cell>
          <cell r="B395" t="str">
            <v>LING MINEIRA APIMENTADA PIF PAF CX\8X800</v>
          </cell>
          <cell r="C395">
            <v>70</v>
          </cell>
          <cell r="D395">
            <v>1</v>
          </cell>
          <cell r="E395">
            <v>69</v>
          </cell>
        </row>
        <row r="396">
          <cell r="A396">
            <v>615</v>
          </cell>
          <cell r="B396" t="str">
            <v>LING MINEIRA PIF PAF CX/8X800GR</v>
          </cell>
          <cell r="C396">
            <v>14</v>
          </cell>
          <cell r="D396">
            <v>1</v>
          </cell>
          <cell r="E396">
            <v>13</v>
          </cell>
        </row>
        <row r="397">
          <cell r="A397">
            <v>3246</v>
          </cell>
          <cell r="B397" t="str">
            <v>LING PERNIL SEARA CX/30X600GR</v>
          </cell>
          <cell r="C397">
            <v>41</v>
          </cell>
          <cell r="D397">
            <v>3</v>
          </cell>
          <cell r="E397">
            <v>38</v>
          </cell>
        </row>
        <row r="398">
          <cell r="A398">
            <v>1415</v>
          </cell>
          <cell r="B398" t="str">
            <v>LING PERNIL SEARA CX\4X5KG</v>
          </cell>
          <cell r="C398">
            <v>154</v>
          </cell>
          <cell r="D398">
            <v>1</v>
          </cell>
          <cell r="E398">
            <v>153</v>
          </cell>
        </row>
        <row r="399">
          <cell r="A399">
            <v>287</v>
          </cell>
          <cell r="B399" t="str">
            <v>LING PIMENTA BIQUINHO SEARA GOURMET 12X500G</v>
          </cell>
          <cell r="C399">
            <v>2</v>
          </cell>
          <cell r="D399">
            <v>0</v>
          </cell>
          <cell r="E399">
            <v>2</v>
          </cell>
        </row>
        <row r="400">
          <cell r="A400">
            <v>234</v>
          </cell>
          <cell r="B400" t="str">
            <v>LING SUINA AURORA CX\5X5KG</v>
          </cell>
          <cell r="C400">
            <v>940</v>
          </cell>
          <cell r="D400">
            <v>61</v>
          </cell>
          <cell r="E400">
            <v>879</v>
          </cell>
        </row>
        <row r="401">
          <cell r="A401">
            <v>3244</v>
          </cell>
          <cell r="B401" t="str">
            <v>LING SUINA C\BACON SEARA CX/30X600GR</v>
          </cell>
          <cell r="C401">
            <v>34</v>
          </cell>
          <cell r="D401">
            <v>0</v>
          </cell>
          <cell r="E401">
            <v>34</v>
          </cell>
        </row>
        <row r="402">
          <cell r="A402">
            <v>4303</v>
          </cell>
          <cell r="B402" t="str">
            <v>LING SUINA CHURRASCO ADEEL 5KG</v>
          </cell>
          <cell r="C402">
            <v>580</v>
          </cell>
          <cell r="D402">
            <v>0</v>
          </cell>
          <cell r="E402">
            <v>580</v>
          </cell>
        </row>
        <row r="403">
          <cell r="A403">
            <v>240</v>
          </cell>
          <cell r="B403" t="str">
            <v>LING SUINA PIF PAF CX\12X1KG</v>
          </cell>
          <cell r="C403">
            <v>114</v>
          </cell>
          <cell r="D403">
            <v>0</v>
          </cell>
          <cell r="E403">
            <v>114</v>
          </cell>
        </row>
        <row r="404">
          <cell r="A404">
            <v>4224</v>
          </cell>
          <cell r="B404" t="str">
            <v>LING SUINA REZENDE CX/32X600G</v>
          </cell>
          <cell r="C404">
            <v>49</v>
          </cell>
          <cell r="D404">
            <v>0</v>
          </cell>
          <cell r="E404">
            <v>49</v>
          </cell>
        </row>
        <row r="405">
          <cell r="A405">
            <v>619</v>
          </cell>
          <cell r="B405" t="str">
            <v>LING SUINA REZENDE CX/32X700G</v>
          </cell>
          <cell r="C405">
            <v>77</v>
          </cell>
          <cell r="D405">
            <v>17</v>
          </cell>
          <cell r="E405">
            <v>60</v>
          </cell>
        </row>
        <row r="406">
          <cell r="A406">
            <v>3247</v>
          </cell>
          <cell r="B406" t="str">
            <v>LING SUINA SEARA CX/30X600GR</v>
          </cell>
          <cell r="C406">
            <v>42</v>
          </cell>
          <cell r="D406">
            <v>2</v>
          </cell>
          <cell r="E406">
            <v>40</v>
          </cell>
        </row>
        <row r="407">
          <cell r="A407">
            <v>286</v>
          </cell>
          <cell r="B407" t="str">
            <v>LING SUINA SEARA CX\4X5KG</v>
          </cell>
          <cell r="C407">
            <v>5041</v>
          </cell>
          <cell r="D407">
            <v>11</v>
          </cell>
          <cell r="E407">
            <v>5030</v>
          </cell>
        </row>
        <row r="408">
          <cell r="A408">
            <v>235</v>
          </cell>
          <cell r="B408" t="str">
            <v>LING T.CALABRESA ADEEL 2,5KG</v>
          </cell>
          <cell r="C408">
            <v>700</v>
          </cell>
          <cell r="D408">
            <v>11</v>
          </cell>
          <cell r="E408">
            <v>689</v>
          </cell>
        </row>
        <row r="409">
          <cell r="A409">
            <v>3645</v>
          </cell>
          <cell r="B409" t="str">
            <v>LING T.CALABRESA FATIADA SEARA CX\8X1KG</v>
          </cell>
          <cell r="C409">
            <v>39</v>
          </cell>
          <cell r="D409">
            <v>3</v>
          </cell>
          <cell r="E409">
            <v>36</v>
          </cell>
        </row>
        <row r="410">
          <cell r="A410">
            <v>620</v>
          </cell>
          <cell r="B410" t="str">
            <v>LING T.CALABRESA PIF PAF CX/2X3KG</v>
          </cell>
          <cell r="C410">
            <v>1389</v>
          </cell>
          <cell r="D410">
            <v>81</v>
          </cell>
          <cell r="E410">
            <v>1308</v>
          </cell>
        </row>
        <row r="411">
          <cell r="A411">
            <v>621</v>
          </cell>
          <cell r="B411" t="str">
            <v>LING T.CALABRESA RETA REZENDE CX 6X2,5KG</v>
          </cell>
          <cell r="C411">
            <v>84</v>
          </cell>
          <cell r="D411">
            <v>7</v>
          </cell>
          <cell r="E411">
            <v>77</v>
          </cell>
        </row>
        <row r="412">
          <cell r="A412">
            <v>1058</v>
          </cell>
          <cell r="B412" t="str">
            <v>LING T.CALABRESA RETA REZENDE FS 6X2,5KG</v>
          </cell>
          <cell r="C412">
            <v>42</v>
          </cell>
          <cell r="D412">
            <v>24</v>
          </cell>
          <cell r="E412">
            <v>18</v>
          </cell>
        </row>
        <row r="413">
          <cell r="A413">
            <v>1474</v>
          </cell>
          <cell r="B413" t="str">
            <v>LING T.CALABRESA REZENDE CX\12X400GR</v>
          </cell>
          <cell r="C413">
            <v>1</v>
          </cell>
          <cell r="D413">
            <v>0</v>
          </cell>
          <cell r="E413">
            <v>1</v>
          </cell>
        </row>
        <row r="414">
          <cell r="A414">
            <v>624</v>
          </cell>
          <cell r="B414" t="str">
            <v>LING T.CALABRESA SEARA CX\12X400GR</v>
          </cell>
          <cell r="C414">
            <v>26</v>
          </cell>
          <cell r="D414">
            <v>0</v>
          </cell>
          <cell r="E414">
            <v>26</v>
          </cell>
        </row>
        <row r="415">
          <cell r="A415">
            <v>285</v>
          </cell>
          <cell r="B415" t="str">
            <v>LING T.PAIO SEARA CX/24X370GR</v>
          </cell>
          <cell r="C415">
            <v>1</v>
          </cell>
          <cell r="D415">
            <v>0</v>
          </cell>
          <cell r="E415">
            <v>1</v>
          </cell>
        </row>
        <row r="416">
          <cell r="A416">
            <v>3088</v>
          </cell>
          <cell r="B416" t="str">
            <v>LING TOSCANA GRAND MINAS CX/5X5KG</v>
          </cell>
          <cell r="C416">
            <v>112</v>
          </cell>
          <cell r="D416">
            <v>5</v>
          </cell>
          <cell r="E416">
            <v>107</v>
          </cell>
        </row>
        <row r="417">
          <cell r="A417">
            <v>1333</v>
          </cell>
          <cell r="B417" t="str">
            <v>LING TOSCANA MINI SEARA 6X2,5KG</v>
          </cell>
          <cell r="C417">
            <v>19</v>
          </cell>
          <cell r="D417">
            <v>0</v>
          </cell>
          <cell r="E417">
            <v>19</v>
          </cell>
        </row>
        <row r="418">
          <cell r="A418">
            <v>3249</v>
          </cell>
          <cell r="B418" t="str">
            <v>LING TOSCANA SEARA CX/30X600GR</v>
          </cell>
          <cell r="C418">
            <v>51</v>
          </cell>
          <cell r="D418">
            <v>0</v>
          </cell>
          <cell r="E418">
            <v>51</v>
          </cell>
        </row>
        <row r="419">
          <cell r="A419">
            <v>629</v>
          </cell>
          <cell r="B419" t="str">
            <v>LOMBO FATIADO BBQ SEARA GOURMET CX\6X1KG</v>
          </cell>
          <cell r="C419">
            <v>3</v>
          </cell>
          <cell r="D419">
            <v>0</v>
          </cell>
          <cell r="E419">
            <v>3</v>
          </cell>
        </row>
        <row r="420">
          <cell r="A420">
            <v>773</v>
          </cell>
          <cell r="B420" t="str">
            <v>LOMBO SUINO GRANDMINAS KG</v>
          </cell>
          <cell r="C420">
            <v>0.01</v>
          </cell>
          <cell r="D420">
            <v>0.01</v>
          </cell>
          <cell r="E420">
            <v>0</v>
          </cell>
        </row>
        <row r="421">
          <cell r="A421">
            <v>3994</v>
          </cell>
          <cell r="B421" t="str">
            <v>LOMBO SUINO INTERIO DICASA  KG</v>
          </cell>
          <cell r="C421">
            <v>3350.41</v>
          </cell>
          <cell r="D421">
            <v>60</v>
          </cell>
          <cell r="E421">
            <v>3290.41</v>
          </cell>
        </row>
        <row r="422">
          <cell r="A422">
            <v>630</v>
          </cell>
          <cell r="B422" t="str">
            <v>LOMBO SUINO MACIO  PIF PAF CX\18KG</v>
          </cell>
          <cell r="C422">
            <v>321</v>
          </cell>
          <cell r="D422">
            <v>2</v>
          </cell>
          <cell r="E422">
            <v>319</v>
          </cell>
        </row>
        <row r="423">
          <cell r="A423">
            <v>631</v>
          </cell>
          <cell r="B423" t="str">
            <v>LOMBO SUINO TEMP. PIF PAF CX/18KG</v>
          </cell>
          <cell r="C423">
            <v>21</v>
          </cell>
          <cell r="D423">
            <v>0</v>
          </cell>
          <cell r="E423">
            <v>21</v>
          </cell>
        </row>
        <row r="424">
          <cell r="A424">
            <v>1105</v>
          </cell>
          <cell r="B424" t="str">
            <v>LOMBO SUINO TEMPERADO PIF PAF CX\20KG</v>
          </cell>
          <cell r="C424">
            <v>4</v>
          </cell>
          <cell r="D424">
            <v>0</v>
          </cell>
          <cell r="E424">
            <v>4</v>
          </cell>
        </row>
        <row r="425">
          <cell r="A425">
            <v>633</v>
          </cell>
          <cell r="B425" t="str">
            <v>MAC &amp; CHEESE C/BACON SEARA CX/12X300GR</v>
          </cell>
          <cell r="C425">
            <v>2</v>
          </cell>
          <cell r="D425">
            <v>0</v>
          </cell>
          <cell r="E425">
            <v>2</v>
          </cell>
        </row>
        <row r="426">
          <cell r="A426">
            <v>282</v>
          </cell>
          <cell r="B426" t="str">
            <v>MAC &amp; CHEESE TRADICIONAL SEARA CX/12X300</v>
          </cell>
          <cell r="C426">
            <v>2</v>
          </cell>
          <cell r="D426">
            <v>0</v>
          </cell>
          <cell r="E426">
            <v>2</v>
          </cell>
        </row>
        <row r="427">
          <cell r="A427">
            <v>3169</v>
          </cell>
          <cell r="B427" t="str">
            <v>MACA PEITO BOVINA CARA BRANCA KG</v>
          </cell>
          <cell r="C427">
            <v>2935.78</v>
          </cell>
          <cell r="D427">
            <v>0</v>
          </cell>
          <cell r="E427">
            <v>2935.78</v>
          </cell>
        </row>
        <row r="428">
          <cell r="A428">
            <v>90</v>
          </cell>
          <cell r="B428" t="str">
            <v>MACA PEITO BOVINA PLENA KG</v>
          </cell>
          <cell r="C428">
            <v>51.89</v>
          </cell>
          <cell r="D428">
            <v>51.89</v>
          </cell>
          <cell r="E428">
            <v>0</v>
          </cell>
        </row>
        <row r="429">
          <cell r="A429">
            <v>1490</v>
          </cell>
          <cell r="B429" t="str">
            <v>MACA PEITO BOVINO ALIMENTAR KG</v>
          </cell>
          <cell r="C429">
            <v>0.01</v>
          </cell>
          <cell r="D429">
            <v>0</v>
          </cell>
          <cell r="E429">
            <v>0.01</v>
          </cell>
        </row>
        <row r="430">
          <cell r="A430">
            <v>91</v>
          </cell>
          <cell r="B430" t="str">
            <v>MACA PEITO PCT BOVINA PLENA KG</v>
          </cell>
          <cell r="C430">
            <v>217.29</v>
          </cell>
          <cell r="D430">
            <v>105</v>
          </cell>
          <cell r="E430">
            <v>112.29</v>
          </cell>
        </row>
        <row r="431">
          <cell r="A431">
            <v>4047</v>
          </cell>
          <cell r="B431" t="str">
            <v>MAIONESE BACON BILLY DJAN 50X35G</v>
          </cell>
          <cell r="C431">
            <v>37</v>
          </cell>
          <cell r="D431">
            <v>0</v>
          </cell>
          <cell r="E431">
            <v>37</v>
          </cell>
        </row>
        <row r="432">
          <cell r="A432">
            <v>2488</v>
          </cell>
          <cell r="B432" t="str">
            <v>MAIONESE BALDE SALADA CX\6X3KG</v>
          </cell>
          <cell r="C432">
            <v>23</v>
          </cell>
          <cell r="D432">
            <v>21</v>
          </cell>
          <cell r="E432">
            <v>2</v>
          </cell>
        </row>
        <row r="433">
          <cell r="A433">
            <v>4046</v>
          </cell>
          <cell r="B433" t="str">
            <v>MAIONESE CHURRASCO BILLY DJAN 50X35G</v>
          </cell>
          <cell r="C433">
            <v>44</v>
          </cell>
          <cell r="D433">
            <v>0</v>
          </cell>
          <cell r="E433">
            <v>44</v>
          </cell>
        </row>
        <row r="434">
          <cell r="A434">
            <v>171</v>
          </cell>
          <cell r="B434" t="str">
            <v>MAIONESE HELLMANNS CX\12X500G</v>
          </cell>
          <cell r="C434">
            <v>407</v>
          </cell>
          <cell r="D434">
            <v>5</v>
          </cell>
          <cell r="E434">
            <v>402</v>
          </cell>
        </row>
        <row r="435">
          <cell r="A435">
            <v>2487</v>
          </cell>
          <cell r="B435" t="str">
            <v>MAIONESE POTE SALADA CX\12X500G</v>
          </cell>
          <cell r="C435">
            <v>98</v>
          </cell>
          <cell r="D435">
            <v>2</v>
          </cell>
          <cell r="E435">
            <v>96</v>
          </cell>
        </row>
        <row r="436">
          <cell r="A436">
            <v>3623</v>
          </cell>
          <cell r="B436" t="str">
            <v>MAIONESE PREDILECTA SACHE CX\24X200GR</v>
          </cell>
          <cell r="C436">
            <v>48</v>
          </cell>
          <cell r="D436">
            <v>0</v>
          </cell>
          <cell r="E436">
            <v>48</v>
          </cell>
        </row>
        <row r="437">
          <cell r="A437">
            <v>1485</v>
          </cell>
          <cell r="B437" t="str">
            <v>MAIONESE SACHÊ LACHEIRO 600X5GR</v>
          </cell>
          <cell r="C437">
            <v>325</v>
          </cell>
          <cell r="D437">
            <v>14</v>
          </cell>
          <cell r="E437">
            <v>311</v>
          </cell>
        </row>
        <row r="438">
          <cell r="A438">
            <v>1486</v>
          </cell>
          <cell r="B438" t="str">
            <v>MAIONESE SACHE LANCHEIRO 150X5GR</v>
          </cell>
          <cell r="C438">
            <v>931</v>
          </cell>
          <cell r="D438">
            <v>1</v>
          </cell>
          <cell r="E438">
            <v>930</v>
          </cell>
        </row>
        <row r="439">
          <cell r="A439">
            <v>4331</v>
          </cell>
          <cell r="B439" t="str">
            <v>MAIONESE SACHE PREDILECTA CX/144X7G</v>
          </cell>
          <cell r="C439">
            <v>100</v>
          </cell>
          <cell r="D439">
            <v>0</v>
          </cell>
          <cell r="E439">
            <v>100</v>
          </cell>
        </row>
        <row r="440">
          <cell r="A440">
            <v>3191</v>
          </cell>
          <cell r="B440" t="str">
            <v>MAIONESE SACHE SALADA 1KG</v>
          </cell>
          <cell r="C440">
            <v>1179</v>
          </cell>
          <cell r="D440">
            <v>0</v>
          </cell>
          <cell r="E440">
            <v>1179</v>
          </cell>
        </row>
        <row r="441">
          <cell r="A441">
            <v>2486</v>
          </cell>
          <cell r="B441" t="str">
            <v>MAIONESE SACHE SALADA CX\24X200GR</v>
          </cell>
          <cell r="C441">
            <v>13</v>
          </cell>
          <cell r="D441">
            <v>1</v>
          </cell>
          <cell r="E441">
            <v>12</v>
          </cell>
        </row>
        <row r="442">
          <cell r="A442">
            <v>2587</v>
          </cell>
          <cell r="B442" t="str">
            <v>MAIONESE SACHE SALADA CX\6X3KG</v>
          </cell>
          <cell r="C442">
            <v>114</v>
          </cell>
          <cell r="D442">
            <v>0</v>
          </cell>
          <cell r="E442">
            <v>114</v>
          </cell>
        </row>
        <row r="443">
          <cell r="A443">
            <v>1181</v>
          </cell>
          <cell r="B443" t="str">
            <v>MAIONESE SACHE SALSARETTI 144X7GR</v>
          </cell>
          <cell r="C443">
            <v>712</v>
          </cell>
          <cell r="D443">
            <v>5</v>
          </cell>
          <cell r="E443">
            <v>707</v>
          </cell>
        </row>
        <row r="444">
          <cell r="A444">
            <v>3838</v>
          </cell>
          <cell r="B444" t="str">
            <v>MAIONESE SACHE SOYA CX\6X1KG</v>
          </cell>
          <cell r="C444">
            <v>16</v>
          </cell>
          <cell r="D444">
            <v>0</v>
          </cell>
          <cell r="E444">
            <v>16</v>
          </cell>
        </row>
        <row r="445">
          <cell r="A445">
            <v>971</v>
          </cell>
          <cell r="B445" t="str">
            <v>MAIONESE SACHE TEMPERADA DAJUDA 192X7GR</v>
          </cell>
          <cell r="C445">
            <v>351</v>
          </cell>
          <cell r="D445">
            <v>0</v>
          </cell>
          <cell r="E445">
            <v>351</v>
          </cell>
        </row>
        <row r="446">
          <cell r="A446">
            <v>4102</v>
          </cell>
          <cell r="B446" t="str">
            <v>MAIONESE SOYA BALDE 3KG</v>
          </cell>
          <cell r="C446">
            <v>206</v>
          </cell>
          <cell r="D446">
            <v>0</v>
          </cell>
          <cell r="E446">
            <v>206</v>
          </cell>
        </row>
        <row r="447">
          <cell r="A447">
            <v>3479</v>
          </cell>
          <cell r="B447" t="str">
            <v>MAIONESE SOYA PET CX/12X500GR</v>
          </cell>
          <cell r="C447">
            <v>43</v>
          </cell>
          <cell r="D447">
            <v>1</v>
          </cell>
          <cell r="E447">
            <v>42</v>
          </cell>
        </row>
        <row r="448">
          <cell r="A448">
            <v>4103</v>
          </cell>
          <cell r="B448" t="str">
            <v>MAIONESE SOYA SACHE 3KG</v>
          </cell>
          <cell r="C448">
            <v>3</v>
          </cell>
          <cell r="D448">
            <v>0</v>
          </cell>
          <cell r="E448">
            <v>3</v>
          </cell>
        </row>
        <row r="449">
          <cell r="A449">
            <v>3642</v>
          </cell>
          <cell r="B449" t="str">
            <v>MAIONESE SOYA SACHE CX24X200GR</v>
          </cell>
          <cell r="C449">
            <v>26</v>
          </cell>
          <cell r="D449">
            <v>0</v>
          </cell>
          <cell r="E449">
            <v>26</v>
          </cell>
        </row>
        <row r="450">
          <cell r="A450">
            <v>970</v>
          </cell>
          <cell r="B450" t="str">
            <v>MAIONESE TEMPERADA BOX DAJUDA 3KG</v>
          </cell>
          <cell r="C450">
            <v>25</v>
          </cell>
          <cell r="D450">
            <v>0</v>
          </cell>
          <cell r="E450">
            <v>25</v>
          </cell>
        </row>
        <row r="451">
          <cell r="A451">
            <v>1161</v>
          </cell>
          <cell r="B451" t="str">
            <v>MAIONESE TOP DOWN SALSARETTI 15X350GR</v>
          </cell>
          <cell r="C451">
            <v>30</v>
          </cell>
          <cell r="D451">
            <v>0</v>
          </cell>
          <cell r="E451">
            <v>30</v>
          </cell>
        </row>
        <row r="452">
          <cell r="A452">
            <v>4138</v>
          </cell>
          <cell r="B452" t="str">
            <v>MANDIOCA EM CUBOS RIPA 10X800GR</v>
          </cell>
          <cell r="C452">
            <v>106</v>
          </cell>
          <cell r="D452">
            <v>8</v>
          </cell>
          <cell r="E452">
            <v>98</v>
          </cell>
        </row>
        <row r="453">
          <cell r="A453">
            <v>642</v>
          </cell>
          <cell r="B453" t="str">
            <v>MANDIOCA NATURE SUPREME SEARA CX/15X600G</v>
          </cell>
          <cell r="C453">
            <v>1</v>
          </cell>
          <cell r="D453">
            <v>0</v>
          </cell>
          <cell r="E453">
            <v>1</v>
          </cell>
        </row>
        <row r="454">
          <cell r="A454">
            <v>1100</v>
          </cell>
          <cell r="B454" t="str">
            <v>MANDIOCA SUPREME SEARA NATURE 6X1,5KG</v>
          </cell>
          <cell r="C454">
            <v>2</v>
          </cell>
          <cell r="D454">
            <v>0</v>
          </cell>
          <cell r="E454">
            <v>2</v>
          </cell>
        </row>
        <row r="455">
          <cell r="A455">
            <v>371</v>
          </cell>
          <cell r="B455" t="str">
            <v>MANTEIGA CRISTAULAT CX\12X500GR</v>
          </cell>
          <cell r="C455">
            <v>400</v>
          </cell>
          <cell r="D455">
            <v>7</v>
          </cell>
          <cell r="E455">
            <v>393</v>
          </cell>
        </row>
        <row r="456">
          <cell r="A456">
            <v>370</v>
          </cell>
          <cell r="B456" t="str">
            <v>MANTEIGA CRISTAULAT CX\24X200GR</v>
          </cell>
          <cell r="C456">
            <v>4</v>
          </cell>
          <cell r="D456">
            <v>4</v>
          </cell>
          <cell r="E456">
            <v>0</v>
          </cell>
        </row>
        <row r="457">
          <cell r="A457">
            <v>369</v>
          </cell>
          <cell r="B457" t="str">
            <v>MARGARINA BALDE 50% CREMOSY  14,5 KG</v>
          </cell>
          <cell r="C457">
            <v>121</v>
          </cell>
          <cell r="D457">
            <v>1</v>
          </cell>
          <cell r="E457">
            <v>120</v>
          </cell>
        </row>
        <row r="458">
          <cell r="A458">
            <v>3844</v>
          </cell>
          <cell r="B458" t="str">
            <v>MARGARINA BALDE 60% PRIMOR 3KG</v>
          </cell>
          <cell r="C458">
            <v>154</v>
          </cell>
          <cell r="D458">
            <v>3</v>
          </cell>
          <cell r="E458">
            <v>151</v>
          </cell>
        </row>
        <row r="459">
          <cell r="A459">
            <v>367</v>
          </cell>
          <cell r="B459" t="str">
            <v>MARGARINA BALDE 75% DELICATA 15KG</v>
          </cell>
          <cell r="C459">
            <v>274</v>
          </cell>
          <cell r="D459">
            <v>19</v>
          </cell>
          <cell r="E459">
            <v>255</v>
          </cell>
        </row>
        <row r="460">
          <cell r="A460">
            <v>645</v>
          </cell>
          <cell r="B460" t="str">
            <v>MARGARINA BALDE 80% CUKIN 15 KG</v>
          </cell>
          <cell r="C460">
            <v>133</v>
          </cell>
          <cell r="D460">
            <v>3</v>
          </cell>
          <cell r="E460">
            <v>130</v>
          </cell>
        </row>
        <row r="461">
          <cell r="A461">
            <v>3773</v>
          </cell>
          <cell r="B461" t="str">
            <v>MARGARINA BALDE 80% ELOGIATA  15KG</v>
          </cell>
          <cell r="C461">
            <v>4</v>
          </cell>
          <cell r="D461">
            <v>0</v>
          </cell>
          <cell r="E461">
            <v>4</v>
          </cell>
        </row>
        <row r="462">
          <cell r="A462">
            <v>829</v>
          </cell>
          <cell r="B462" t="str">
            <v>MARGARINA CREMOSY CX/12X500GR 997874</v>
          </cell>
          <cell r="C462">
            <v>6</v>
          </cell>
          <cell r="D462">
            <v>1</v>
          </cell>
          <cell r="E462">
            <v>5</v>
          </cell>
        </row>
        <row r="463">
          <cell r="A463">
            <v>3765</v>
          </cell>
          <cell r="B463" t="str">
            <v>MARGARINA CREMOSY CX/24X250GR 997873</v>
          </cell>
          <cell r="C463">
            <v>9</v>
          </cell>
          <cell r="D463">
            <v>1</v>
          </cell>
          <cell r="E463">
            <v>8</v>
          </cell>
        </row>
        <row r="464">
          <cell r="A464">
            <v>646</v>
          </cell>
          <cell r="B464" t="str">
            <v>MARGARINA DELICATA CS CX/12X500GR 998518</v>
          </cell>
          <cell r="C464">
            <v>355</v>
          </cell>
          <cell r="D464">
            <v>3</v>
          </cell>
          <cell r="E464">
            <v>352</v>
          </cell>
        </row>
        <row r="465">
          <cell r="A465">
            <v>647</v>
          </cell>
          <cell r="B465" t="str">
            <v>MARGARINA DELICATA CS CX/24X250G  995581</v>
          </cell>
          <cell r="C465">
            <v>308</v>
          </cell>
          <cell r="D465">
            <v>5</v>
          </cell>
          <cell r="E465">
            <v>303</v>
          </cell>
        </row>
        <row r="466">
          <cell r="A466">
            <v>648</v>
          </cell>
          <cell r="B466" t="str">
            <v>MARGARINA DELICATA CS CX\12X1KG 998517</v>
          </cell>
          <cell r="C466">
            <v>78</v>
          </cell>
          <cell r="D466">
            <v>3</v>
          </cell>
          <cell r="E466">
            <v>75</v>
          </cell>
        </row>
        <row r="467">
          <cell r="A467">
            <v>2947</v>
          </cell>
          <cell r="B467" t="str">
            <v>MARGARINA DELICIA ALHO\CEBOLACX\12X500GR</v>
          </cell>
          <cell r="C467">
            <v>2</v>
          </cell>
          <cell r="D467">
            <v>0</v>
          </cell>
          <cell r="E467">
            <v>2</v>
          </cell>
        </row>
        <row r="468">
          <cell r="A468">
            <v>2946</v>
          </cell>
          <cell r="B468" t="str">
            <v>MARGARINA DELICIA CHEF ERVAS CX\12X500GR</v>
          </cell>
          <cell r="C468">
            <v>3</v>
          </cell>
          <cell r="D468">
            <v>0</v>
          </cell>
          <cell r="E468">
            <v>3</v>
          </cell>
        </row>
        <row r="469">
          <cell r="A469">
            <v>649</v>
          </cell>
          <cell r="B469" t="str">
            <v>MARGARINA DELICIA CX\12X1KG  997872</v>
          </cell>
          <cell r="C469">
            <v>936</v>
          </cell>
          <cell r="D469">
            <v>13</v>
          </cell>
          <cell r="E469">
            <v>923</v>
          </cell>
        </row>
        <row r="470">
          <cell r="A470">
            <v>650</v>
          </cell>
          <cell r="B470" t="str">
            <v>MARGARINA DELICIA CX\12X500GR 997871</v>
          </cell>
          <cell r="C470">
            <v>2200</v>
          </cell>
          <cell r="D470">
            <v>30</v>
          </cell>
          <cell r="E470">
            <v>2170</v>
          </cell>
        </row>
        <row r="471">
          <cell r="A471">
            <v>651</v>
          </cell>
          <cell r="B471" t="str">
            <v>MARGARINA DELICIA CX\24X250GR 997869</v>
          </cell>
          <cell r="C471">
            <v>1021</v>
          </cell>
          <cell r="D471">
            <v>30</v>
          </cell>
          <cell r="E471">
            <v>991</v>
          </cell>
        </row>
        <row r="472">
          <cell r="A472">
            <v>2870</v>
          </cell>
          <cell r="B472" t="str">
            <v>MARGARINA DELICIA S/SAL CX\12X500GR</v>
          </cell>
          <cell r="C472">
            <v>75</v>
          </cell>
          <cell r="D472">
            <v>3</v>
          </cell>
          <cell r="E472">
            <v>72</v>
          </cell>
        </row>
        <row r="473">
          <cell r="A473">
            <v>2869</v>
          </cell>
          <cell r="B473" t="str">
            <v>MARGARINA DELICIA SUPREMO CX12X500GR</v>
          </cell>
          <cell r="C473">
            <v>13</v>
          </cell>
          <cell r="D473">
            <v>2</v>
          </cell>
          <cell r="E473">
            <v>11</v>
          </cell>
        </row>
        <row r="474">
          <cell r="A474">
            <v>2871</v>
          </cell>
          <cell r="B474" t="str">
            <v>MARGARINA DELICIA TABLETE CX24X400GR</v>
          </cell>
          <cell r="C474">
            <v>2</v>
          </cell>
          <cell r="D474">
            <v>0</v>
          </cell>
          <cell r="E474">
            <v>2</v>
          </cell>
        </row>
        <row r="475">
          <cell r="A475">
            <v>654</v>
          </cell>
          <cell r="B475" t="str">
            <v>MARGARINA DORIANA C\SAL CX\12X1KG 56868</v>
          </cell>
          <cell r="C475">
            <v>266</v>
          </cell>
          <cell r="D475">
            <v>4</v>
          </cell>
          <cell r="E475">
            <v>262</v>
          </cell>
        </row>
        <row r="476">
          <cell r="A476">
            <v>652</v>
          </cell>
          <cell r="B476" t="str">
            <v>MARGARINA DORIANA C\SAL CX\12X500GR 5719</v>
          </cell>
          <cell r="C476">
            <v>646</v>
          </cell>
          <cell r="D476">
            <v>7</v>
          </cell>
          <cell r="E476">
            <v>639</v>
          </cell>
        </row>
        <row r="477">
          <cell r="A477">
            <v>653</v>
          </cell>
          <cell r="B477" t="str">
            <v>MARGARINA DORIANA C\SAL CX\24X250GR 5747</v>
          </cell>
          <cell r="C477">
            <v>445</v>
          </cell>
          <cell r="D477">
            <v>7</v>
          </cell>
          <cell r="E477">
            <v>438</v>
          </cell>
        </row>
        <row r="478">
          <cell r="A478">
            <v>366</v>
          </cell>
          <cell r="B478" t="str">
            <v>MARGARINA DORIANA LIGTH CX\12X500G 57194</v>
          </cell>
          <cell r="C478">
            <v>6</v>
          </cell>
          <cell r="D478">
            <v>0</v>
          </cell>
          <cell r="E478">
            <v>6</v>
          </cell>
        </row>
        <row r="479">
          <cell r="A479">
            <v>656</v>
          </cell>
          <cell r="B479" t="str">
            <v>MARGARINA DORIANA S/SAL CX\24X250GR 5776</v>
          </cell>
          <cell r="C479">
            <v>8</v>
          </cell>
          <cell r="D479">
            <v>0</v>
          </cell>
          <cell r="E479">
            <v>8</v>
          </cell>
        </row>
        <row r="480">
          <cell r="A480">
            <v>1895</v>
          </cell>
          <cell r="B480" t="str">
            <v>MARGARINA DORIANA S/SALCX\12X1KG</v>
          </cell>
          <cell r="C480">
            <v>10</v>
          </cell>
          <cell r="D480">
            <v>0</v>
          </cell>
          <cell r="E480">
            <v>10</v>
          </cell>
        </row>
        <row r="481">
          <cell r="A481">
            <v>362</v>
          </cell>
          <cell r="B481" t="str">
            <v>MASCARA SUINA FRICASA PIF PAF CX\10 KG</v>
          </cell>
          <cell r="C481">
            <v>100</v>
          </cell>
          <cell r="D481">
            <v>1</v>
          </cell>
          <cell r="E481">
            <v>99</v>
          </cell>
        </row>
        <row r="482">
          <cell r="A482">
            <v>2512</v>
          </cell>
          <cell r="B482" t="str">
            <v>MASSA PASTEL GRANDE VILA ITALIA  24X500GR</v>
          </cell>
          <cell r="C482">
            <v>309</v>
          </cell>
          <cell r="D482">
            <v>5</v>
          </cell>
          <cell r="E482">
            <v>304</v>
          </cell>
        </row>
        <row r="483">
          <cell r="A483">
            <v>3116</v>
          </cell>
          <cell r="B483" t="str">
            <v>MASSA PASTEL MEDIA VILA ITALIA 24X500GR</v>
          </cell>
          <cell r="C483">
            <v>847</v>
          </cell>
          <cell r="D483">
            <v>8</v>
          </cell>
          <cell r="E483">
            <v>839</v>
          </cell>
        </row>
        <row r="484">
          <cell r="A484">
            <v>361</v>
          </cell>
          <cell r="B484" t="str">
            <v>MASSA PASTEL PEQUENA VILA ITALIA 24X500GR</v>
          </cell>
          <cell r="C484">
            <v>56</v>
          </cell>
          <cell r="D484">
            <v>0</v>
          </cell>
          <cell r="E484">
            <v>56</v>
          </cell>
        </row>
        <row r="485">
          <cell r="A485">
            <v>3117</v>
          </cell>
          <cell r="B485" t="str">
            <v>MASSA PASTEL ROLO VILA ITALIA 24X500GR</v>
          </cell>
          <cell r="C485">
            <v>50</v>
          </cell>
          <cell r="D485">
            <v>3</v>
          </cell>
          <cell r="E485">
            <v>47</v>
          </cell>
        </row>
        <row r="486">
          <cell r="A486">
            <v>657</v>
          </cell>
          <cell r="B486" t="str">
            <v>MASSA PASTEL ROLO VILA ITALIA CX\12X1KG</v>
          </cell>
          <cell r="C486">
            <v>517</v>
          </cell>
          <cell r="D486">
            <v>10</v>
          </cell>
          <cell r="E486">
            <v>507</v>
          </cell>
        </row>
        <row r="487">
          <cell r="A487">
            <v>61</v>
          </cell>
          <cell r="B487" t="str">
            <v>MEIO DA ASA TEMP. IQF SEARA CX/12X1KG</v>
          </cell>
          <cell r="C487">
            <v>156</v>
          </cell>
          <cell r="D487">
            <v>2</v>
          </cell>
          <cell r="E487">
            <v>154</v>
          </cell>
        </row>
        <row r="488">
          <cell r="A488">
            <v>3184</v>
          </cell>
          <cell r="B488" t="str">
            <v>MEIO DA ASA TEMPERADO IQF LAR CX\20X700GR</v>
          </cell>
          <cell r="C488">
            <v>185</v>
          </cell>
          <cell r="D488">
            <v>1</v>
          </cell>
          <cell r="E488">
            <v>184</v>
          </cell>
        </row>
        <row r="489">
          <cell r="A489">
            <v>663</v>
          </cell>
          <cell r="B489" t="str">
            <v>MEIO DA ASA TEMPERADO PIF PAF CX\12X1KG</v>
          </cell>
          <cell r="C489">
            <v>80</v>
          </cell>
          <cell r="D489">
            <v>0</v>
          </cell>
          <cell r="E489">
            <v>80</v>
          </cell>
        </row>
        <row r="490">
          <cell r="A490">
            <v>833</v>
          </cell>
          <cell r="B490" t="str">
            <v>MILHO VERDE COPO OLE CX\12X120G</v>
          </cell>
          <cell r="C490">
            <v>681</v>
          </cell>
          <cell r="D490">
            <v>0</v>
          </cell>
          <cell r="E490">
            <v>681</v>
          </cell>
        </row>
        <row r="491">
          <cell r="A491">
            <v>834</v>
          </cell>
          <cell r="B491" t="str">
            <v>MILHO VERDE COPO OLE CX\12X170G</v>
          </cell>
          <cell r="C491">
            <v>915</v>
          </cell>
          <cell r="D491">
            <v>12</v>
          </cell>
          <cell r="E491">
            <v>903</v>
          </cell>
        </row>
        <row r="492">
          <cell r="A492">
            <v>4145</v>
          </cell>
          <cell r="B492" t="str">
            <v>MILHO VERDE LATAO PREDILECTA 1,5KG</v>
          </cell>
          <cell r="C492">
            <v>59</v>
          </cell>
          <cell r="D492">
            <v>43</v>
          </cell>
          <cell r="E492">
            <v>16</v>
          </cell>
        </row>
        <row r="493">
          <cell r="A493">
            <v>4329</v>
          </cell>
          <cell r="B493" t="str">
            <v>MILHO VERDE LATAO STELLA D.ORO 1,5KG</v>
          </cell>
          <cell r="C493">
            <v>9810</v>
          </cell>
          <cell r="D493">
            <v>323</v>
          </cell>
          <cell r="E493">
            <v>9487</v>
          </cell>
        </row>
        <row r="494">
          <cell r="A494">
            <v>2920</v>
          </cell>
          <cell r="B494" t="str">
            <v>MILHO VERDE LT PREDILECTA CX\24X170KG</v>
          </cell>
          <cell r="C494">
            <v>133</v>
          </cell>
          <cell r="D494">
            <v>0</v>
          </cell>
          <cell r="E494">
            <v>133</v>
          </cell>
        </row>
        <row r="495">
          <cell r="A495">
            <v>835</v>
          </cell>
          <cell r="B495" t="str">
            <v>MILHO VERDE LT STELLA D.ORO CX24X170G</v>
          </cell>
          <cell r="C495">
            <v>846</v>
          </cell>
          <cell r="D495">
            <v>56</v>
          </cell>
          <cell r="E495">
            <v>790</v>
          </cell>
        </row>
        <row r="496">
          <cell r="A496">
            <v>4166</v>
          </cell>
          <cell r="B496" t="str">
            <v>MINI HAMB BOV/SUI SEARA 9X300GR</v>
          </cell>
          <cell r="C496">
            <v>11</v>
          </cell>
          <cell r="D496">
            <v>0</v>
          </cell>
          <cell r="E496">
            <v>11</v>
          </cell>
        </row>
        <row r="497">
          <cell r="A497">
            <v>4075</v>
          </cell>
          <cell r="B497" t="str">
            <v>MINI HOT DOG COREANO NETFLIX SEARA 12X245G</v>
          </cell>
          <cell r="C497">
            <v>9</v>
          </cell>
          <cell r="D497">
            <v>1</v>
          </cell>
          <cell r="E497">
            <v>8</v>
          </cell>
        </row>
        <row r="498">
          <cell r="A498">
            <v>666</v>
          </cell>
          <cell r="B498" t="str">
            <v>MISTURA CONDENSADA TRIANGULO CX/27X395GR</v>
          </cell>
          <cell r="C498">
            <v>91</v>
          </cell>
          <cell r="D498">
            <v>7</v>
          </cell>
          <cell r="E498">
            <v>84</v>
          </cell>
        </row>
        <row r="499">
          <cell r="A499">
            <v>35</v>
          </cell>
          <cell r="B499" t="str">
            <v>MOELA DE FRANGO BANDEJA RIVELLI CX12X1KG</v>
          </cell>
          <cell r="C499">
            <v>83</v>
          </cell>
          <cell r="D499">
            <v>3</v>
          </cell>
          <cell r="E499">
            <v>80</v>
          </cell>
        </row>
        <row r="500">
          <cell r="A500">
            <v>34</v>
          </cell>
          <cell r="B500" t="str">
            <v>MOELA DE FRANGO PCT RIVELLI CX/15KG</v>
          </cell>
          <cell r="C500">
            <v>172</v>
          </cell>
          <cell r="D500">
            <v>0</v>
          </cell>
          <cell r="E500">
            <v>172</v>
          </cell>
        </row>
        <row r="501">
          <cell r="A501">
            <v>1158</v>
          </cell>
          <cell r="B501" t="str">
            <v>MOLHO AZEITONA SACHE SALSARETTI 32X300GR</v>
          </cell>
          <cell r="C501">
            <v>50</v>
          </cell>
          <cell r="D501">
            <v>0</v>
          </cell>
          <cell r="E501">
            <v>50</v>
          </cell>
        </row>
        <row r="502">
          <cell r="A502">
            <v>4048</v>
          </cell>
          <cell r="B502" t="str">
            <v>MOLHO BARBECUE BILLY DJAN 50X35G</v>
          </cell>
          <cell r="C502">
            <v>39</v>
          </cell>
          <cell r="D502">
            <v>0</v>
          </cell>
          <cell r="E502">
            <v>39</v>
          </cell>
        </row>
        <row r="503">
          <cell r="A503">
            <v>668</v>
          </cell>
          <cell r="B503" t="str">
            <v>MOLHO BARBECUE D'MAIS  SACHE CX\150X7G</v>
          </cell>
          <cell r="C503">
            <v>73</v>
          </cell>
          <cell r="D503">
            <v>0</v>
          </cell>
          <cell r="E503">
            <v>73</v>
          </cell>
        </row>
        <row r="504">
          <cell r="A504">
            <v>183</v>
          </cell>
          <cell r="B504" t="str">
            <v>MOLHO BARBECUE GALAO DAJUDA 3,6KG</v>
          </cell>
          <cell r="C504">
            <v>146</v>
          </cell>
          <cell r="D504">
            <v>1</v>
          </cell>
          <cell r="E504">
            <v>145</v>
          </cell>
        </row>
        <row r="505">
          <cell r="A505">
            <v>1154</v>
          </cell>
          <cell r="B505" t="str">
            <v>MOLHO BARBECUE SACHE SALSARETTI 144X7GR</v>
          </cell>
          <cell r="C505">
            <v>4</v>
          </cell>
          <cell r="D505">
            <v>1</v>
          </cell>
          <cell r="E505">
            <v>3</v>
          </cell>
        </row>
        <row r="506">
          <cell r="A506">
            <v>1156</v>
          </cell>
          <cell r="B506" t="str">
            <v>MOLHO BOLONHESA SACHE SALSARETTI 32X300G</v>
          </cell>
          <cell r="C506">
            <v>32</v>
          </cell>
          <cell r="D506">
            <v>0</v>
          </cell>
          <cell r="E506">
            <v>32</v>
          </cell>
        </row>
        <row r="507">
          <cell r="A507">
            <v>1157</v>
          </cell>
          <cell r="B507" t="str">
            <v>MOLHO MANJERICAO SACHE SALSARETTI 32X300</v>
          </cell>
          <cell r="C507">
            <v>5</v>
          </cell>
          <cell r="D507">
            <v>0</v>
          </cell>
          <cell r="E507">
            <v>5</v>
          </cell>
        </row>
        <row r="508">
          <cell r="A508">
            <v>4044</v>
          </cell>
          <cell r="B508" t="str">
            <v>MOLHO PICLES BILLY DJAN 50X35G</v>
          </cell>
          <cell r="C508">
            <v>21</v>
          </cell>
          <cell r="D508">
            <v>0</v>
          </cell>
          <cell r="E508">
            <v>21</v>
          </cell>
        </row>
        <row r="509">
          <cell r="A509">
            <v>1159</v>
          </cell>
          <cell r="B509" t="str">
            <v>MOLHO PIZZA SACHE SALSARETTI 32X300GR</v>
          </cell>
          <cell r="C509">
            <v>15</v>
          </cell>
          <cell r="D509">
            <v>0</v>
          </cell>
          <cell r="E509">
            <v>15</v>
          </cell>
        </row>
        <row r="510">
          <cell r="A510">
            <v>2646</v>
          </cell>
          <cell r="B510" t="str">
            <v>MOLHO TOMATE HOT DOG STELLA DORO SACHE 8X1,7</v>
          </cell>
          <cell r="C510">
            <v>360</v>
          </cell>
          <cell r="D510">
            <v>0</v>
          </cell>
          <cell r="E510">
            <v>360</v>
          </cell>
        </row>
        <row r="511">
          <cell r="A511">
            <v>188</v>
          </cell>
          <cell r="B511" t="str">
            <v>MOLHO TOMATE PIZZA STELLA DORO SACHE CX/8X1,7</v>
          </cell>
          <cell r="C511">
            <v>720</v>
          </cell>
          <cell r="D511">
            <v>36</v>
          </cell>
          <cell r="E511">
            <v>684</v>
          </cell>
        </row>
        <row r="512">
          <cell r="A512">
            <v>2922</v>
          </cell>
          <cell r="B512" t="str">
            <v>MOLHO TOMATE PREDILECTA CX32X300GR</v>
          </cell>
          <cell r="C512">
            <v>188</v>
          </cell>
          <cell r="D512">
            <v>2</v>
          </cell>
          <cell r="E512">
            <v>186</v>
          </cell>
        </row>
        <row r="513">
          <cell r="A513">
            <v>1163</v>
          </cell>
          <cell r="B513" t="str">
            <v>MOLHO TOMATE SACHE SALSARETTI 36X300GR</v>
          </cell>
          <cell r="C513">
            <v>422</v>
          </cell>
          <cell r="D513">
            <v>4</v>
          </cell>
          <cell r="E513">
            <v>418</v>
          </cell>
        </row>
        <row r="514">
          <cell r="A514">
            <v>187</v>
          </cell>
          <cell r="B514" t="str">
            <v>MOLHO TOMATE SACHE STELLA CX\32X300G</v>
          </cell>
          <cell r="C514">
            <v>385</v>
          </cell>
          <cell r="D514">
            <v>14</v>
          </cell>
          <cell r="E514">
            <v>371</v>
          </cell>
        </row>
        <row r="515">
          <cell r="A515">
            <v>186</v>
          </cell>
          <cell r="B515" t="str">
            <v>MOLHO TOMATE SALSARETTI SACHE CX6X1,7KG</v>
          </cell>
          <cell r="C515">
            <v>126</v>
          </cell>
          <cell r="D515">
            <v>13</v>
          </cell>
          <cell r="E515">
            <v>113</v>
          </cell>
        </row>
        <row r="516">
          <cell r="A516">
            <v>837</v>
          </cell>
          <cell r="B516" t="str">
            <v>MOLHO TOMATE STELLA DORO SACHE 8X1,7KG</v>
          </cell>
          <cell r="C516">
            <v>352</v>
          </cell>
          <cell r="D516">
            <v>30</v>
          </cell>
          <cell r="E516">
            <v>322</v>
          </cell>
        </row>
        <row r="517">
          <cell r="A517">
            <v>4045</v>
          </cell>
          <cell r="B517" t="str">
            <v>MOLHO VERDE BILLY DJAN 50X35G</v>
          </cell>
          <cell r="C517">
            <v>35</v>
          </cell>
          <cell r="D517">
            <v>0</v>
          </cell>
          <cell r="E517">
            <v>35</v>
          </cell>
        </row>
        <row r="518">
          <cell r="A518">
            <v>670</v>
          </cell>
          <cell r="B518" t="str">
            <v>MORTADELA BOLONHA GOURMET SEARA PEÇA</v>
          </cell>
          <cell r="C518">
            <v>1598</v>
          </cell>
          <cell r="D518">
            <v>53</v>
          </cell>
          <cell r="E518">
            <v>1545</v>
          </cell>
        </row>
        <row r="519">
          <cell r="A519">
            <v>671</v>
          </cell>
          <cell r="B519" t="str">
            <v>MORTADELA CONFIANÇA 15X400GR</v>
          </cell>
          <cell r="C519">
            <v>213</v>
          </cell>
          <cell r="D519">
            <v>11</v>
          </cell>
          <cell r="E519">
            <v>202</v>
          </cell>
        </row>
        <row r="520">
          <cell r="A520">
            <v>672</v>
          </cell>
          <cell r="B520" t="str">
            <v>MORTADELA CONFIANÇA CX\4X3,5KG</v>
          </cell>
          <cell r="C520">
            <v>7926</v>
          </cell>
          <cell r="D520">
            <v>264</v>
          </cell>
          <cell r="E520">
            <v>7662</v>
          </cell>
        </row>
        <row r="521">
          <cell r="A521">
            <v>673</v>
          </cell>
          <cell r="B521" t="str">
            <v>MORTADELA CONFIANÇA CX\6X1KG</v>
          </cell>
          <cell r="C521">
            <v>382</v>
          </cell>
          <cell r="D521">
            <v>11</v>
          </cell>
          <cell r="E521">
            <v>371</v>
          </cell>
        </row>
        <row r="522">
          <cell r="A522">
            <v>676</v>
          </cell>
          <cell r="B522" t="str">
            <v>MORTADELA FRANGO PIF PAF CX\23X400GR</v>
          </cell>
          <cell r="C522">
            <v>25</v>
          </cell>
          <cell r="D522">
            <v>1</v>
          </cell>
          <cell r="E522">
            <v>24</v>
          </cell>
        </row>
        <row r="523">
          <cell r="A523">
            <v>278</v>
          </cell>
          <cell r="B523" t="str">
            <v>MORTADELA FRANGO SEARA 12X400GR 9164</v>
          </cell>
          <cell r="C523">
            <v>17</v>
          </cell>
          <cell r="D523">
            <v>0</v>
          </cell>
          <cell r="E523">
            <v>17</v>
          </cell>
        </row>
        <row r="524">
          <cell r="A524">
            <v>2591</v>
          </cell>
          <cell r="B524" t="str">
            <v>MORTADELA ITALIANA SEARA  471  4,55KG</v>
          </cell>
          <cell r="C524">
            <v>1</v>
          </cell>
          <cell r="D524">
            <v>0</v>
          </cell>
          <cell r="E524">
            <v>1</v>
          </cell>
        </row>
        <row r="525">
          <cell r="A525">
            <v>899</v>
          </cell>
          <cell r="B525" t="str">
            <v>MORTADELA LEBON  CX\4X3,250KG</v>
          </cell>
          <cell r="C525">
            <v>67</v>
          </cell>
          <cell r="D525">
            <v>4</v>
          </cell>
          <cell r="E525">
            <v>63</v>
          </cell>
        </row>
        <row r="526">
          <cell r="A526">
            <v>679</v>
          </cell>
          <cell r="B526" t="str">
            <v>MORTADELA PIF PAF CX\23X400GR</v>
          </cell>
          <cell r="C526">
            <v>15</v>
          </cell>
          <cell r="D526">
            <v>1</v>
          </cell>
          <cell r="E526">
            <v>14</v>
          </cell>
        </row>
        <row r="527">
          <cell r="A527">
            <v>972</v>
          </cell>
          <cell r="B527" t="str">
            <v>MOSTARDA D´AJUDA GALAO  3,2KG</v>
          </cell>
          <cell r="C527">
            <v>126</v>
          </cell>
          <cell r="D527">
            <v>1</v>
          </cell>
          <cell r="E527">
            <v>125</v>
          </cell>
        </row>
        <row r="528">
          <cell r="A528">
            <v>974</v>
          </cell>
          <cell r="B528" t="str">
            <v>MOSTARDA SACHE DAJUDA  192 X7G</v>
          </cell>
          <cell r="C528">
            <v>244</v>
          </cell>
          <cell r="D528">
            <v>0</v>
          </cell>
          <cell r="E528">
            <v>244</v>
          </cell>
        </row>
        <row r="529">
          <cell r="A529">
            <v>1155</v>
          </cell>
          <cell r="B529" t="str">
            <v>MOSTARDA SACHÊ SALSARETTI 144X5GR</v>
          </cell>
          <cell r="C529">
            <v>22</v>
          </cell>
          <cell r="D529">
            <v>0</v>
          </cell>
          <cell r="E529">
            <v>22</v>
          </cell>
        </row>
        <row r="530">
          <cell r="A530">
            <v>683</v>
          </cell>
          <cell r="B530" t="str">
            <v>MUSCULO BOVINO CARA BRANCA KG</v>
          </cell>
          <cell r="C530">
            <v>405.97</v>
          </cell>
          <cell r="D530">
            <v>0</v>
          </cell>
          <cell r="E530">
            <v>405.97</v>
          </cell>
        </row>
        <row r="531">
          <cell r="A531">
            <v>4087</v>
          </cell>
          <cell r="B531" t="str">
            <v>MUSCULO BOVINO FRIGODIAS KG</v>
          </cell>
          <cell r="C531">
            <v>4644.4799999999996</v>
          </cell>
          <cell r="D531">
            <v>0</v>
          </cell>
          <cell r="E531">
            <v>4644.4799999999996</v>
          </cell>
        </row>
        <row r="532">
          <cell r="A532">
            <v>4233</v>
          </cell>
          <cell r="B532" t="str">
            <v>MUSCULO DIANTEIRO CARA BRANCA</v>
          </cell>
          <cell r="C532">
            <v>98.33</v>
          </cell>
          <cell r="D532">
            <v>0</v>
          </cell>
          <cell r="E532">
            <v>98.33</v>
          </cell>
        </row>
        <row r="533">
          <cell r="A533">
            <v>386</v>
          </cell>
          <cell r="B533" t="str">
            <v>MUSSARELA CRISTAULAT KG</v>
          </cell>
          <cell r="C533">
            <v>27439.15</v>
          </cell>
          <cell r="D533">
            <v>956.63</v>
          </cell>
          <cell r="E533">
            <v>26482.53</v>
          </cell>
        </row>
        <row r="534">
          <cell r="A534">
            <v>356</v>
          </cell>
          <cell r="B534" t="str">
            <v>MUSSARELA MINI CRISTAULAT KG</v>
          </cell>
          <cell r="C534">
            <v>38.049999999999997</v>
          </cell>
          <cell r="D534">
            <v>10.01</v>
          </cell>
          <cell r="E534">
            <v>28.04</v>
          </cell>
        </row>
        <row r="535">
          <cell r="A535">
            <v>4266</v>
          </cell>
          <cell r="B535" t="str">
            <v>MUSSARELA MINI SCALA 400GR</v>
          </cell>
          <cell r="C535">
            <v>18</v>
          </cell>
          <cell r="D535">
            <v>0</v>
          </cell>
          <cell r="E535">
            <v>18</v>
          </cell>
        </row>
        <row r="536">
          <cell r="A536">
            <v>3523</v>
          </cell>
          <cell r="B536" t="str">
            <v>MUSSARELA SANTA CRUZ KG</v>
          </cell>
          <cell r="C536">
            <v>1462.6</v>
          </cell>
          <cell r="D536">
            <v>17.5</v>
          </cell>
          <cell r="E536">
            <v>1445.1</v>
          </cell>
        </row>
        <row r="537">
          <cell r="A537">
            <v>3626</v>
          </cell>
          <cell r="B537" t="str">
            <v>NUTRIBOM ARROZ CX 24X180G</v>
          </cell>
          <cell r="C537">
            <v>65</v>
          </cell>
          <cell r="D537">
            <v>0</v>
          </cell>
          <cell r="E537">
            <v>65</v>
          </cell>
        </row>
        <row r="538">
          <cell r="A538">
            <v>3902</v>
          </cell>
          <cell r="B538" t="str">
            <v>NUTRIBOM AVEIA E ARROZ 12X600G</v>
          </cell>
          <cell r="C538">
            <v>1</v>
          </cell>
          <cell r="D538">
            <v>0</v>
          </cell>
          <cell r="E538">
            <v>1</v>
          </cell>
        </row>
        <row r="539">
          <cell r="A539">
            <v>3627</v>
          </cell>
          <cell r="B539" t="str">
            <v>NUTRIBOM AVEIA E ARROZ CX 24X180G</v>
          </cell>
          <cell r="C539">
            <v>64</v>
          </cell>
          <cell r="D539">
            <v>0</v>
          </cell>
          <cell r="E539">
            <v>64</v>
          </cell>
        </row>
        <row r="540">
          <cell r="A540">
            <v>3628</v>
          </cell>
          <cell r="B540" t="str">
            <v>NUTRIBOM BANANA MACA 24X180G</v>
          </cell>
          <cell r="C540">
            <v>70</v>
          </cell>
          <cell r="D540">
            <v>0</v>
          </cell>
          <cell r="E540">
            <v>70</v>
          </cell>
        </row>
        <row r="541">
          <cell r="A541">
            <v>3629</v>
          </cell>
          <cell r="B541" t="str">
            <v>NUTRIBOM MILHO 24X180G</v>
          </cell>
          <cell r="C541">
            <v>108</v>
          </cell>
          <cell r="D541">
            <v>0</v>
          </cell>
          <cell r="E541">
            <v>108</v>
          </cell>
        </row>
        <row r="542">
          <cell r="A542">
            <v>3903</v>
          </cell>
          <cell r="B542" t="str">
            <v>NUTRIBOM MULTICEREAIS 12X600G</v>
          </cell>
          <cell r="C542">
            <v>1</v>
          </cell>
          <cell r="D542">
            <v>1</v>
          </cell>
          <cell r="E542">
            <v>0</v>
          </cell>
        </row>
        <row r="543">
          <cell r="A543">
            <v>3630</v>
          </cell>
          <cell r="B543" t="str">
            <v>NUTRIBOM MULTICEREAIS 24X180G</v>
          </cell>
          <cell r="C543">
            <v>163</v>
          </cell>
          <cell r="D543">
            <v>0</v>
          </cell>
          <cell r="E543">
            <v>163</v>
          </cell>
        </row>
        <row r="544">
          <cell r="A544">
            <v>3775</v>
          </cell>
          <cell r="B544" t="str">
            <v>OLEO DE ALGODAO BALDE ELOGIATA 14KG</v>
          </cell>
          <cell r="C544">
            <v>83</v>
          </cell>
          <cell r="D544">
            <v>2</v>
          </cell>
          <cell r="E544">
            <v>81</v>
          </cell>
        </row>
        <row r="545">
          <cell r="A545">
            <v>4025</v>
          </cell>
          <cell r="B545" t="str">
            <v>OLEO DE ALGODAO ELOGIATA CX\20X900ML</v>
          </cell>
          <cell r="C545">
            <v>11</v>
          </cell>
          <cell r="D545">
            <v>0</v>
          </cell>
          <cell r="E545">
            <v>11</v>
          </cell>
        </row>
        <row r="546">
          <cell r="A546">
            <v>355</v>
          </cell>
          <cell r="B546" t="str">
            <v>OLEO DE SOJA LIZA 6X900ML PET</v>
          </cell>
          <cell r="C546">
            <v>1235</v>
          </cell>
          <cell r="D546">
            <v>7</v>
          </cell>
          <cell r="E546">
            <v>1228</v>
          </cell>
        </row>
        <row r="547">
          <cell r="A547">
            <v>354</v>
          </cell>
          <cell r="B547" t="str">
            <v>OLEO DE SOJA VITALIV CX/20X900ML PET</v>
          </cell>
          <cell r="C547">
            <v>2168</v>
          </cell>
          <cell r="D547">
            <v>37</v>
          </cell>
          <cell r="E547">
            <v>2131</v>
          </cell>
        </row>
        <row r="548">
          <cell r="A548">
            <v>1020</v>
          </cell>
          <cell r="B548" t="str">
            <v>PALETA BOVINA MATOSO KG</v>
          </cell>
          <cell r="C548">
            <v>1536.28</v>
          </cell>
          <cell r="D548">
            <v>0</v>
          </cell>
          <cell r="E548">
            <v>1536.28</v>
          </cell>
        </row>
        <row r="549">
          <cell r="A549">
            <v>98</v>
          </cell>
          <cell r="B549" t="str">
            <v>PALETA BOVINA PCT MATOSO KG</v>
          </cell>
          <cell r="C549">
            <v>960.11</v>
          </cell>
          <cell r="D549">
            <v>0</v>
          </cell>
          <cell r="E549">
            <v>960.11</v>
          </cell>
        </row>
        <row r="550">
          <cell r="A550">
            <v>3823</v>
          </cell>
          <cell r="B550" t="str">
            <v>PALETA BOVINA PCT PALADAR KG</v>
          </cell>
          <cell r="C550">
            <v>0.08</v>
          </cell>
          <cell r="D550">
            <v>0</v>
          </cell>
          <cell r="E550">
            <v>0.08</v>
          </cell>
        </row>
        <row r="551">
          <cell r="A551">
            <v>1213</v>
          </cell>
          <cell r="B551" t="str">
            <v>PALETA BOVINO FRIGODIAS KG</v>
          </cell>
          <cell r="C551">
            <v>0.05</v>
          </cell>
          <cell r="D551">
            <v>0</v>
          </cell>
          <cell r="E551">
            <v>0.05</v>
          </cell>
        </row>
        <row r="552">
          <cell r="A552">
            <v>2604</v>
          </cell>
          <cell r="B552" t="str">
            <v>PALETA SUINA ATALIA KG</v>
          </cell>
          <cell r="C552">
            <v>0.06</v>
          </cell>
          <cell r="D552">
            <v>0</v>
          </cell>
          <cell r="E552">
            <v>0.06</v>
          </cell>
        </row>
        <row r="553">
          <cell r="A553">
            <v>125</v>
          </cell>
          <cell r="B553" t="str">
            <v>PALETA SUINA DICASA  KG</v>
          </cell>
          <cell r="C553">
            <v>94.79</v>
          </cell>
          <cell r="D553">
            <v>0</v>
          </cell>
          <cell r="E553">
            <v>94.79</v>
          </cell>
        </row>
        <row r="554">
          <cell r="A554">
            <v>126</v>
          </cell>
          <cell r="B554" t="str">
            <v>PALETA SUINA FRIGODIAS KG</v>
          </cell>
          <cell r="C554">
            <v>3798.81</v>
          </cell>
          <cell r="D554">
            <v>300</v>
          </cell>
          <cell r="E554">
            <v>3498.81</v>
          </cell>
        </row>
        <row r="555">
          <cell r="A555">
            <v>1631</v>
          </cell>
          <cell r="B555" t="str">
            <v>PALETA SUINA SUINCO KG</v>
          </cell>
          <cell r="C555">
            <v>0</v>
          </cell>
          <cell r="D555">
            <v>0</v>
          </cell>
          <cell r="E555">
            <v>0</v>
          </cell>
        </row>
        <row r="556">
          <cell r="A556">
            <v>1899</v>
          </cell>
          <cell r="B556" t="str">
            <v>PANCETA RECHE SEARA GOURMET</v>
          </cell>
          <cell r="C556">
            <v>9.07</v>
          </cell>
          <cell r="D556">
            <v>0</v>
          </cell>
          <cell r="E556">
            <v>9.07</v>
          </cell>
        </row>
        <row r="557">
          <cell r="A557">
            <v>1901</v>
          </cell>
          <cell r="B557" t="str">
            <v>PANELINHA ARROZ CARRETEIRO SEARA 12X300G</v>
          </cell>
          <cell r="C557">
            <v>4</v>
          </cell>
          <cell r="D557">
            <v>0</v>
          </cell>
          <cell r="E557">
            <v>4</v>
          </cell>
        </row>
        <row r="558">
          <cell r="A558">
            <v>1902</v>
          </cell>
          <cell r="B558" t="str">
            <v>PANELINHA C.MANDIOCA FRANGO SEARA 12X300</v>
          </cell>
          <cell r="C558">
            <v>5</v>
          </cell>
          <cell r="D558">
            <v>0</v>
          </cell>
          <cell r="E558">
            <v>5</v>
          </cell>
        </row>
        <row r="559">
          <cell r="A559">
            <v>1903</v>
          </cell>
          <cell r="B559" t="str">
            <v>PANELINHA CALDO FEIJAO C/BACON  12X300GR</v>
          </cell>
          <cell r="C559">
            <v>5</v>
          </cell>
          <cell r="D559">
            <v>0</v>
          </cell>
          <cell r="E559">
            <v>5</v>
          </cell>
        </row>
        <row r="560">
          <cell r="A560">
            <v>1904</v>
          </cell>
          <cell r="B560" t="str">
            <v>PANELINHA CALDO VERDE CALAB.SEARA 12X300</v>
          </cell>
          <cell r="C560">
            <v>4</v>
          </cell>
          <cell r="D560">
            <v>0</v>
          </cell>
          <cell r="E560">
            <v>4</v>
          </cell>
        </row>
        <row r="561">
          <cell r="A561">
            <v>1894</v>
          </cell>
          <cell r="B561" t="str">
            <v>PANELINHA ESCONDIDINHO CARNE MOIDA SEARA 12X300GR</v>
          </cell>
          <cell r="C561">
            <v>5</v>
          </cell>
          <cell r="D561">
            <v>0</v>
          </cell>
          <cell r="E561">
            <v>5</v>
          </cell>
        </row>
        <row r="562">
          <cell r="A562">
            <v>1906</v>
          </cell>
          <cell r="B562" t="str">
            <v>PANELINHA FEIJOADA C\CALABRESA SEARA 12X300GR</v>
          </cell>
          <cell r="C562">
            <v>5</v>
          </cell>
          <cell r="D562">
            <v>0</v>
          </cell>
          <cell r="E562">
            <v>5</v>
          </cell>
        </row>
        <row r="563">
          <cell r="A563">
            <v>1905</v>
          </cell>
          <cell r="B563" t="str">
            <v>PANELINHA FRICASSE FRANGO SEARA 12X300GR</v>
          </cell>
          <cell r="C563">
            <v>2</v>
          </cell>
          <cell r="D563">
            <v>0</v>
          </cell>
          <cell r="E563">
            <v>2</v>
          </cell>
        </row>
        <row r="564">
          <cell r="A564">
            <v>840</v>
          </cell>
          <cell r="B564" t="str">
            <v>PAO ALHO  PIF PAF CX\12X300GR</v>
          </cell>
          <cell r="C564">
            <v>50</v>
          </cell>
          <cell r="D564">
            <v>0</v>
          </cell>
          <cell r="E564">
            <v>50</v>
          </cell>
        </row>
        <row r="565">
          <cell r="A565">
            <v>3672</v>
          </cell>
          <cell r="B565" t="str">
            <v>PAO DE QUEIJO BISCOITO PROVOLONE FORNERIA 5X2KG</v>
          </cell>
          <cell r="C565">
            <v>30</v>
          </cell>
          <cell r="D565">
            <v>2</v>
          </cell>
          <cell r="E565">
            <v>28</v>
          </cell>
        </row>
        <row r="566">
          <cell r="A566">
            <v>3995</v>
          </cell>
          <cell r="B566" t="str">
            <v>PAO DE QUEIJO C\CARNE SECA FORNERIA CX\20X400GR</v>
          </cell>
          <cell r="C566">
            <v>9</v>
          </cell>
          <cell r="D566">
            <v>0</v>
          </cell>
          <cell r="E566">
            <v>9</v>
          </cell>
        </row>
        <row r="567">
          <cell r="A567">
            <v>3592</v>
          </cell>
          <cell r="B567" t="str">
            <v>PAO DE QUEIJO C\FRANGO FORNERIA CX\20X400GR</v>
          </cell>
          <cell r="C567">
            <v>23</v>
          </cell>
          <cell r="D567">
            <v>0</v>
          </cell>
          <cell r="E567">
            <v>23</v>
          </cell>
        </row>
        <row r="568">
          <cell r="A568">
            <v>3594</v>
          </cell>
          <cell r="B568" t="str">
            <v>PAO DE QUEIJO C\REQUEIJAO FORNERIA CX\20X400GR</v>
          </cell>
          <cell r="C568">
            <v>104</v>
          </cell>
          <cell r="D568">
            <v>1</v>
          </cell>
          <cell r="E568">
            <v>103</v>
          </cell>
        </row>
        <row r="569">
          <cell r="A569">
            <v>3591</v>
          </cell>
          <cell r="B569" t="str">
            <v>PAO DE QUEIJO COQUETEL FORNERIA 4X2KG</v>
          </cell>
          <cell r="C569">
            <v>44</v>
          </cell>
          <cell r="D569">
            <v>0</v>
          </cell>
          <cell r="E569">
            <v>44</v>
          </cell>
        </row>
        <row r="570">
          <cell r="A570">
            <v>276</v>
          </cell>
          <cell r="B570" t="str">
            <v>PAO DE QUEIJO GOURMET SEARA CX/32X300G</v>
          </cell>
          <cell r="C570">
            <v>2</v>
          </cell>
          <cell r="D570">
            <v>0</v>
          </cell>
          <cell r="E570">
            <v>2</v>
          </cell>
        </row>
        <row r="571">
          <cell r="A571">
            <v>3674</v>
          </cell>
          <cell r="B571" t="str">
            <v>PAO DE QUEIJO LANCHE 100 GR FORNERIA  2X4KG</v>
          </cell>
          <cell r="C571">
            <v>41</v>
          </cell>
          <cell r="D571">
            <v>8</v>
          </cell>
          <cell r="E571">
            <v>33</v>
          </cell>
        </row>
        <row r="572">
          <cell r="A572">
            <v>3031</v>
          </cell>
          <cell r="B572" t="str">
            <v>PAO DE QUEIJO LANCHE 80GR FORNERIA CX\4X2KG</v>
          </cell>
          <cell r="C572">
            <v>4</v>
          </cell>
          <cell r="D572">
            <v>4</v>
          </cell>
          <cell r="E572">
            <v>0</v>
          </cell>
        </row>
        <row r="573">
          <cell r="A573">
            <v>349</v>
          </cell>
          <cell r="B573" t="str">
            <v>PAO DE QUEIJO LEBON CX\32X300GR</v>
          </cell>
          <cell r="C573">
            <v>26</v>
          </cell>
          <cell r="D573">
            <v>0</v>
          </cell>
          <cell r="E573">
            <v>26</v>
          </cell>
        </row>
        <row r="574">
          <cell r="A574">
            <v>3590</v>
          </cell>
          <cell r="B574" t="str">
            <v>PAO DE QUEIJO MINI BISCOITO DE PROVOLONE FORNERIA 8X1KG</v>
          </cell>
          <cell r="C574">
            <v>30</v>
          </cell>
          <cell r="D574">
            <v>2</v>
          </cell>
          <cell r="E574">
            <v>28</v>
          </cell>
        </row>
        <row r="575">
          <cell r="A575">
            <v>2634</v>
          </cell>
          <cell r="B575" t="str">
            <v>PAO DE QUEIJO REZENDE CX/12X900GR</v>
          </cell>
          <cell r="C575">
            <v>6</v>
          </cell>
          <cell r="D575">
            <v>0</v>
          </cell>
          <cell r="E575">
            <v>6</v>
          </cell>
        </row>
        <row r="576">
          <cell r="A576">
            <v>2633</v>
          </cell>
          <cell r="B576" t="str">
            <v>PAO DE QUEIJO REZENDE CX/32X300GR</v>
          </cell>
          <cell r="C576">
            <v>5</v>
          </cell>
          <cell r="D576">
            <v>0</v>
          </cell>
          <cell r="E576">
            <v>5</v>
          </cell>
        </row>
        <row r="577">
          <cell r="A577">
            <v>3643</v>
          </cell>
          <cell r="B577" t="str">
            <v>PAO DE QUEIJO TRADICIONA SEARA CX/10X1KG</v>
          </cell>
          <cell r="C577">
            <v>9</v>
          </cell>
          <cell r="D577">
            <v>0</v>
          </cell>
          <cell r="E577">
            <v>9</v>
          </cell>
        </row>
        <row r="578">
          <cell r="A578">
            <v>3029</v>
          </cell>
          <cell r="B578" t="str">
            <v>PAO DE QUEIJO TRADICIONAL FORNERIA CX\20X400GR</v>
          </cell>
          <cell r="C578">
            <v>58</v>
          </cell>
          <cell r="D578">
            <v>6</v>
          </cell>
          <cell r="E578">
            <v>52</v>
          </cell>
        </row>
        <row r="579">
          <cell r="A579">
            <v>4165</v>
          </cell>
          <cell r="B579" t="str">
            <v>PAO DE QUEIJO USAR NE OUTRO</v>
          </cell>
          <cell r="C579">
            <v>62</v>
          </cell>
          <cell r="D579">
            <v>0</v>
          </cell>
          <cell r="E579">
            <v>62</v>
          </cell>
        </row>
        <row r="580">
          <cell r="A580">
            <v>1164</v>
          </cell>
          <cell r="B580" t="str">
            <v>PASSATA RUSTICA SACHE SALSARETTI 32X300G</v>
          </cell>
          <cell r="C580">
            <v>8</v>
          </cell>
          <cell r="D580">
            <v>0</v>
          </cell>
          <cell r="E580">
            <v>8</v>
          </cell>
        </row>
        <row r="581">
          <cell r="A581">
            <v>4133</v>
          </cell>
          <cell r="B581" t="str">
            <v>PASTA ALHO SEARA CX\24X200GR</v>
          </cell>
          <cell r="C581">
            <v>29</v>
          </cell>
          <cell r="D581">
            <v>0</v>
          </cell>
          <cell r="E581">
            <v>29</v>
          </cell>
        </row>
        <row r="582">
          <cell r="A582">
            <v>3733</v>
          </cell>
          <cell r="B582" t="str">
            <v>PATE DE FIGADO  LEBON CX/30X100GR</v>
          </cell>
          <cell r="C582">
            <v>1</v>
          </cell>
          <cell r="D582">
            <v>0</v>
          </cell>
          <cell r="E582">
            <v>1</v>
          </cell>
        </row>
        <row r="583">
          <cell r="A583">
            <v>1967</v>
          </cell>
          <cell r="B583" t="str">
            <v>PATE FRANGO ERVAS LEBON CX/30X100GR</v>
          </cell>
          <cell r="C583">
            <v>1</v>
          </cell>
          <cell r="D583">
            <v>0</v>
          </cell>
          <cell r="E583">
            <v>1</v>
          </cell>
        </row>
        <row r="584">
          <cell r="A584">
            <v>1603</v>
          </cell>
          <cell r="B584" t="str">
            <v>PATE FRANGO LEBON CX/30X100GR</v>
          </cell>
          <cell r="C584">
            <v>2</v>
          </cell>
          <cell r="D584">
            <v>0</v>
          </cell>
          <cell r="E584">
            <v>2</v>
          </cell>
        </row>
        <row r="585">
          <cell r="A585">
            <v>274</v>
          </cell>
          <cell r="B585" t="str">
            <v>PATE PEITO PERU DEFUMADO SEARA CX/30X100</v>
          </cell>
          <cell r="C585">
            <v>1</v>
          </cell>
          <cell r="D585">
            <v>0</v>
          </cell>
          <cell r="E585">
            <v>1</v>
          </cell>
        </row>
        <row r="586">
          <cell r="A586">
            <v>1417</v>
          </cell>
          <cell r="B586" t="str">
            <v>PATE PRESUNTO LEBON CX/30X100GR</v>
          </cell>
          <cell r="C586">
            <v>1</v>
          </cell>
          <cell r="D586">
            <v>0</v>
          </cell>
          <cell r="E586">
            <v>1</v>
          </cell>
        </row>
        <row r="587">
          <cell r="A587">
            <v>273</v>
          </cell>
          <cell r="B587" t="str">
            <v>PATE PRESUNTO SEARA CX/30X100GR</v>
          </cell>
          <cell r="C587">
            <v>1</v>
          </cell>
          <cell r="D587">
            <v>0</v>
          </cell>
          <cell r="E587">
            <v>1</v>
          </cell>
        </row>
        <row r="588">
          <cell r="A588">
            <v>2006</v>
          </cell>
          <cell r="B588" t="str">
            <v>PATINHO BOVINO FRIGODIAS KG</v>
          </cell>
          <cell r="C588">
            <v>264.99</v>
          </cell>
          <cell r="D588">
            <v>0</v>
          </cell>
          <cell r="E588">
            <v>264.99</v>
          </cell>
        </row>
        <row r="589">
          <cell r="A589">
            <v>348</v>
          </cell>
          <cell r="B589" t="str">
            <v>PATINHO BOVINO MATOSO  KG</v>
          </cell>
          <cell r="C589">
            <v>1320.91</v>
          </cell>
          <cell r="D589">
            <v>0</v>
          </cell>
          <cell r="E589">
            <v>1320.91</v>
          </cell>
        </row>
        <row r="590">
          <cell r="A590">
            <v>3232</v>
          </cell>
          <cell r="B590" t="str">
            <v>PE DE FRANGO PCT ATALAIA CX\16KG</v>
          </cell>
          <cell r="C590">
            <v>250</v>
          </cell>
          <cell r="D590">
            <v>69</v>
          </cell>
          <cell r="E590">
            <v>181</v>
          </cell>
        </row>
        <row r="591">
          <cell r="A591">
            <v>4304</v>
          </cell>
          <cell r="B591" t="str">
            <v>PE SUINO ALIBEM CX\20KG</v>
          </cell>
          <cell r="C591">
            <v>131</v>
          </cell>
          <cell r="D591">
            <v>7</v>
          </cell>
          <cell r="E591">
            <v>124</v>
          </cell>
        </row>
        <row r="592">
          <cell r="A592">
            <v>694</v>
          </cell>
          <cell r="B592" t="str">
            <v>PEITO FIESTA RECHEADO ERVAS SEARA KG</v>
          </cell>
          <cell r="C592">
            <v>13.09</v>
          </cell>
          <cell r="D592">
            <v>0</v>
          </cell>
          <cell r="E592">
            <v>13.09</v>
          </cell>
        </row>
        <row r="593">
          <cell r="A593">
            <v>345</v>
          </cell>
          <cell r="B593" t="str">
            <v>PEITO FRANGO DESFIADO TROPEIRA CX\25X400KG</v>
          </cell>
          <cell r="C593">
            <v>47</v>
          </cell>
          <cell r="D593">
            <v>0</v>
          </cell>
          <cell r="E593">
            <v>47</v>
          </cell>
        </row>
        <row r="594">
          <cell r="A594">
            <v>695</v>
          </cell>
          <cell r="B594" t="str">
            <v>PEITO FRANGO ENVELOPADO REAL CX\18KG</v>
          </cell>
          <cell r="C594">
            <v>132</v>
          </cell>
          <cell r="D594">
            <v>23</v>
          </cell>
          <cell r="E594">
            <v>109</v>
          </cell>
        </row>
        <row r="595">
          <cell r="A595">
            <v>58</v>
          </cell>
          <cell r="B595" t="str">
            <v>PEITO FRANGO INTER FRANCAP CX/20KG</v>
          </cell>
          <cell r="C595">
            <v>80</v>
          </cell>
          <cell r="D595">
            <v>0</v>
          </cell>
          <cell r="E595">
            <v>80</v>
          </cell>
        </row>
        <row r="596">
          <cell r="A596">
            <v>59</v>
          </cell>
          <cell r="B596" t="str">
            <v>PEITO FRANGO INTERF.FREDINI CX/20KG</v>
          </cell>
          <cell r="C596">
            <v>149</v>
          </cell>
          <cell r="D596">
            <v>0</v>
          </cell>
          <cell r="E596">
            <v>149</v>
          </cell>
        </row>
        <row r="597">
          <cell r="A597">
            <v>55</v>
          </cell>
          <cell r="B597" t="str">
            <v>PEITO FRANGO PCT FRANCAP CX\20KG</v>
          </cell>
          <cell r="C597">
            <v>707</v>
          </cell>
          <cell r="D597">
            <v>12</v>
          </cell>
          <cell r="E597">
            <v>695</v>
          </cell>
        </row>
        <row r="598">
          <cell r="A598">
            <v>54</v>
          </cell>
          <cell r="B598" t="str">
            <v>PEITO FRANGO PCT FREDINI CX\20KG</v>
          </cell>
          <cell r="C598">
            <v>223</v>
          </cell>
          <cell r="D598">
            <v>17</v>
          </cell>
          <cell r="E598">
            <v>206</v>
          </cell>
        </row>
        <row r="599">
          <cell r="A599">
            <v>1039</v>
          </cell>
          <cell r="B599" t="str">
            <v>PEITO PERU DEFUMADO REZENDE CX\2X2,5KG</v>
          </cell>
          <cell r="C599">
            <v>19</v>
          </cell>
          <cell r="D599">
            <v>0</v>
          </cell>
          <cell r="E599">
            <v>19</v>
          </cell>
        </row>
        <row r="600">
          <cell r="A600">
            <v>271</v>
          </cell>
          <cell r="B600" t="str">
            <v>PEITO PERU FATIADO SEARA CX/24X150GR</v>
          </cell>
          <cell r="C600">
            <v>3</v>
          </cell>
          <cell r="D600">
            <v>3</v>
          </cell>
          <cell r="E600">
            <v>0</v>
          </cell>
        </row>
        <row r="601">
          <cell r="A601">
            <v>1759</v>
          </cell>
          <cell r="B601" t="str">
            <v>PEITO PERU SEARA RECHEADO CX/KG</v>
          </cell>
          <cell r="C601">
            <v>41.99</v>
          </cell>
          <cell r="D601">
            <v>0</v>
          </cell>
          <cell r="E601">
            <v>41.99</v>
          </cell>
        </row>
        <row r="602">
          <cell r="A602">
            <v>3370</v>
          </cell>
          <cell r="B602" t="str">
            <v>PEIXE CORVINA POSTAS PEIXE E CIA CX\20X1KG</v>
          </cell>
          <cell r="C602">
            <v>80</v>
          </cell>
          <cell r="D602">
            <v>0</v>
          </cell>
          <cell r="E602">
            <v>80</v>
          </cell>
        </row>
        <row r="603">
          <cell r="A603">
            <v>129</v>
          </cell>
          <cell r="B603" t="str">
            <v>PEIXE CURIMBA EVISCERADO CX/20KG</v>
          </cell>
          <cell r="C603">
            <v>231</v>
          </cell>
          <cell r="D603">
            <v>1</v>
          </cell>
          <cell r="E603">
            <v>230</v>
          </cell>
        </row>
        <row r="604">
          <cell r="A604">
            <v>1640</v>
          </cell>
          <cell r="B604" t="str">
            <v>PEIXE DOURADA POSTA PEIXE&amp;CIA CX\20X1KG</v>
          </cell>
          <cell r="C604">
            <v>22</v>
          </cell>
          <cell r="D604">
            <v>1</v>
          </cell>
          <cell r="E604">
            <v>21</v>
          </cell>
        </row>
        <row r="605">
          <cell r="A605">
            <v>3347</v>
          </cell>
          <cell r="B605" t="str">
            <v>PEIXE PIRAMUTABA POSTA C\PELE PEIXE&amp;CIA 20X1KG</v>
          </cell>
          <cell r="C605">
            <v>219</v>
          </cell>
          <cell r="D605">
            <v>1</v>
          </cell>
          <cell r="E605">
            <v>218</v>
          </cell>
        </row>
        <row r="606">
          <cell r="A606">
            <v>4200</v>
          </cell>
          <cell r="B606" t="str">
            <v>PEIXE SURUBIM FILE CX/2X10KG</v>
          </cell>
          <cell r="C606">
            <v>1</v>
          </cell>
          <cell r="D606">
            <v>0</v>
          </cell>
          <cell r="E606">
            <v>1</v>
          </cell>
        </row>
        <row r="607">
          <cell r="A607">
            <v>3973</v>
          </cell>
          <cell r="B607" t="str">
            <v>PEIXE SURUBIM POSTA MULTIPESC 15X1KG</v>
          </cell>
          <cell r="C607">
            <v>19</v>
          </cell>
          <cell r="D607">
            <v>0</v>
          </cell>
          <cell r="E607">
            <v>19</v>
          </cell>
        </row>
        <row r="608">
          <cell r="A608">
            <v>1056</v>
          </cell>
          <cell r="B608" t="str">
            <v>PEIXE TAMBAQUI COSTELA ZALTANA CX\24X400G</v>
          </cell>
          <cell r="C608">
            <v>16</v>
          </cell>
          <cell r="D608">
            <v>0</v>
          </cell>
          <cell r="E608">
            <v>16</v>
          </cell>
        </row>
        <row r="609">
          <cell r="A609">
            <v>134</v>
          </cell>
          <cell r="B609" t="str">
            <v>PEIXE TAMBAQUI POSTAS ZALTANA CX\12X800G</v>
          </cell>
          <cell r="C609">
            <v>207</v>
          </cell>
          <cell r="D609">
            <v>1</v>
          </cell>
          <cell r="E609">
            <v>206</v>
          </cell>
        </row>
        <row r="610">
          <cell r="A610">
            <v>128</v>
          </cell>
          <cell r="B610" t="str">
            <v>PEIXE TRAIRA ARGENTINA CX\20KG</v>
          </cell>
          <cell r="C610">
            <v>50</v>
          </cell>
          <cell r="D610">
            <v>2</v>
          </cell>
          <cell r="E610">
            <v>48</v>
          </cell>
        </row>
        <row r="611">
          <cell r="A611">
            <v>1600</v>
          </cell>
          <cell r="B611" t="str">
            <v>PEIXE TRAIRA DESOSSADA CX\20KG</v>
          </cell>
          <cell r="C611">
            <v>89</v>
          </cell>
          <cell r="D611">
            <v>1</v>
          </cell>
          <cell r="E611">
            <v>88</v>
          </cell>
        </row>
        <row r="612">
          <cell r="A612">
            <v>270</v>
          </cell>
          <cell r="B612" t="str">
            <v>PENNE À PARISIENSE MENU SEARA 12X350G</v>
          </cell>
          <cell r="C612">
            <v>3</v>
          </cell>
          <cell r="D612">
            <v>0</v>
          </cell>
          <cell r="E612">
            <v>3</v>
          </cell>
        </row>
        <row r="613">
          <cell r="A613">
            <v>702</v>
          </cell>
          <cell r="B613" t="str">
            <v>PERNIL C\OSSO SUINO SEARA KG</v>
          </cell>
          <cell r="C613">
            <v>4.9400000000000004</v>
          </cell>
          <cell r="D613">
            <v>0</v>
          </cell>
          <cell r="E613">
            <v>4.9400000000000004</v>
          </cell>
        </row>
        <row r="614">
          <cell r="A614">
            <v>1897</v>
          </cell>
          <cell r="B614" t="str">
            <v>PERNIL S/OSSO SEARA ERVAS ASSA FACIL</v>
          </cell>
          <cell r="C614">
            <v>13.26</v>
          </cell>
          <cell r="D614">
            <v>0</v>
          </cell>
          <cell r="E614">
            <v>13.26</v>
          </cell>
        </row>
        <row r="615">
          <cell r="A615">
            <v>383</v>
          </cell>
          <cell r="B615" t="str">
            <v>PERNIL SUINO FRIGODIAS  KG</v>
          </cell>
          <cell r="C615">
            <v>7.41</v>
          </cell>
          <cell r="D615">
            <v>0</v>
          </cell>
          <cell r="E615">
            <v>7.41</v>
          </cell>
        </row>
        <row r="616">
          <cell r="A616">
            <v>382</v>
          </cell>
          <cell r="B616" t="str">
            <v>PERNIL SUINO IMPERATRIZ  KG</v>
          </cell>
          <cell r="C616">
            <v>0</v>
          </cell>
          <cell r="D616">
            <v>0</v>
          </cell>
          <cell r="E616">
            <v>0</v>
          </cell>
        </row>
        <row r="617">
          <cell r="A617">
            <v>3194</v>
          </cell>
          <cell r="B617" t="str">
            <v>PERNIL SUINO S/OSSO SEARA KG</v>
          </cell>
          <cell r="C617">
            <v>9.27</v>
          </cell>
          <cell r="D617">
            <v>0</v>
          </cell>
          <cell r="E617">
            <v>9.27</v>
          </cell>
        </row>
        <row r="618">
          <cell r="A618">
            <v>1761</v>
          </cell>
          <cell r="B618" t="str">
            <v>PERNIL SUINO TEMPERADO SEARA KG</v>
          </cell>
          <cell r="C618">
            <v>13.65</v>
          </cell>
          <cell r="D618">
            <v>0</v>
          </cell>
          <cell r="E618">
            <v>13.65</v>
          </cell>
        </row>
        <row r="619">
          <cell r="A619">
            <v>1758</v>
          </cell>
          <cell r="B619" t="str">
            <v>PERU REZENDE KG</v>
          </cell>
          <cell r="C619">
            <v>0.4</v>
          </cell>
          <cell r="D619">
            <v>0</v>
          </cell>
          <cell r="E619">
            <v>0.4</v>
          </cell>
        </row>
        <row r="620">
          <cell r="A620">
            <v>1757</v>
          </cell>
          <cell r="B620" t="str">
            <v>PERU SEARA KG  951242</v>
          </cell>
          <cell r="C620">
            <v>33.840000000000003</v>
          </cell>
          <cell r="D620">
            <v>0</v>
          </cell>
          <cell r="E620">
            <v>33.840000000000003</v>
          </cell>
        </row>
        <row r="621">
          <cell r="A621">
            <v>1756</v>
          </cell>
          <cell r="B621" t="str">
            <v>PERU TEMP. ASSA FACIL SEARA KG   688673</v>
          </cell>
          <cell r="C621">
            <v>64.540000000000006</v>
          </cell>
          <cell r="D621">
            <v>0</v>
          </cell>
          <cell r="E621">
            <v>64.540000000000006</v>
          </cell>
        </row>
        <row r="622">
          <cell r="A622">
            <v>344</v>
          </cell>
          <cell r="B622" t="str">
            <v>PESCOCO PERU PERDIGAO CX\15KG</v>
          </cell>
          <cell r="C622">
            <v>320</v>
          </cell>
          <cell r="D622">
            <v>23</v>
          </cell>
          <cell r="E622">
            <v>297</v>
          </cell>
        </row>
        <row r="623">
          <cell r="A623">
            <v>4018</v>
          </cell>
          <cell r="B623" t="str">
            <v>PESSEGO CALDA LT TOZZI CX 12X450GR</v>
          </cell>
          <cell r="C623">
            <v>59</v>
          </cell>
          <cell r="D623">
            <v>0</v>
          </cell>
          <cell r="E623">
            <v>59</v>
          </cell>
        </row>
        <row r="624">
          <cell r="A624">
            <v>4176</v>
          </cell>
          <cell r="B624" t="str">
            <v>PETISCO TILAPIA BARRIGA C VALE CX 20X500G</v>
          </cell>
          <cell r="C624">
            <v>3</v>
          </cell>
          <cell r="D624">
            <v>0</v>
          </cell>
          <cell r="E624">
            <v>3</v>
          </cell>
        </row>
        <row r="625">
          <cell r="A625">
            <v>1479</v>
          </cell>
          <cell r="B625" t="str">
            <v>PICANHA  A BOVINA MATOSO KG</v>
          </cell>
          <cell r="C625">
            <v>469.43</v>
          </cell>
          <cell r="D625">
            <v>0</v>
          </cell>
          <cell r="E625">
            <v>469.43</v>
          </cell>
        </row>
        <row r="626">
          <cell r="A626">
            <v>704</v>
          </cell>
          <cell r="B626" t="str">
            <v>PICANHA BOVINA GRILL DICASA KG</v>
          </cell>
          <cell r="C626">
            <v>1108.5</v>
          </cell>
          <cell r="D626">
            <v>0</v>
          </cell>
          <cell r="E626">
            <v>1108.5</v>
          </cell>
        </row>
        <row r="627">
          <cell r="A627">
            <v>3609</v>
          </cell>
          <cell r="B627" t="str">
            <v>PICANHA FATIADA STEAK ARG</v>
          </cell>
          <cell r="C627">
            <v>0.11</v>
          </cell>
          <cell r="D627">
            <v>0</v>
          </cell>
          <cell r="E627">
            <v>0.11</v>
          </cell>
        </row>
        <row r="628">
          <cell r="A628">
            <v>2635</v>
          </cell>
          <cell r="B628" t="str">
            <v>PIPOQUINHA FRANGO NETFLIX SEARA CX\16X275G</v>
          </cell>
          <cell r="C628">
            <v>5</v>
          </cell>
          <cell r="D628">
            <v>0</v>
          </cell>
          <cell r="E628">
            <v>5</v>
          </cell>
        </row>
        <row r="629">
          <cell r="A629">
            <v>843</v>
          </cell>
          <cell r="B629" t="str">
            <v>PIZZA 4 QUEIJOS SEARA CX\12X460GR</v>
          </cell>
          <cell r="C629">
            <v>9</v>
          </cell>
          <cell r="D629">
            <v>0</v>
          </cell>
          <cell r="E629">
            <v>9</v>
          </cell>
        </row>
        <row r="630">
          <cell r="A630">
            <v>3843</v>
          </cell>
          <cell r="B630" t="str">
            <v>PIZZA BACON AIRFRYER  CX12X250GR</v>
          </cell>
          <cell r="C630">
            <v>11</v>
          </cell>
          <cell r="D630">
            <v>0</v>
          </cell>
          <cell r="E630">
            <v>11</v>
          </cell>
        </row>
        <row r="631">
          <cell r="A631">
            <v>844</v>
          </cell>
          <cell r="B631" t="str">
            <v>PIZZA CALABRESA LEBON CX12X400GR</v>
          </cell>
          <cell r="C631">
            <v>6</v>
          </cell>
          <cell r="D631">
            <v>0</v>
          </cell>
          <cell r="E631">
            <v>6</v>
          </cell>
        </row>
        <row r="632">
          <cell r="A632">
            <v>705</v>
          </cell>
          <cell r="B632" t="str">
            <v>PIZZA CALABRESA REZENDE CX\12X400GR</v>
          </cell>
          <cell r="C632">
            <v>10</v>
          </cell>
          <cell r="D632">
            <v>0</v>
          </cell>
          <cell r="E632">
            <v>10</v>
          </cell>
        </row>
        <row r="633">
          <cell r="A633">
            <v>706</v>
          </cell>
          <cell r="B633" t="str">
            <v>PIZZA CALABRESA SEARA CX12X460GR</v>
          </cell>
          <cell r="C633">
            <v>33</v>
          </cell>
          <cell r="D633">
            <v>1</v>
          </cell>
          <cell r="E633">
            <v>32</v>
          </cell>
        </row>
        <row r="634">
          <cell r="A634">
            <v>4301</v>
          </cell>
          <cell r="B634" t="str">
            <v>PIZZA CALABRESE GOURMET SEARA CX\8X360G</v>
          </cell>
          <cell r="C634">
            <v>1</v>
          </cell>
          <cell r="D634">
            <v>0</v>
          </cell>
          <cell r="E634">
            <v>1</v>
          </cell>
        </row>
        <row r="635">
          <cell r="A635">
            <v>708</v>
          </cell>
          <cell r="B635" t="str">
            <v>PIZZA FRANGO REQUEIJAO LEBON CX\12X400GR</v>
          </cell>
          <cell r="C635">
            <v>4</v>
          </cell>
          <cell r="D635">
            <v>0</v>
          </cell>
          <cell r="E635">
            <v>4</v>
          </cell>
        </row>
        <row r="636">
          <cell r="A636">
            <v>709</v>
          </cell>
          <cell r="B636" t="str">
            <v>PIZZA FRANGO/CATUPIRY SEARA CX\12X460GR</v>
          </cell>
          <cell r="C636">
            <v>18</v>
          </cell>
          <cell r="D636">
            <v>2</v>
          </cell>
          <cell r="E636">
            <v>16</v>
          </cell>
        </row>
        <row r="637">
          <cell r="A637">
            <v>846</v>
          </cell>
          <cell r="B637" t="str">
            <v>PIZZA FRANGO\REQUEIJAO REZENDE CX\12X400GR</v>
          </cell>
          <cell r="C637">
            <v>5</v>
          </cell>
          <cell r="D637">
            <v>0</v>
          </cell>
          <cell r="E637">
            <v>5</v>
          </cell>
        </row>
        <row r="638">
          <cell r="A638">
            <v>3072</v>
          </cell>
          <cell r="B638" t="str">
            <v>PIZZA INCRIVEL PEPPERON 8X450G</v>
          </cell>
          <cell r="C638">
            <v>1</v>
          </cell>
          <cell r="D638">
            <v>0</v>
          </cell>
          <cell r="E638">
            <v>1</v>
          </cell>
        </row>
        <row r="639">
          <cell r="A639">
            <v>880</v>
          </cell>
          <cell r="B639" t="str">
            <v>PIZZA LOMBO CATUPIRY SEARA CX\12X460G</v>
          </cell>
          <cell r="C639">
            <v>8</v>
          </cell>
          <cell r="D639">
            <v>0</v>
          </cell>
          <cell r="E639">
            <v>8</v>
          </cell>
        </row>
        <row r="640">
          <cell r="A640">
            <v>4181</v>
          </cell>
          <cell r="B640" t="str">
            <v>PIZZA MARGHERITA SEARA CX\8X360G</v>
          </cell>
          <cell r="C640">
            <v>1</v>
          </cell>
          <cell r="D640">
            <v>0</v>
          </cell>
          <cell r="E640">
            <v>1</v>
          </cell>
        </row>
        <row r="641">
          <cell r="A641">
            <v>849</v>
          </cell>
          <cell r="B641" t="str">
            <v>PIZZA MIX PIF PAF CX12X460GR</v>
          </cell>
          <cell r="C641">
            <v>13</v>
          </cell>
          <cell r="D641">
            <v>1</v>
          </cell>
          <cell r="E641">
            <v>12</v>
          </cell>
        </row>
        <row r="642">
          <cell r="A642">
            <v>848</v>
          </cell>
          <cell r="B642" t="str">
            <v>PIZZA MIX SEARA CX12X460GR</v>
          </cell>
          <cell r="C642">
            <v>65</v>
          </cell>
          <cell r="D642">
            <v>1</v>
          </cell>
          <cell r="E642">
            <v>64</v>
          </cell>
        </row>
        <row r="643">
          <cell r="A643">
            <v>3842</v>
          </cell>
          <cell r="B643" t="str">
            <v>PIZZA MUSSARELA AIRFRYER CX12X220GR</v>
          </cell>
          <cell r="C643">
            <v>15</v>
          </cell>
          <cell r="D643">
            <v>0</v>
          </cell>
          <cell r="E643">
            <v>15</v>
          </cell>
        </row>
        <row r="644">
          <cell r="A644">
            <v>711</v>
          </cell>
          <cell r="B644" t="str">
            <v>PIZZA MUSSARELA SEARA CX\12X440GR</v>
          </cell>
          <cell r="C644">
            <v>10</v>
          </cell>
          <cell r="D644">
            <v>0</v>
          </cell>
          <cell r="E644">
            <v>10</v>
          </cell>
        </row>
        <row r="645">
          <cell r="A645">
            <v>266</v>
          </cell>
          <cell r="B645" t="str">
            <v>PIZZA PORTUGUESA SEARA CX12X460GR</v>
          </cell>
          <cell r="C645">
            <v>1</v>
          </cell>
          <cell r="D645">
            <v>0</v>
          </cell>
          <cell r="E645">
            <v>1</v>
          </cell>
        </row>
        <row r="646">
          <cell r="A646">
            <v>127</v>
          </cell>
          <cell r="B646" t="str">
            <v>PONTA COSTELA SUINA FLIP PIF PAF 8X1KG</v>
          </cell>
          <cell r="C646">
            <v>40</v>
          </cell>
          <cell r="D646">
            <v>1</v>
          </cell>
          <cell r="E646">
            <v>39</v>
          </cell>
        </row>
        <row r="647">
          <cell r="A647">
            <v>3416</v>
          </cell>
          <cell r="B647" t="str">
            <v>PONTA COSTELA SUINA FRICASA PIF PAF 8X1KG</v>
          </cell>
          <cell r="C647">
            <v>91</v>
          </cell>
          <cell r="D647">
            <v>4</v>
          </cell>
          <cell r="E647">
            <v>87</v>
          </cell>
        </row>
        <row r="648">
          <cell r="A648">
            <v>4300</v>
          </cell>
          <cell r="B648" t="str">
            <v>PRESUNTO  RETANGULAR SEARA 3,5KG FS</v>
          </cell>
          <cell r="C648">
            <v>1</v>
          </cell>
          <cell r="D648">
            <v>0</v>
          </cell>
          <cell r="E648">
            <v>1</v>
          </cell>
        </row>
        <row r="649">
          <cell r="A649">
            <v>907</v>
          </cell>
          <cell r="B649" t="str">
            <v>PRESUNTO LEBON OVAL 3,400</v>
          </cell>
          <cell r="C649">
            <v>114</v>
          </cell>
          <cell r="D649">
            <v>6</v>
          </cell>
          <cell r="E649">
            <v>108</v>
          </cell>
        </row>
        <row r="650">
          <cell r="A650">
            <v>713</v>
          </cell>
          <cell r="B650" t="str">
            <v>PRESUNTO RETANGULAR PIF PAF 3,8KG</v>
          </cell>
          <cell r="C650">
            <v>83</v>
          </cell>
          <cell r="D650">
            <v>0</v>
          </cell>
          <cell r="E650">
            <v>83</v>
          </cell>
        </row>
        <row r="651">
          <cell r="A651">
            <v>714</v>
          </cell>
          <cell r="B651" t="str">
            <v>PRESUNTO REZENDE OVAL 3,5G</v>
          </cell>
          <cell r="C651">
            <v>572</v>
          </cell>
          <cell r="D651">
            <v>15</v>
          </cell>
          <cell r="E651">
            <v>557</v>
          </cell>
        </row>
        <row r="652">
          <cell r="A652">
            <v>1907</v>
          </cell>
          <cell r="B652" t="str">
            <v>PRESUNTO ROYAL SEARA GOURMET</v>
          </cell>
          <cell r="C652">
            <v>6.45</v>
          </cell>
          <cell r="D652">
            <v>6</v>
          </cell>
          <cell r="E652">
            <v>0.45</v>
          </cell>
        </row>
        <row r="653">
          <cell r="A653">
            <v>715</v>
          </cell>
          <cell r="B653" t="str">
            <v>PRESUNTO SEARA FATIADO CX/22X180GR</v>
          </cell>
          <cell r="C653">
            <v>8</v>
          </cell>
          <cell r="D653">
            <v>7</v>
          </cell>
          <cell r="E653">
            <v>1</v>
          </cell>
        </row>
        <row r="654">
          <cell r="A654">
            <v>263</v>
          </cell>
          <cell r="B654" t="str">
            <v>PRESUNTO SEARA OVAL 3,4KG</v>
          </cell>
          <cell r="C654">
            <v>1120</v>
          </cell>
          <cell r="D654">
            <v>20</v>
          </cell>
          <cell r="E654">
            <v>1100</v>
          </cell>
        </row>
        <row r="655">
          <cell r="A655">
            <v>4276</v>
          </cell>
          <cell r="B655" t="str">
            <v>QUEIJO COLONIAL SCALA KG</v>
          </cell>
          <cell r="C655">
            <v>6.17</v>
          </cell>
          <cell r="D655">
            <v>0</v>
          </cell>
          <cell r="E655">
            <v>6.17</v>
          </cell>
        </row>
        <row r="656">
          <cell r="A656">
            <v>4280</v>
          </cell>
          <cell r="B656" t="str">
            <v>QUEIJO MATURADO MOFO AZUL SCALA KG</v>
          </cell>
          <cell r="C656">
            <v>1.1599999999999999</v>
          </cell>
          <cell r="D656">
            <v>0</v>
          </cell>
          <cell r="E656">
            <v>1.1599999999999999</v>
          </cell>
        </row>
        <row r="657">
          <cell r="A657">
            <v>342</v>
          </cell>
          <cell r="B657" t="str">
            <v>QUEIJO MINAS FRACIONADO CRISTAULAT KG</v>
          </cell>
          <cell r="C657">
            <v>614.01</v>
          </cell>
          <cell r="D657">
            <v>10</v>
          </cell>
          <cell r="E657">
            <v>604.01</v>
          </cell>
        </row>
        <row r="658">
          <cell r="A658">
            <v>4277</v>
          </cell>
          <cell r="B658" t="str">
            <v>QUEIJO MINAS MEIA CURA SCALA KG</v>
          </cell>
          <cell r="C658">
            <v>-0.18</v>
          </cell>
          <cell r="D658">
            <v>0</v>
          </cell>
          <cell r="E658">
            <v>-0.18</v>
          </cell>
        </row>
        <row r="659">
          <cell r="A659">
            <v>341</v>
          </cell>
          <cell r="B659" t="str">
            <v>QUEIJO MINAS PADRAO CRISTAULAT KG</v>
          </cell>
          <cell r="C659">
            <v>161.83000000000001</v>
          </cell>
          <cell r="D659">
            <v>10</v>
          </cell>
          <cell r="E659">
            <v>151.83000000000001</v>
          </cell>
        </row>
        <row r="660">
          <cell r="A660">
            <v>4275</v>
          </cell>
          <cell r="B660" t="str">
            <v>QUEIJO MINAS PADRAO FRACIONADO SCALA KG</v>
          </cell>
          <cell r="C660">
            <v>-0.14000000000000001</v>
          </cell>
          <cell r="D660">
            <v>0</v>
          </cell>
          <cell r="E660">
            <v>-0.14000000000000001</v>
          </cell>
        </row>
        <row r="661">
          <cell r="A661">
            <v>4268</v>
          </cell>
          <cell r="B661" t="str">
            <v>QUEIJO MONTANHES SCALA 180GR</v>
          </cell>
          <cell r="C661">
            <v>30</v>
          </cell>
          <cell r="D661">
            <v>0</v>
          </cell>
          <cell r="E661">
            <v>30</v>
          </cell>
        </row>
        <row r="662">
          <cell r="A662">
            <v>4270</v>
          </cell>
          <cell r="B662" t="str">
            <v>QUEIJO PARMESAO 12 MESES SCALA 180GR</v>
          </cell>
          <cell r="C662">
            <v>30</v>
          </cell>
          <cell r="D662">
            <v>0</v>
          </cell>
          <cell r="E662">
            <v>30</v>
          </cell>
        </row>
        <row r="663">
          <cell r="A663">
            <v>4272</v>
          </cell>
          <cell r="B663" t="str">
            <v>QUEIJO PARMESAO 18 MESES SCALA 180GR</v>
          </cell>
          <cell r="C663">
            <v>4</v>
          </cell>
          <cell r="D663">
            <v>0</v>
          </cell>
          <cell r="E663">
            <v>4</v>
          </cell>
        </row>
        <row r="664">
          <cell r="A664">
            <v>4269</v>
          </cell>
          <cell r="B664" t="str">
            <v>QUEIJO PARMESAO 6 MESES SCALA 180GR</v>
          </cell>
          <cell r="C664">
            <v>24</v>
          </cell>
          <cell r="D664">
            <v>0</v>
          </cell>
          <cell r="E664">
            <v>24</v>
          </cell>
        </row>
        <row r="665">
          <cell r="A665">
            <v>4273</v>
          </cell>
          <cell r="B665" t="str">
            <v>QUEIJO PARMESAO CILINDRO SCALA 180GR</v>
          </cell>
          <cell r="C665">
            <v>18</v>
          </cell>
          <cell r="D665">
            <v>0</v>
          </cell>
          <cell r="E665">
            <v>18</v>
          </cell>
        </row>
        <row r="666">
          <cell r="A666">
            <v>339</v>
          </cell>
          <cell r="B666" t="str">
            <v>QUEIJO PARMESAO CUNHA CRISTAULAT KG</v>
          </cell>
          <cell r="C666">
            <v>144.1</v>
          </cell>
          <cell r="D666">
            <v>0</v>
          </cell>
          <cell r="E666">
            <v>144.1</v>
          </cell>
        </row>
        <row r="667">
          <cell r="A667">
            <v>340</v>
          </cell>
          <cell r="B667" t="str">
            <v>QUEIJO PARMESAO INTEIRO CRISTAULAT  KG</v>
          </cell>
          <cell r="C667">
            <v>63.68</v>
          </cell>
          <cell r="D667">
            <v>0</v>
          </cell>
          <cell r="E667">
            <v>63.68</v>
          </cell>
        </row>
        <row r="668">
          <cell r="A668">
            <v>4274</v>
          </cell>
          <cell r="B668" t="str">
            <v>QUEIJO PARMESAO LASCAS SCALA 150GR</v>
          </cell>
          <cell r="C668">
            <v>6</v>
          </cell>
          <cell r="D668">
            <v>0</v>
          </cell>
          <cell r="E668">
            <v>6</v>
          </cell>
        </row>
        <row r="669">
          <cell r="A669">
            <v>2349</v>
          </cell>
          <cell r="B669" t="str">
            <v>QUEIJO PARMESAO RALADO SCALA 100GR</v>
          </cell>
          <cell r="C669">
            <v>40</v>
          </cell>
          <cell r="D669">
            <v>10</v>
          </cell>
          <cell r="E669">
            <v>30</v>
          </cell>
        </row>
        <row r="670">
          <cell r="A670">
            <v>4267</v>
          </cell>
          <cell r="B670" t="str">
            <v>QUEIJO PRATO MINI SCALA  KG</v>
          </cell>
          <cell r="C670">
            <v>0</v>
          </cell>
          <cell r="D670">
            <v>0</v>
          </cell>
          <cell r="E670">
            <v>0</v>
          </cell>
        </row>
        <row r="671">
          <cell r="A671">
            <v>3132</v>
          </cell>
          <cell r="B671" t="str">
            <v>QUEIJO PROVOLONE SCALA 300GR</v>
          </cell>
          <cell r="C671">
            <v>74</v>
          </cell>
          <cell r="D671">
            <v>5</v>
          </cell>
          <cell r="E671">
            <v>69</v>
          </cell>
        </row>
        <row r="672">
          <cell r="A672">
            <v>4281</v>
          </cell>
          <cell r="B672" t="str">
            <v>QUEIJO PROVOLONE SCALA KG</v>
          </cell>
          <cell r="C672">
            <v>7.21</v>
          </cell>
          <cell r="D672">
            <v>0</v>
          </cell>
          <cell r="E672">
            <v>7.21</v>
          </cell>
        </row>
        <row r="673">
          <cell r="A673">
            <v>4287</v>
          </cell>
          <cell r="B673" t="str">
            <v>RECHEIO CHOCOLATE BISNAGA DOLCE CREME 1,005KG</v>
          </cell>
          <cell r="C673">
            <v>160</v>
          </cell>
          <cell r="D673">
            <v>0</v>
          </cell>
          <cell r="E673">
            <v>160</v>
          </cell>
        </row>
        <row r="674">
          <cell r="A674">
            <v>4288</v>
          </cell>
          <cell r="B674" t="str">
            <v>RECHEIO CHOCOLATE BRANCO BISNAGA DOLCI CREME 1,005KG</v>
          </cell>
          <cell r="C674">
            <v>16</v>
          </cell>
          <cell r="D674">
            <v>0</v>
          </cell>
          <cell r="E674">
            <v>16</v>
          </cell>
        </row>
        <row r="675">
          <cell r="A675">
            <v>4289</v>
          </cell>
          <cell r="B675" t="str">
            <v>RECHEIO CREME AVELÃ,CACAU BISNAGA DOLCI CREME 1,005KG</v>
          </cell>
          <cell r="C675">
            <v>78</v>
          </cell>
          <cell r="D675">
            <v>0</v>
          </cell>
          <cell r="E675">
            <v>78</v>
          </cell>
        </row>
        <row r="676">
          <cell r="A676">
            <v>718</v>
          </cell>
          <cell r="B676" t="str">
            <v>REQUEIJAO BISNAGA CHEDDAR ISADORA 1,2KG</v>
          </cell>
          <cell r="C676">
            <v>839</v>
          </cell>
          <cell r="D676">
            <v>22</v>
          </cell>
          <cell r="E676">
            <v>817</v>
          </cell>
        </row>
        <row r="677">
          <cell r="A677">
            <v>575</v>
          </cell>
          <cell r="B677" t="str">
            <v>REQUEIJAO BISNAGA CRISTAULAT 1,5KG</v>
          </cell>
          <cell r="C677">
            <v>676</v>
          </cell>
          <cell r="D677">
            <v>23</v>
          </cell>
          <cell r="E677">
            <v>653</v>
          </cell>
        </row>
        <row r="678">
          <cell r="A678">
            <v>335</v>
          </cell>
          <cell r="B678" t="str">
            <v>REQUEIJAO BISNAGA DALLORA 1,8KG</v>
          </cell>
          <cell r="C678">
            <v>633</v>
          </cell>
          <cell r="D678">
            <v>0</v>
          </cell>
          <cell r="E678">
            <v>633</v>
          </cell>
        </row>
        <row r="679">
          <cell r="A679">
            <v>719</v>
          </cell>
          <cell r="B679" t="str">
            <v>REQUEIJAO BISNAGA M.CHEDDAR VEREDA 1,5KG</v>
          </cell>
          <cell r="C679">
            <v>94</v>
          </cell>
          <cell r="D679">
            <v>1</v>
          </cell>
          <cell r="E679">
            <v>93</v>
          </cell>
        </row>
        <row r="680">
          <cell r="A680">
            <v>2085</v>
          </cell>
          <cell r="B680" t="str">
            <v>REQUEIJAO BISNAGA R-MINAS  1,5KG</v>
          </cell>
          <cell r="C680">
            <v>0.95</v>
          </cell>
          <cell r="D680">
            <v>0</v>
          </cell>
          <cell r="E680">
            <v>0.95</v>
          </cell>
        </row>
        <row r="681">
          <cell r="A681">
            <v>3122</v>
          </cell>
          <cell r="B681" t="str">
            <v>REQUEIJAO BISNAGA SCALA 1,5KG</v>
          </cell>
          <cell r="C681">
            <v>1620</v>
          </cell>
          <cell r="D681">
            <v>23</v>
          </cell>
          <cell r="E681">
            <v>1597</v>
          </cell>
        </row>
        <row r="682">
          <cell r="A682">
            <v>3123</v>
          </cell>
          <cell r="B682" t="str">
            <v>REQUEIJAO BISNAGA SCALA 400GR</v>
          </cell>
          <cell r="C682">
            <v>167</v>
          </cell>
          <cell r="D682">
            <v>0</v>
          </cell>
          <cell r="E682">
            <v>167</v>
          </cell>
        </row>
        <row r="683">
          <cell r="A683">
            <v>334</v>
          </cell>
          <cell r="B683" t="str">
            <v>REQUEIJAO BISNAGA TAINA  1,8KG</v>
          </cell>
          <cell r="C683">
            <v>2185</v>
          </cell>
          <cell r="D683">
            <v>73</v>
          </cell>
          <cell r="E683">
            <v>2112</v>
          </cell>
        </row>
        <row r="684">
          <cell r="A684">
            <v>3126</v>
          </cell>
          <cell r="B684" t="str">
            <v>REQUEIJAO C.CHEESE BISNAGA SCALA 1,2KG</v>
          </cell>
          <cell r="C684">
            <v>92</v>
          </cell>
          <cell r="D684">
            <v>4</v>
          </cell>
          <cell r="E684">
            <v>88</v>
          </cell>
        </row>
        <row r="685">
          <cell r="A685">
            <v>3127</v>
          </cell>
          <cell r="B685" t="str">
            <v>REQUEIJAO C.CHEESE BISNAGA SCALA 400GR</v>
          </cell>
          <cell r="C685">
            <v>25</v>
          </cell>
          <cell r="D685">
            <v>0</v>
          </cell>
          <cell r="E685">
            <v>25</v>
          </cell>
        </row>
        <row r="686">
          <cell r="A686">
            <v>4286</v>
          </cell>
          <cell r="B686" t="str">
            <v>REQUEIJAO C.CHEESE LIGHT POTE SCALA CX\16X150GR</v>
          </cell>
          <cell r="C686">
            <v>3</v>
          </cell>
          <cell r="D686">
            <v>0</v>
          </cell>
          <cell r="E686">
            <v>3</v>
          </cell>
        </row>
        <row r="687">
          <cell r="A687">
            <v>4285</v>
          </cell>
          <cell r="B687" t="str">
            <v>REQUEIJAO C.CHEESE LIGHT POTE SCALA CX\8X300GR</v>
          </cell>
          <cell r="C687">
            <v>1</v>
          </cell>
          <cell r="D687">
            <v>0</v>
          </cell>
          <cell r="E687">
            <v>1</v>
          </cell>
        </row>
        <row r="688">
          <cell r="A688">
            <v>3124</v>
          </cell>
          <cell r="B688" t="str">
            <v>REQUEIJAO CHEDDAR BISNAGA SCALA 1,5KG</v>
          </cell>
          <cell r="C688">
            <v>105</v>
          </cell>
          <cell r="D688">
            <v>1</v>
          </cell>
          <cell r="E688">
            <v>104</v>
          </cell>
        </row>
        <row r="689">
          <cell r="A689">
            <v>3125</v>
          </cell>
          <cell r="B689" t="str">
            <v>REQUEIJAO CHEDDAR BISNAGA SCALA 400GR</v>
          </cell>
          <cell r="C689">
            <v>107</v>
          </cell>
          <cell r="D689">
            <v>0</v>
          </cell>
          <cell r="E689">
            <v>107</v>
          </cell>
        </row>
        <row r="690">
          <cell r="A690">
            <v>3128</v>
          </cell>
          <cell r="B690" t="str">
            <v>REQUEIJAO COPO SCALA CX/12X200GR</v>
          </cell>
          <cell r="C690">
            <v>180</v>
          </cell>
          <cell r="D690">
            <v>4</v>
          </cell>
          <cell r="E690">
            <v>176</v>
          </cell>
        </row>
        <row r="691">
          <cell r="A691">
            <v>3131</v>
          </cell>
          <cell r="B691" t="str">
            <v>REQUEIJAO COPO SCALA CX/12X380GR</v>
          </cell>
          <cell r="C691">
            <v>65</v>
          </cell>
          <cell r="D691">
            <v>1</v>
          </cell>
          <cell r="E691">
            <v>64</v>
          </cell>
        </row>
        <row r="692">
          <cell r="A692">
            <v>3130</v>
          </cell>
          <cell r="B692" t="str">
            <v>REQUEIJAO ZERO LACTOSE COPO SCALA CX/12X200GR</v>
          </cell>
          <cell r="C692">
            <v>4</v>
          </cell>
          <cell r="D692">
            <v>0</v>
          </cell>
          <cell r="E692">
            <v>4</v>
          </cell>
        </row>
        <row r="693">
          <cell r="A693">
            <v>4002</v>
          </cell>
          <cell r="B693" t="str">
            <v>SALAME FATIADO ALHO GOURMET SEARA CX\12X80G</v>
          </cell>
          <cell r="C693">
            <v>10</v>
          </cell>
          <cell r="D693">
            <v>0</v>
          </cell>
          <cell r="E693">
            <v>10</v>
          </cell>
        </row>
        <row r="694">
          <cell r="A694">
            <v>3998</v>
          </cell>
          <cell r="B694" t="str">
            <v>SALAME FATIADO C/PIMENTA SEARA GOURMET CX\10X100GR</v>
          </cell>
          <cell r="C694">
            <v>28</v>
          </cell>
          <cell r="D694">
            <v>6</v>
          </cell>
          <cell r="E694">
            <v>22</v>
          </cell>
        </row>
        <row r="695">
          <cell r="A695">
            <v>4005</v>
          </cell>
          <cell r="B695" t="str">
            <v>SALAME FATIADO HAMBURGUES SEARA GOURMET CX\10X100GR</v>
          </cell>
          <cell r="C695">
            <v>69</v>
          </cell>
          <cell r="D695">
            <v>2</v>
          </cell>
          <cell r="E695">
            <v>67</v>
          </cell>
        </row>
        <row r="696">
          <cell r="A696">
            <v>4006</v>
          </cell>
          <cell r="B696" t="str">
            <v>SALAME FATIADO PEPPERONI SEARA GOURMET CX\10X100GR</v>
          </cell>
          <cell r="C696">
            <v>41</v>
          </cell>
          <cell r="D696">
            <v>3</v>
          </cell>
          <cell r="E696">
            <v>38</v>
          </cell>
        </row>
        <row r="697">
          <cell r="A697">
            <v>262</v>
          </cell>
          <cell r="B697" t="str">
            <v>SALAME FATIADO SEARA GOURMET CX\10X100GR</v>
          </cell>
          <cell r="C697">
            <v>221</v>
          </cell>
          <cell r="D697">
            <v>12</v>
          </cell>
          <cell r="E697">
            <v>209</v>
          </cell>
        </row>
        <row r="698">
          <cell r="A698">
            <v>1049</v>
          </cell>
          <cell r="B698" t="str">
            <v>SALAME ITALIANO ALHO NEGRO GOURMET SEARA</v>
          </cell>
          <cell r="C698">
            <v>19</v>
          </cell>
          <cell r="D698">
            <v>7</v>
          </cell>
          <cell r="E698">
            <v>12</v>
          </cell>
        </row>
        <row r="699">
          <cell r="A699">
            <v>856</v>
          </cell>
          <cell r="B699" t="str">
            <v>SALAME ITALIANO GRANDE GOURMET SEARA</v>
          </cell>
          <cell r="C699">
            <v>77</v>
          </cell>
          <cell r="D699">
            <v>77</v>
          </cell>
          <cell r="E699">
            <v>0</v>
          </cell>
        </row>
        <row r="700">
          <cell r="A700">
            <v>260</v>
          </cell>
          <cell r="B700" t="str">
            <v>SALAME ITALIANO PEQUENO SEARA</v>
          </cell>
          <cell r="C700">
            <v>404</v>
          </cell>
          <cell r="D700">
            <v>26</v>
          </cell>
          <cell r="E700">
            <v>378</v>
          </cell>
        </row>
        <row r="701">
          <cell r="A701">
            <v>261</v>
          </cell>
          <cell r="B701" t="str">
            <v>SALAME ITALIANO PEQUENO SEARA GOURMET</v>
          </cell>
          <cell r="C701">
            <v>509</v>
          </cell>
          <cell r="D701">
            <v>1</v>
          </cell>
          <cell r="E701">
            <v>508</v>
          </cell>
        </row>
        <row r="702">
          <cell r="A702">
            <v>4225</v>
          </cell>
          <cell r="B702" t="str">
            <v>SALAME PISTACHE SEARA GOURMET</v>
          </cell>
          <cell r="C702">
            <v>8</v>
          </cell>
          <cell r="D702">
            <v>0</v>
          </cell>
          <cell r="E702">
            <v>8</v>
          </cell>
        </row>
        <row r="703">
          <cell r="A703">
            <v>4248</v>
          </cell>
          <cell r="B703" t="str">
            <v>SALSICHA AMERICAN GRILL DEF. BOVINA CX/30X330G</v>
          </cell>
          <cell r="C703">
            <v>20</v>
          </cell>
          <cell r="D703">
            <v>0</v>
          </cell>
          <cell r="E703">
            <v>20</v>
          </cell>
        </row>
        <row r="704">
          <cell r="A704">
            <v>723</v>
          </cell>
          <cell r="B704" t="str">
            <v>SALSICHA DEFUMADA SEARA CX/12X500GR</v>
          </cell>
          <cell r="C704">
            <v>2</v>
          </cell>
          <cell r="D704">
            <v>2</v>
          </cell>
          <cell r="E704">
            <v>0</v>
          </cell>
        </row>
        <row r="705">
          <cell r="A705">
            <v>259</v>
          </cell>
          <cell r="B705" t="str">
            <v>SALSICHA FRANGO SEARA CX\12X500GR</v>
          </cell>
          <cell r="C705">
            <v>5</v>
          </cell>
          <cell r="D705">
            <v>1</v>
          </cell>
          <cell r="E705">
            <v>4</v>
          </cell>
        </row>
        <row r="706">
          <cell r="A706">
            <v>725</v>
          </cell>
          <cell r="B706" t="str">
            <v>SALSICHA LEBON CX\4X4KG</v>
          </cell>
          <cell r="C706">
            <v>908</v>
          </cell>
          <cell r="D706">
            <v>7</v>
          </cell>
          <cell r="E706">
            <v>901</v>
          </cell>
        </row>
        <row r="707">
          <cell r="A707">
            <v>258</v>
          </cell>
          <cell r="B707" t="str">
            <v>SALSICHA LONGUETTE SEARA CX/12X500GR</v>
          </cell>
          <cell r="C707">
            <v>9</v>
          </cell>
          <cell r="D707">
            <v>0</v>
          </cell>
          <cell r="E707">
            <v>9</v>
          </cell>
        </row>
        <row r="708">
          <cell r="A708">
            <v>161</v>
          </cell>
          <cell r="B708" t="str">
            <v>SALSICHA PIF PAF CX\4X3,3KG</v>
          </cell>
          <cell r="C708">
            <v>1072</v>
          </cell>
          <cell r="D708">
            <v>84</v>
          </cell>
          <cell r="E708">
            <v>988</v>
          </cell>
        </row>
        <row r="709">
          <cell r="A709">
            <v>2517</v>
          </cell>
          <cell r="B709" t="str">
            <v>SALSICHA RESFRIADA SEARA CX\4X3KG</v>
          </cell>
          <cell r="C709">
            <v>225</v>
          </cell>
          <cell r="D709">
            <v>0</v>
          </cell>
          <cell r="E709">
            <v>225</v>
          </cell>
        </row>
        <row r="710">
          <cell r="A710">
            <v>893</v>
          </cell>
          <cell r="B710" t="str">
            <v>SALSICHA REZENDE CX/12X500GR</v>
          </cell>
          <cell r="C710">
            <v>12</v>
          </cell>
          <cell r="D710">
            <v>0</v>
          </cell>
          <cell r="E710">
            <v>12</v>
          </cell>
        </row>
        <row r="711">
          <cell r="A711">
            <v>255</v>
          </cell>
          <cell r="B711" t="str">
            <v>SALSICHA REZENDE CX\4X5KG</v>
          </cell>
          <cell r="C711">
            <v>2562</v>
          </cell>
          <cell r="D711">
            <v>21</v>
          </cell>
          <cell r="E711">
            <v>2541</v>
          </cell>
        </row>
        <row r="712">
          <cell r="A712">
            <v>256</v>
          </cell>
          <cell r="B712" t="str">
            <v>SALSICHA SEARA CX/12X500GR</v>
          </cell>
          <cell r="C712">
            <v>16</v>
          </cell>
          <cell r="D712">
            <v>1</v>
          </cell>
          <cell r="E712">
            <v>15</v>
          </cell>
        </row>
        <row r="713">
          <cell r="A713">
            <v>162</v>
          </cell>
          <cell r="B713" t="str">
            <v>SALSICHA SEARA CX\4X5KG</v>
          </cell>
          <cell r="C713">
            <v>1148</v>
          </cell>
          <cell r="D713">
            <v>40</v>
          </cell>
          <cell r="E713">
            <v>1108</v>
          </cell>
        </row>
        <row r="714">
          <cell r="A714">
            <v>160</v>
          </cell>
          <cell r="B714" t="str">
            <v>SALSICHA T.VIENA LT FRISA CX\24X180GR</v>
          </cell>
          <cell r="C714">
            <v>292</v>
          </cell>
          <cell r="D714">
            <v>4</v>
          </cell>
          <cell r="E714">
            <v>288</v>
          </cell>
        </row>
        <row r="715">
          <cell r="A715">
            <v>1748</v>
          </cell>
          <cell r="B715" t="str">
            <v>SAMBIQUIRA FRANGO ATALAIA CX/20KG</v>
          </cell>
          <cell r="C715">
            <v>65</v>
          </cell>
          <cell r="D715">
            <v>0</v>
          </cell>
          <cell r="E715">
            <v>65</v>
          </cell>
        </row>
        <row r="716">
          <cell r="A716">
            <v>165</v>
          </cell>
          <cell r="B716" t="str">
            <v>SARDINHA NAUTIQUE MOLHO CX/25X125GR</v>
          </cell>
          <cell r="C716">
            <v>402</v>
          </cell>
          <cell r="D716">
            <v>5</v>
          </cell>
          <cell r="E716">
            <v>397</v>
          </cell>
        </row>
        <row r="717">
          <cell r="A717">
            <v>166</v>
          </cell>
          <cell r="B717" t="str">
            <v>SARDINHA NAUTIQUE OLEO CX/25X125GR</v>
          </cell>
          <cell r="C717">
            <v>600</v>
          </cell>
          <cell r="D717">
            <v>3</v>
          </cell>
          <cell r="E717">
            <v>597</v>
          </cell>
        </row>
        <row r="718">
          <cell r="A718">
            <v>4074</v>
          </cell>
          <cell r="B718" t="str">
            <v>SEARA PROTEIN FRANGO 12X270G</v>
          </cell>
          <cell r="C718">
            <v>1</v>
          </cell>
          <cell r="D718">
            <v>0</v>
          </cell>
          <cell r="E718">
            <v>1</v>
          </cell>
        </row>
        <row r="719">
          <cell r="A719">
            <v>4072</v>
          </cell>
          <cell r="B719" t="str">
            <v>SEARA PROTEIN MIGNON  12X270G</v>
          </cell>
          <cell r="C719">
            <v>2</v>
          </cell>
          <cell r="D719">
            <v>0</v>
          </cell>
          <cell r="E719">
            <v>2</v>
          </cell>
        </row>
        <row r="720">
          <cell r="A720">
            <v>4073</v>
          </cell>
          <cell r="B720" t="str">
            <v>SEARA PROTEIN PICADINHO 12X270G</v>
          </cell>
          <cell r="C720">
            <v>1</v>
          </cell>
          <cell r="D720">
            <v>1</v>
          </cell>
          <cell r="E720">
            <v>0</v>
          </cell>
        </row>
        <row r="721">
          <cell r="A721">
            <v>728</v>
          </cell>
          <cell r="B721" t="str">
            <v>SELETA LEGUMES SEARA NATURE 10X1,0KG</v>
          </cell>
          <cell r="C721">
            <v>10</v>
          </cell>
          <cell r="D721">
            <v>0</v>
          </cell>
          <cell r="E721">
            <v>10</v>
          </cell>
        </row>
        <row r="722">
          <cell r="A722">
            <v>254</v>
          </cell>
          <cell r="B722" t="str">
            <v>SELETA LEGUMES SEARA NATURE 16X300GR</v>
          </cell>
          <cell r="C722">
            <v>9</v>
          </cell>
          <cell r="D722">
            <v>0</v>
          </cell>
          <cell r="E722">
            <v>9</v>
          </cell>
        </row>
        <row r="723">
          <cell r="A723">
            <v>857</v>
          </cell>
          <cell r="B723" t="str">
            <v>SHOULDER BOVINO FRIGODIAS  KG</v>
          </cell>
          <cell r="C723">
            <v>0.01</v>
          </cell>
          <cell r="D723">
            <v>0</v>
          </cell>
          <cell r="E723">
            <v>0.01</v>
          </cell>
        </row>
        <row r="724">
          <cell r="A724">
            <v>729</v>
          </cell>
          <cell r="B724" t="str">
            <v>SOBRECOXA ENVELOPADA  REAL  CX/20KG</v>
          </cell>
          <cell r="C724">
            <v>328</v>
          </cell>
          <cell r="D724">
            <v>4</v>
          </cell>
          <cell r="E724">
            <v>324</v>
          </cell>
        </row>
        <row r="725">
          <cell r="A725">
            <v>2892</v>
          </cell>
          <cell r="B725" t="str">
            <v>SOBRECOXA PCT PIF PAF CX.20KG</v>
          </cell>
          <cell r="C725">
            <v>15</v>
          </cell>
          <cell r="D725">
            <v>0</v>
          </cell>
          <cell r="E725">
            <v>15</v>
          </cell>
        </row>
        <row r="726">
          <cell r="A726">
            <v>730</v>
          </cell>
          <cell r="B726" t="str">
            <v>SOBRECOXA RIVELLI BANDEJA CX\12KG</v>
          </cell>
          <cell r="C726">
            <v>1</v>
          </cell>
          <cell r="D726">
            <v>0</v>
          </cell>
          <cell r="E726">
            <v>1</v>
          </cell>
        </row>
        <row r="727">
          <cell r="A727">
            <v>858</v>
          </cell>
          <cell r="B727" t="str">
            <v>SOBRECOXA SEARA BANDEJA CX\12KG</v>
          </cell>
          <cell r="C727">
            <v>74</v>
          </cell>
          <cell r="D727">
            <v>6</v>
          </cell>
          <cell r="E727">
            <v>68</v>
          </cell>
        </row>
        <row r="728">
          <cell r="A728">
            <v>1410</v>
          </cell>
          <cell r="B728" t="str">
            <v>SOBRECOXA SEARA IQF CX\12KG</v>
          </cell>
          <cell r="C728">
            <v>44</v>
          </cell>
          <cell r="D728">
            <v>1</v>
          </cell>
          <cell r="E728">
            <v>43</v>
          </cell>
        </row>
        <row r="729">
          <cell r="A729">
            <v>731</v>
          </cell>
          <cell r="B729" t="str">
            <v>SPETTIN FRANGO PIF PAF CX\3KG</v>
          </cell>
          <cell r="C729">
            <v>125</v>
          </cell>
          <cell r="D729">
            <v>2</v>
          </cell>
          <cell r="E729">
            <v>123</v>
          </cell>
        </row>
        <row r="730">
          <cell r="A730">
            <v>324</v>
          </cell>
          <cell r="B730" t="str">
            <v>SPETTIN FRANGO PIF PAF EMPANADO CX\3KG</v>
          </cell>
          <cell r="C730">
            <v>61</v>
          </cell>
          <cell r="D730">
            <v>1</v>
          </cell>
          <cell r="E730">
            <v>60</v>
          </cell>
        </row>
        <row r="731">
          <cell r="A731">
            <v>253</v>
          </cell>
          <cell r="B731" t="str">
            <v>STEAK INCRIVEL EMPANADO SEARA CX/16X300GR</v>
          </cell>
          <cell r="C731">
            <v>3</v>
          </cell>
          <cell r="D731">
            <v>1</v>
          </cell>
          <cell r="E731">
            <v>2</v>
          </cell>
        </row>
        <row r="732">
          <cell r="A732">
            <v>1608</v>
          </cell>
          <cell r="B732" t="str">
            <v>STEAK RECHEADO CHEDDER\BACON SEARA CX\25X110GR</v>
          </cell>
          <cell r="C732">
            <v>29</v>
          </cell>
          <cell r="D732">
            <v>2</v>
          </cell>
          <cell r="E732">
            <v>27</v>
          </cell>
        </row>
        <row r="733">
          <cell r="A733">
            <v>735</v>
          </cell>
          <cell r="B733" t="str">
            <v>STEAK RECHEADO LEVISSIMO\QUEIJO SEARA CX\25X110GR</v>
          </cell>
          <cell r="C733">
            <v>45</v>
          </cell>
          <cell r="D733">
            <v>2</v>
          </cell>
          <cell r="E733">
            <v>43</v>
          </cell>
        </row>
        <row r="734">
          <cell r="A734">
            <v>251</v>
          </cell>
          <cell r="B734" t="str">
            <v>STEAK RECHEADO PRESUNTO\QUEIJO SEARA CX\25X110GR</v>
          </cell>
          <cell r="C734">
            <v>86</v>
          </cell>
          <cell r="D734">
            <v>4</v>
          </cell>
          <cell r="E734">
            <v>82</v>
          </cell>
        </row>
        <row r="735">
          <cell r="A735">
            <v>734</v>
          </cell>
          <cell r="B735" t="str">
            <v>STEAK SABOR QUEIJO SEARA CX\72X100GR</v>
          </cell>
          <cell r="C735">
            <v>1</v>
          </cell>
          <cell r="D735">
            <v>1</v>
          </cell>
          <cell r="E735">
            <v>0</v>
          </cell>
        </row>
        <row r="736">
          <cell r="A736">
            <v>732</v>
          </cell>
          <cell r="B736" t="str">
            <v>STEAK TRADICIONAL FRANGOSUL CX\72X100GR</v>
          </cell>
          <cell r="C736">
            <v>14</v>
          </cell>
          <cell r="D736">
            <v>0</v>
          </cell>
          <cell r="E736">
            <v>14</v>
          </cell>
        </row>
        <row r="737">
          <cell r="A737">
            <v>733</v>
          </cell>
          <cell r="B737" t="str">
            <v>STEAK TRADICIONAL REZENDE CX\72X100GR</v>
          </cell>
          <cell r="C737">
            <v>114</v>
          </cell>
          <cell r="D737">
            <v>1</v>
          </cell>
          <cell r="E737">
            <v>113</v>
          </cell>
        </row>
        <row r="738">
          <cell r="A738">
            <v>252</v>
          </cell>
          <cell r="B738" t="str">
            <v>STEAK TRADICIONAL SEARA 72X100G</v>
          </cell>
          <cell r="C738">
            <v>1165</v>
          </cell>
          <cell r="D738">
            <v>10</v>
          </cell>
          <cell r="E738">
            <v>1155</v>
          </cell>
        </row>
        <row r="739">
          <cell r="A739">
            <v>3455</v>
          </cell>
          <cell r="B739" t="str">
            <v>STRANGER PIZZA PEPPERONI SEARA CX/12X210GR</v>
          </cell>
          <cell r="C739">
            <v>6</v>
          </cell>
          <cell r="D739">
            <v>0</v>
          </cell>
          <cell r="E739">
            <v>6</v>
          </cell>
        </row>
        <row r="740">
          <cell r="A740">
            <v>317</v>
          </cell>
          <cell r="B740" t="str">
            <v>SUCO NECTAR CAJU TIAL CX/24X200ML</v>
          </cell>
          <cell r="C740">
            <v>69</v>
          </cell>
          <cell r="D740">
            <v>2</v>
          </cell>
          <cell r="E740">
            <v>67</v>
          </cell>
        </row>
        <row r="741">
          <cell r="A741">
            <v>318</v>
          </cell>
          <cell r="B741" t="str">
            <v>SUCO NECTAR CAJU TIAL CX\12X1LT</v>
          </cell>
          <cell r="C741">
            <v>28</v>
          </cell>
          <cell r="D741">
            <v>1</v>
          </cell>
          <cell r="E741">
            <v>27</v>
          </cell>
        </row>
        <row r="742">
          <cell r="A742">
            <v>737</v>
          </cell>
          <cell r="B742" t="str">
            <v>SUCO NECTAR GOIABA TIAL CX/12X1LT</v>
          </cell>
          <cell r="C742">
            <v>131</v>
          </cell>
          <cell r="D742">
            <v>2</v>
          </cell>
          <cell r="E742">
            <v>129</v>
          </cell>
        </row>
        <row r="743">
          <cell r="A743">
            <v>738</v>
          </cell>
          <cell r="B743" t="str">
            <v>SUCO NECTAR GOIABA TIAL CX/24X200ML</v>
          </cell>
          <cell r="C743">
            <v>251</v>
          </cell>
          <cell r="D743">
            <v>6</v>
          </cell>
          <cell r="E743">
            <v>245</v>
          </cell>
        </row>
        <row r="744">
          <cell r="A744">
            <v>1979</v>
          </cell>
          <cell r="B744" t="str">
            <v>SUCO NECTAR LARANJA TIAL CX\12X1LT</v>
          </cell>
          <cell r="C744">
            <v>38</v>
          </cell>
          <cell r="D744">
            <v>1</v>
          </cell>
          <cell r="E744">
            <v>37</v>
          </cell>
        </row>
        <row r="745">
          <cell r="A745">
            <v>739</v>
          </cell>
          <cell r="B745" t="str">
            <v>SUCO NECTAR LARANJA TIAL CX\24X200ML</v>
          </cell>
          <cell r="C745">
            <v>160</v>
          </cell>
          <cell r="D745">
            <v>3</v>
          </cell>
          <cell r="E745">
            <v>157</v>
          </cell>
        </row>
        <row r="746">
          <cell r="A746">
            <v>740</v>
          </cell>
          <cell r="B746" t="str">
            <v>SUCO NECTAR MANGA TIAL  CX/12X1LT</v>
          </cell>
          <cell r="C746">
            <v>155</v>
          </cell>
          <cell r="D746">
            <v>2</v>
          </cell>
          <cell r="E746">
            <v>153</v>
          </cell>
        </row>
        <row r="747">
          <cell r="A747">
            <v>741</v>
          </cell>
          <cell r="B747" t="str">
            <v>SUCO NECTAR MANGA TIAL CX/24X200ML</v>
          </cell>
          <cell r="C747">
            <v>262</v>
          </cell>
          <cell r="D747">
            <v>1</v>
          </cell>
          <cell r="E747">
            <v>261</v>
          </cell>
        </row>
        <row r="748">
          <cell r="A748">
            <v>742</v>
          </cell>
          <cell r="B748" t="str">
            <v>SUCO NECTAR MARACUJA TIAL CX 12X1LT</v>
          </cell>
          <cell r="C748">
            <v>94</v>
          </cell>
          <cell r="D748">
            <v>3</v>
          </cell>
          <cell r="E748">
            <v>91</v>
          </cell>
        </row>
        <row r="749">
          <cell r="A749">
            <v>743</v>
          </cell>
          <cell r="B749" t="str">
            <v>SUCO NECTAR MARACUJA TIAL CX/24X200ML</v>
          </cell>
          <cell r="C749">
            <v>372</v>
          </cell>
          <cell r="D749">
            <v>2</v>
          </cell>
          <cell r="E749">
            <v>370</v>
          </cell>
        </row>
        <row r="750">
          <cell r="A750">
            <v>744</v>
          </cell>
          <cell r="B750" t="str">
            <v>SUCO NECTAR PESSEGO TIAL CX/12X1LT</v>
          </cell>
          <cell r="C750">
            <v>47</v>
          </cell>
          <cell r="D750">
            <v>2</v>
          </cell>
          <cell r="E750">
            <v>45</v>
          </cell>
        </row>
        <row r="751">
          <cell r="A751">
            <v>745</v>
          </cell>
          <cell r="B751" t="str">
            <v>SUCO NECTAR PESSEGO TIAL CX\24X200ML</v>
          </cell>
          <cell r="C751">
            <v>166</v>
          </cell>
          <cell r="D751">
            <v>1</v>
          </cell>
          <cell r="E751">
            <v>165</v>
          </cell>
        </row>
        <row r="752">
          <cell r="A752">
            <v>746</v>
          </cell>
          <cell r="B752" t="str">
            <v>SUCO NECTAR UVA TIAL CX/12X1LT</v>
          </cell>
          <cell r="C752">
            <v>159</v>
          </cell>
          <cell r="D752">
            <v>2</v>
          </cell>
          <cell r="E752">
            <v>157</v>
          </cell>
        </row>
        <row r="753">
          <cell r="A753">
            <v>747</v>
          </cell>
          <cell r="B753" t="str">
            <v>SUCO NECTAR UVA TIAL CX\24X200ML</v>
          </cell>
          <cell r="C753">
            <v>576</v>
          </cell>
          <cell r="D753">
            <v>9</v>
          </cell>
          <cell r="E753">
            <v>567</v>
          </cell>
        </row>
        <row r="754">
          <cell r="A754">
            <v>748</v>
          </cell>
          <cell r="B754" t="str">
            <v>SUCO UVA 100% TIAL CX/12X1LT</v>
          </cell>
          <cell r="C754">
            <v>114</v>
          </cell>
          <cell r="D754">
            <v>4</v>
          </cell>
          <cell r="E754">
            <v>110</v>
          </cell>
        </row>
        <row r="755">
          <cell r="A755">
            <v>320</v>
          </cell>
          <cell r="B755" t="str">
            <v>SUCO UVA 100% TIAL CX/24X200ML</v>
          </cell>
          <cell r="C755">
            <v>110</v>
          </cell>
          <cell r="D755">
            <v>10</v>
          </cell>
          <cell r="E755">
            <v>100</v>
          </cell>
        </row>
        <row r="756">
          <cell r="A756">
            <v>750</v>
          </cell>
          <cell r="B756" t="str">
            <v>TEKITOS BIG QUEIJO SEARA CX\5X900GR</v>
          </cell>
          <cell r="C756">
            <v>34</v>
          </cell>
          <cell r="D756">
            <v>4</v>
          </cell>
          <cell r="E756">
            <v>30</v>
          </cell>
        </row>
        <row r="757">
          <cell r="A757">
            <v>250</v>
          </cell>
          <cell r="B757" t="str">
            <v>TEKITOS BIG TRADICIONAL SEARA CX\5X900GR</v>
          </cell>
          <cell r="C757">
            <v>37</v>
          </cell>
          <cell r="D757">
            <v>1</v>
          </cell>
          <cell r="E757">
            <v>36</v>
          </cell>
        </row>
        <row r="758">
          <cell r="A758">
            <v>3941</v>
          </cell>
          <cell r="B758" t="str">
            <v>TEKITOS FORMATOS CX 20X275GR</v>
          </cell>
          <cell r="C758">
            <v>40</v>
          </cell>
          <cell r="D758">
            <v>1</v>
          </cell>
          <cell r="E758">
            <v>39</v>
          </cell>
        </row>
        <row r="759">
          <cell r="A759">
            <v>249</v>
          </cell>
          <cell r="B759" t="str">
            <v>TEKITOS SEARA CX\16X300GR</v>
          </cell>
          <cell r="C759">
            <v>148</v>
          </cell>
          <cell r="D759">
            <v>2</v>
          </cell>
          <cell r="E759">
            <v>146</v>
          </cell>
        </row>
        <row r="760">
          <cell r="A760">
            <v>751</v>
          </cell>
          <cell r="B760" t="str">
            <v>TEKITOS SEARA CX\2X2,5KG</v>
          </cell>
          <cell r="C760">
            <v>48</v>
          </cell>
          <cell r="D760">
            <v>1</v>
          </cell>
          <cell r="E760">
            <v>47</v>
          </cell>
        </row>
        <row r="761">
          <cell r="A761">
            <v>246</v>
          </cell>
          <cell r="B761" t="str">
            <v>TEKITOS SEARA CX\5X1KG</v>
          </cell>
          <cell r="C761">
            <v>150</v>
          </cell>
          <cell r="D761">
            <v>9</v>
          </cell>
          <cell r="E761">
            <v>141</v>
          </cell>
        </row>
        <row r="762">
          <cell r="A762">
            <v>752</v>
          </cell>
          <cell r="B762" t="str">
            <v>TEKITOS SEARA QUEIJO/OREGANO CX/5X1KG</v>
          </cell>
          <cell r="C762">
            <v>9</v>
          </cell>
          <cell r="D762">
            <v>3</v>
          </cell>
          <cell r="E762">
            <v>6</v>
          </cell>
        </row>
        <row r="763">
          <cell r="A763">
            <v>753</v>
          </cell>
          <cell r="B763" t="str">
            <v>TEKITOS SEARA QUEIJO/OREGANO CX\16X300GR</v>
          </cell>
          <cell r="C763">
            <v>17</v>
          </cell>
          <cell r="D763">
            <v>1</v>
          </cell>
          <cell r="E763">
            <v>16</v>
          </cell>
        </row>
        <row r="764">
          <cell r="A764">
            <v>754</v>
          </cell>
          <cell r="B764" t="str">
            <v>TIRINHAS DE FRANGO AURORA CX\16X275GR</v>
          </cell>
          <cell r="C764">
            <v>105</v>
          </cell>
          <cell r="D764">
            <v>0</v>
          </cell>
          <cell r="E764">
            <v>105</v>
          </cell>
        </row>
        <row r="765">
          <cell r="A765">
            <v>4126</v>
          </cell>
          <cell r="B765" t="str">
            <v>TIRINHAS DE FRANGO LAR CX\10X700GR</v>
          </cell>
          <cell r="C765">
            <v>26</v>
          </cell>
          <cell r="D765">
            <v>1</v>
          </cell>
          <cell r="E765">
            <v>25</v>
          </cell>
        </row>
        <row r="766">
          <cell r="A766">
            <v>3924</v>
          </cell>
          <cell r="B766" t="str">
            <v>TORRESMO  UAI DAS GERAIS 15X180GR</v>
          </cell>
          <cell r="C766">
            <v>48</v>
          </cell>
          <cell r="D766">
            <v>1</v>
          </cell>
          <cell r="E766">
            <v>47</v>
          </cell>
        </row>
        <row r="767">
          <cell r="A767">
            <v>3118</v>
          </cell>
          <cell r="B767" t="str">
            <v>TOUCINHO SUINO ADEEL KG</v>
          </cell>
          <cell r="C767">
            <v>2444.89</v>
          </cell>
          <cell r="D767">
            <v>0</v>
          </cell>
          <cell r="E767">
            <v>2444.89</v>
          </cell>
        </row>
        <row r="768">
          <cell r="A768">
            <v>4183</v>
          </cell>
          <cell r="B768" t="str">
            <v>TOUCINHO SUINO LOMBAR  DICASA  KG</v>
          </cell>
          <cell r="C768">
            <v>2910.39</v>
          </cell>
          <cell r="D768">
            <v>20</v>
          </cell>
          <cell r="E768">
            <v>2890.39</v>
          </cell>
        </row>
        <row r="769">
          <cell r="A769">
            <v>910</v>
          </cell>
          <cell r="B769" t="str">
            <v>TOUCINHO SUINO LOMBAR DIMELHOR KG</v>
          </cell>
          <cell r="C769">
            <v>2</v>
          </cell>
          <cell r="D769">
            <v>0</v>
          </cell>
          <cell r="E769">
            <v>2</v>
          </cell>
        </row>
        <row r="770">
          <cell r="A770">
            <v>969</v>
          </cell>
          <cell r="B770" t="str">
            <v>TOUCINHO SUINO PALADAR KG</v>
          </cell>
          <cell r="C770">
            <v>0</v>
          </cell>
          <cell r="D770">
            <v>0</v>
          </cell>
          <cell r="E770">
            <v>0</v>
          </cell>
        </row>
        <row r="771">
          <cell r="A771">
            <v>3119</v>
          </cell>
          <cell r="B771" t="str">
            <v>TOUCINHO SUINO PICADO  ADEEL CX/24X1KG</v>
          </cell>
          <cell r="C771">
            <v>14</v>
          </cell>
          <cell r="D771">
            <v>0</v>
          </cell>
          <cell r="E771">
            <v>14</v>
          </cell>
        </row>
        <row r="772">
          <cell r="A772">
            <v>3641</v>
          </cell>
          <cell r="B772" t="str">
            <v>UVA PASSA BRANCA S/SEMENTE TOZZI CX 12X180GR</v>
          </cell>
          <cell r="C772">
            <v>5</v>
          </cell>
          <cell r="D772">
            <v>0</v>
          </cell>
          <cell r="E772">
            <v>5</v>
          </cell>
        </row>
        <row r="773">
          <cell r="A773">
            <v>759</v>
          </cell>
          <cell r="B773" t="str">
            <v>UVA PASSA S/SEMENTE POTE TOZZI 12X180GR</v>
          </cell>
          <cell r="C773">
            <v>41</v>
          </cell>
          <cell r="D773">
            <v>0</v>
          </cell>
          <cell r="E773">
            <v>41</v>
          </cell>
        </row>
        <row r="774">
          <cell r="A774">
            <v>223</v>
          </cell>
          <cell r="B774" t="str">
            <v>UVA PASSA S/SEMENTE SACHE TOZZI  24X70GR</v>
          </cell>
          <cell r="C774">
            <v>70</v>
          </cell>
          <cell r="D774">
            <v>3</v>
          </cell>
          <cell r="E774">
            <v>67</v>
          </cell>
        </row>
        <row r="775">
          <cell r="A775">
            <v>222</v>
          </cell>
          <cell r="B775" t="str">
            <v>UVA PASSA S/SEMENTE TOZZI  10KG</v>
          </cell>
          <cell r="C775">
            <v>53</v>
          </cell>
          <cell r="D775">
            <v>0</v>
          </cell>
          <cell r="E775">
            <v>53</v>
          </cell>
        </row>
        <row r="776">
          <cell r="A776">
            <v>322</v>
          </cell>
          <cell r="B776" t="str">
            <v>VITAMINA FRUTAS CEMIL CX\12X1LT</v>
          </cell>
          <cell r="C776">
            <v>264</v>
          </cell>
          <cell r="D776">
            <v>5</v>
          </cell>
          <cell r="E776">
            <v>259</v>
          </cell>
        </row>
        <row r="777">
          <cell r="A777">
            <v>765</v>
          </cell>
          <cell r="B777" t="str">
            <v>VITAMINA FRUTAS CEMIL CX\27X200ML</v>
          </cell>
          <cell r="C777">
            <v>186</v>
          </cell>
          <cell r="D777">
            <v>6</v>
          </cell>
          <cell r="E777">
            <v>180</v>
          </cell>
        </row>
        <row r="778">
          <cell r="A778">
            <v>3757</v>
          </cell>
          <cell r="B778" t="str">
            <v>VITAMINA FRUTAS DAMARE KIDS  24X200GR</v>
          </cell>
          <cell r="C778">
            <v>850</v>
          </cell>
          <cell r="D778">
            <v>8</v>
          </cell>
          <cell r="E778">
            <v>842</v>
          </cell>
        </row>
        <row r="779">
          <cell r="A779">
            <v>864</v>
          </cell>
          <cell r="B779" t="str">
            <v>VITAMINA FRUTAS IBITURUNA CX/12X1LT</v>
          </cell>
          <cell r="C779">
            <v>29</v>
          </cell>
          <cell r="D779">
            <v>0</v>
          </cell>
          <cell r="E779">
            <v>29</v>
          </cell>
        </row>
        <row r="780">
          <cell r="A780">
            <v>865</v>
          </cell>
          <cell r="B780" t="str">
            <v>VITAMINA FRUTAS IBITURUNA CX/27X200ML</v>
          </cell>
          <cell r="C780">
            <v>896</v>
          </cell>
          <cell r="D780">
            <v>12</v>
          </cell>
          <cell r="E780">
            <v>884</v>
          </cell>
        </row>
        <row r="781">
          <cell r="A781">
            <v>3458</v>
          </cell>
          <cell r="B781" t="str">
            <v>VITAMINA FRUTAS QUATA CX/27X180ML</v>
          </cell>
          <cell r="C781">
            <v>671</v>
          </cell>
          <cell r="D781">
            <v>8</v>
          </cell>
          <cell r="E781">
            <v>663</v>
          </cell>
        </row>
        <row r="782">
          <cell r="A782">
            <v>245</v>
          </cell>
          <cell r="B782" t="str">
            <v>YAKISOBA SEARA CX/6X500GR</v>
          </cell>
          <cell r="C782">
            <v>3</v>
          </cell>
          <cell r="D782">
            <v>3</v>
          </cell>
          <cell r="E782">
            <v>0</v>
          </cell>
        </row>
        <row r="783">
          <cell r="C783">
            <v>258886.17</v>
          </cell>
          <cell r="D783">
            <v>6880.4100000000008</v>
          </cell>
          <cell r="E783">
            <v>252005.77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sheet"/>
      <sheetName val="Desempenho_de_Produtos 01"/>
    </sheetNames>
    <sheetDataSet>
      <sheetData sheetId="0">
        <row r="1">
          <cell r="A1" t="str">
            <v>Código</v>
          </cell>
          <cell r="B1" t="str">
            <v>Qtd. Neg. Vendas</v>
          </cell>
          <cell r="C1" t="str">
            <v>Descrição</v>
          </cell>
          <cell r="D1" t="str">
            <v>Vlr. Compras</v>
          </cell>
          <cell r="E1" t="str">
            <v>% Total Compras</v>
          </cell>
          <cell r="F1" t="str">
            <v>Qtd. Neg. Compras</v>
          </cell>
          <cell r="G1" t="str">
            <v>Vlr. Dev. Compras</v>
          </cell>
          <cell r="H1" t="str">
            <v>% Total Dev. Compras</v>
          </cell>
          <cell r="I1" t="str">
            <v>Qtd. Neg. Dev. Compras</v>
          </cell>
          <cell r="J1" t="str">
            <v>Vlr. Vendas</v>
          </cell>
          <cell r="K1" t="str">
            <v>% Total Vendas</v>
          </cell>
          <cell r="L1" t="str">
            <v>Vlr. Dev. Vendas</v>
          </cell>
          <cell r="M1" t="str">
            <v>% Total Dev. Vendas</v>
          </cell>
          <cell r="N1" t="str">
            <v>Qtd. Neg. Dev. Vendas</v>
          </cell>
          <cell r="O1" t="str">
            <v>Qtd. Clientes Atendidos</v>
          </cell>
          <cell r="P1" t="str">
            <v>% Clientes Atendidos</v>
          </cell>
          <cell r="Q1" t="str">
            <v>Peso Liq. Compras</v>
          </cell>
          <cell r="R1" t="str">
            <v>Peso Liq. Vendas</v>
          </cell>
          <cell r="S1" t="str">
            <v>Peso Liq. Dev. Compras</v>
          </cell>
          <cell r="T1" t="str">
            <v>Peso Liq. Dev. Vendas</v>
          </cell>
        </row>
        <row r="2">
          <cell r="A2">
            <v>386</v>
          </cell>
          <cell r="B2">
            <v>55642.559999999998</v>
          </cell>
          <cell r="C2" t="str">
            <v>MUSSARELA CRISTAULAT KG</v>
          </cell>
          <cell r="D2">
            <v>2653993.6800000002</v>
          </cell>
          <cell r="E2">
            <v>16.97</v>
          </cell>
          <cell r="F2">
            <v>72648.639999999999</v>
          </cell>
          <cell r="G2">
            <v>0</v>
          </cell>
          <cell r="H2">
            <v>0</v>
          </cell>
          <cell r="I2">
            <v>0</v>
          </cell>
          <cell r="J2">
            <v>2227653.42</v>
          </cell>
          <cell r="K2">
            <v>9.7200000000000006</v>
          </cell>
          <cell r="L2">
            <v>9244.2900000000009</v>
          </cell>
          <cell r="M2">
            <v>5.32</v>
          </cell>
          <cell r="N2">
            <v>245.91</v>
          </cell>
          <cell r="O2">
            <v>1385</v>
          </cell>
          <cell r="P2">
            <v>18.66</v>
          </cell>
          <cell r="Q2">
            <v>72648.639999999999</v>
          </cell>
          <cell r="R2">
            <v>55642.559999999998</v>
          </cell>
          <cell r="S2">
            <v>0</v>
          </cell>
          <cell r="T2">
            <v>245.91</v>
          </cell>
        </row>
        <row r="3">
          <cell r="A3">
            <v>672</v>
          </cell>
          <cell r="B3">
            <v>24820</v>
          </cell>
          <cell r="C3" t="str">
            <v>MORTADELA CONFIANÇA CX\4X3,5KG</v>
          </cell>
          <cell r="D3">
            <v>353976</v>
          </cell>
          <cell r="E3">
            <v>2.2599999999999998</v>
          </cell>
          <cell r="F3">
            <v>15680</v>
          </cell>
          <cell r="G3">
            <v>0</v>
          </cell>
          <cell r="H3">
            <v>0</v>
          </cell>
          <cell r="I3">
            <v>0</v>
          </cell>
          <cell r="J3">
            <v>638900.39</v>
          </cell>
          <cell r="K3">
            <v>2.79</v>
          </cell>
          <cell r="L3">
            <v>7152.43</v>
          </cell>
          <cell r="M3">
            <v>4.12</v>
          </cell>
          <cell r="N3">
            <v>281</v>
          </cell>
          <cell r="O3">
            <v>1883</v>
          </cell>
          <cell r="P3">
            <v>25.36</v>
          </cell>
          <cell r="Q3">
            <v>54880</v>
          </cell>
          <cell r="R3">
            <v>86870</v>
          </cell>
          <cell r="S3">
            <v>0</v>
          </cell>
          <cell r="T3">
            <v>983.5</v>
          </cell>
        </row>
        <row r="4">
          <cell r="A4">
            <v>213</v>
          </cell>
          <cell r="B4">
            <v>13595.7</v>
          </cell>
          <cell r="C4" t="str">
            <v>BACON PALETA ADEEL KG</v>
          </cell>
          <cell r="D4">
            <v>261785.46</v>
          </cell>
          <cell r="E4">
            <v>1.67</v>
          </cell>
          <cell r="F4">
            <v>14320.18</v>
          </cell>
          <cell r="G4">
            <v>0</v>
          </cell>
          <cell r="H4">
            <v>0</v>
          </cell>
          <cell r="I4">
            <v>0</v>
          </cell>
          <cell r="J4">
            <v>315656.43</v>
          </cell>
          <cell r="K4">
            <v>1.38</v>
          </cell>
          <cell r="L4">
            <v>675.56</v>
          </cell>
          <cell r="M4">
            <v>0.39</v>
          </cell>
          <cell r="N4">
            <v>29.29</v>
          </cell>
          <cell r="O4">
            <v>558</v>
          </cell>
          <cell r="P4">
            <v>7.52</v>
          </cell>
          <cell r="Q4">
            <v>14320.18</v>
          </cell>
          <cell r="R4">
            <v>13595.7</v>
          </cell>
          <cell r="S4">
            <v>0</v>
          </cell>
          <cell r="T4">
            <v>29.29</v>
          </cell>
        </row>
        <row r="5">
          <cell r="A5">
            <v>4145</v>
          </cell>
          <cell r="B5">
            <v>6993</v>
          </cell>
          <cell r="C5" t="str">
            <v>MILHO VERDE LATAO PREDILECTA 1,5KG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138060.78</v>
          </cell>
          <cell r="K5">
            <v>0.6</v>
          </cell>
          <cell r="L5">
            <v>595.98</v>
          </cell>
          <cell r="M5">
            <v>0.34</v>
          </cell>
          <cell r="N5">
            <v>30</v>
          </cell>
          <cell r="O5">
            <v>449</v>
          </cell>
          <cell r="P5">
            <v>6.05</v>
          </cell>
          <cell r="Q5">
            <v>0</v>
          </cell>
          <cell r="R5">
            <v>10489.5</v>
          </cell>
          <cell r="S5">
            <v>0</v>
          </cell>
          <cell r="T5">
            <v>45</v>
          </cell>
        </row>
        <row r="6">
          <cell r="A6">
            <v>51</v>
          </cell>
          <cell r="B6">
            <v>6982</v>
          </cell>
          <cell r="C6" t="str">
            <v>FRANGO CONG.FRANCAP CX/20KG</v>
          </cell>
          <cell r="D6">
            <v>594174.18000000005</v>
          </cell>
          <cell r="E6">
            <v>3.8</v>
          </cell>
          <cell r="F6">
            <v>4200</v>
          </cell>
          <cell r="G6">
            <v>0</v>
          </cell>
          <cell r="H6">
            <v>0</v>
          </cell>
          <cell r="I6">
            <v>0</v>
          </cell>
          <cell r="J6">
            <v>1063985.79</v>
          </cell>
          <cell r="K6">
            <v>4.6399999999999997</v>
          </cell>
          <cell r="L6">
            <v>6218.04</v>
          </cell>
          <cell r="M6">
            <v>3.58</v>
          </cell>
          <cell r="N6">
            <v>40</v>
          </cell>
          <cell r="O6">
            <v>1647</v>
          </cell>
          <cell r="P6">
            <v>22.18</v>
          </cell>
          <cell r="Q6">
            <v>84000</v>
          </cell>
          <cell r="R6">
            <v>139640</v>
          </cell>
          <cell r="S6">
            <v>0</v>
          </cell>
          <cell r="T6">
            <v>800</v>
          </cell>
        </row>
        <row r="7">
          <cell r="A7">
            <v>114</v>
          </cell>
          <cell r="B7">
            <v>6011.88</v>
          </cell>
          <cell r="C7" t="str">
            <v>PERNIL SUINO DICASA KG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86307.61</v>
          </cell>
          <cell r="K7">
            <v>0.38</v>
          </cell>
          <cell r="L7">
            <v>2970.14</v>
          </cell>
          <cell r="M7">
            <v>1.71</v>
          </cell>
          <cell r="N7">
            <v>207.28</v>
          </cell>
          <cell r="O7">
            <v>134</v>
          </cell>
          <cell r="P7">
            <v>1.8</v>
          </cell>
          <cell r="Q7">
            <v>0</v>
          </cell>
          <cell r="R7">
            <v>6011.88</v>
          </cell>
          <cell r="S7">
            <v>0</v>
          </cell>
          <cell r="T7">
            <v>207.28</v>
          </cell>
        </row>
        <row r="8">
          <cell r="A8">
            <v>3994</v>
          </cell>
          <cell r="B8">
            <v>5230.1099999999997</v>
          </cell>
          <cell r="C8" t="str">
            <v>LOMBO SUINO INTERIO DICASA  KG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90688.78</v>
          </cell>
          <cell r="K8">
            <v>0.4</v>
          </cell>
          <cell r="L8">
            <v>0</v>
          </cell>
          <cell r="M8">
            <v>0</v>
          </cell>
          <cell r="N8">
            <v>0</v>
          </cell>
          <cell r="O8">
            <v>112</v>
          </cell>
          <cell r="P8">
            <v>1.51</v>
          </cell>
          <cell r="Q8">
            <v>0</v>
          </cell>
          <cell r="R8">
            <v>5230.1099999999997</v>
          </cell>
          <cell r="S8">
            <v>0</v>
          </cell>
          <cell r="T8">
            <v>0</v>
          </cell>
        </row>
        <row r="9">
          <cell r="A9">
            <v>2756</v>
          </cell>
          <cell r="B9">
            <v>5200.88</v>
          </cell>
          <cell r="C9" t="str">
            <v>ESPINHACO SUINO DICASA KG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13105.57</v>
          </cell>
          <cell r="K9">
            <v>0.06</v>
          </cell>
          <cell r="L9">
            <v>56.15</v>
          </cell>
          <cell r="M9">
            <v>0.03</v>
          </cell>
          <cell r="N9">
            <v>22.55</v>
          </cell>
          <cell r="O9">
            <v>90</v>
          </cell>
          <cell r="P9">
            <v>1.21</v>
          </cell>
          <cell r="Q9">
            <v>0</v>
          </cell>
          <cell r="R9">
            <v>5200.88</v>
          </cell>
          <cell r="S9">
            <v>0</v>
          </cell>
          <cell r="T9">
            <v>22.55</v>
          </cell>
        </row>
        <row r="10">
          <cell r="A10">
            <v>602</v>
          </cell>
          <cell r="B10">
            <v>5070</v>
          </cell>
          <cell r="C10" t="str">
            <v>LEITE UHT INTEGRAL IBITURUNA CX\12LT</v>
          </cell>
          <cell r="D10">
            <v>215220</v>
          </cell>
          <cell r="E10">
            <v>1.38</v>
          </cell>
          <cell r="F10">
            <v>3740</v>
          </cell>
          <cell r="G10">
            <v>0</v>
          </cell>
          <cell r="H10">
            <v>0</v>
          </cell>
          <cell r="I10">
            <v>0</v>
          </cell>
          <cell r="J10">
            <v>340036.85</v>
          </cell>
          <cell r="K10">
            <v>1.48</v>
          </cell>
          <cell r="L10">
            <v>1262.83</v>
          </cell>
          <cell r="M10">
            <v>0.73</v>
          </cell>
          <cell r="N10">
            <v>19</v>
          </cell>
          <cell r="O10">
            <v>766</v>
          </cell>
          <cell r="P10">
            <v>10.32</v>
          </cell>
          <cell r="Q10">
            <v>44880</v>
          </cell>
          <cell r="R10">
            <v>60840</v>
          </cell>
          <cell r="S10">
            <v>0</v>
          </cell>
          <cell r="T10">
            <v>228</v>
          </cell>
        </row>
        <row r="11">
          <cell r="A11">
            <v>334</v>
          </cell>
          <cell r="B11">
            <v>4675</v>
          </cell>
          <cell r="C11" t="str">
            <v>REQUEIJAO BISNAGA TAINA  1,8KG</v>
          </cell>
          <cell r="D11">
            <v>37840.410000000003</v>
          </cell>
          <cell r="E11">
            <v>0.24</v>
          </cell>
          <cell r="F11">
            <v>2496</v>
          </cell>
          <cell r="G11">
            <v>0</v>
          </cell>
          <cell r="H11">
            <v>0</v>
          </cell>
          <cell r="I11">
            <v>0</v>
          </cell>
          <cell r="J11">
            <v>94532.99</v>
          </cell>
          <cell r="K11">
            <v>0.41</v>
          </cell>
          <cell r="L11">
            <v>1013.11</v>
          </cell>
          <cell r="M11">
            <v>0.57999999999999996</v>
          </cell>
          <cell r="N11">
            <v>50</v>
          </cell>
          <cell r="O11">
            <v>410</v>
          </cell>
          <cell r="P11">
            <v>5.52</v>
          </cell>
          <cell r="Q11">
            <v>4492.8</v>
          </cell>
          <cell r="R11">
            <v>8415</v>
          </cell>
          <cell r="S11">
            <v>0</v>
          </cell>
          <cell r="T11">
            <v>90</v>
          </cell>
        </row>
        <row r="12">
          <cell r="A12">
            <v>231</v>
          </cell>
          <cell r="B12">
            <v>4610</v>
          </cell>
          <cell r="C12" t="str">
            <v>LING DEF.PIMENTINHA MISTA CX\25UN</v>
          </cell>
          <cell r="D12">
            <v>26571.040000000001</v>
          </cell>
          <cell r="E12">
            <v>0.17</v>
          </cell>
          <cell r="F12">
            <v>3750</v>
          </cell>
          <cell r="G12">
            <v>0</v>
          </cell>
          <cell r="H12">
            <v>0</v>
          </cell>
          <cell r="I12">
            <v>0</v>
          </cell>
          <cell r="J12">
            <v>40637.61</v>
          </cell>
          <cell r="K12">
            <v>0.18</v>
          </cell>
          <cell r="L12">
            <v>152.63999999999999</v>
          </cell>
          <cell r="M12">
            <v>0.09</v>
          </cell>
          <cell r="N12">
            <v>17</v>
          </cell>
          <cell r="O12">
            <v>252</v>
          </cell>
          <cell r="P12">
            <v>3.39</v>
          </cell>
          <cell r="Q12">
            <v>1500</v>
          </cell>
          <cell r="R12">
            <v>1844</v>
          </cell>
          <cell r="S12">
            <v>0</v>
          </cell>
          <cell r="T12">
            <v>6.8</v>
          </cell>
        </row>
        <row r="13">
          <cell r="A13">
            <v>3256</v>
          </cell>
          <cell r="B13">
            <v>4568.3100000000004</v>
          </cell>
          <cell r="C13" t="str">
            <v>ASA PERU PCT PERDIGAO KG</v>
          </cell>
          <cell r="D13">
            <v>51693.16</v>
          </cell>
          <cell r="E13">
            <v>0.33</v>
          </cell>
          <cell r="F13">
            <v>5948.58</v>
          </cell>
          <cell r="G13">
            <v>0</v>
          </cell>
          <cell r="H13">
            <v>0</v>
          </cell>
          <cell r="I13">
            <v>0</v>
          </cell>
          <cell r="J13">
            <v>57415.88</v>
          </cell>
          <cell r="K13">
            <v>0.25</v>
          </cell>
          <cell r="L13">
            <v>172.17</v>
          </cell>
          <cell r="M13">
            <v>0.1</v>
          </cell>
          <cell r="N13">
            <v>14.64</v>
          </cell>
          <cell r="O13">
            <v>159</v>
          </cell>
          <cell r="P13">
            <v>2.14</v>
          </cell>
          <cell r="Q13">
            <v>5948.58</v>
          </cell>
          <cell r="R13">
            <v>4568.3100000000004</v>
          </cell>
          <cell r="S13">
            <v>0</v>
          </cell>
          <cell r="T13">
            <v>14.64</v>
          </cell>
        </row>
        <row r="14">
          <cell r="A14">
            <v>125</v>
          </cell>
          <cell r="B14">
            <v>4199.9799999999996</v>
          </cell>
          <cell r="C14" t="str">
            <v>PALETA SUINA DICASA  KG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56222.64</v>
          </cell>
          <cell r="K14">
            <v>0.25</v>
          </cell>
          <cell r="L14">
            <v>0</v>
          </cell>
          <cell r="M14">
            <v>0</v>
          </cell>
          <cell r="N14">
            <v>0</v>
          </cell>
          <cell r="O14">
            <v>68</v>
          </cell>
          <cell r="P14">
            <v>0.92</v>
          </cell>
          <cell r="Q14">
            <v>0</v>
          </cell>
          <cell r="R14">
            <v>4199.9799999999996</v>
          </cell>
          <cell r="S14">
            <v>0</v>
          </cell>
          <cell r="T14">
            <v>0</v>
          </cell>
        </row>
        <row r="15">
          <cell r="A15">
            <v>90</v>
          </cell>
          <cell r="B15">
            <v>4024.81</v>
          </cell>
          <cell r="C15" t="str">
            <v>MACA PEITO BOVINA PLENA KG</v>
          </cell>
          <cell r="D15">
            <v>85787.34</v>
          </cell>
          <cell r="E15">
            <v>0.55000000000000004</v>
          </cell>
          <cell r="F15">
            <v>3010.49</v>
          </cell>
          <cell r="G15">
            <v>0</v>
          </cell>
          <cell r="H15">
            <v>0</v>
          </cell>
          <cell r="I15">
            <v>0</v>
          </cell>
          <cell r="J15">
            <v>130128.73</v>
          </cell>
          <cell r="K15">
            <v>0.56999999999999995</v>
          </cell>
          <cell r="L15">
            <v>0</v>
          </cell>
          <cell r="M15">
            <v>0</v>
          </cell>
          <cell r="N15">
            <v>0</v>
          </cell>
          <cell r="O15">
            <v>49</v>
          </cell>
          <cell r="P15">
            <v>0.66</v>
          </cell>
          <cell r="Q15">
            <v>3010.49</v>
          </cell>
          <cell r="R15">
            <v>4024.81</v>
          </cell>
          <cell r="S15">
            <v>0</v>
          </cell>
          <cell r="T15">
            <v>0</v>
          </cell>
        </row>
        <row r="16">
          <cell r="A16">
            <v>4182</v>
          </cell>
          <cell r="B16">
            <v>3996.61</v>
          </cell>
          <cell r="C16" t="str">
            <v>COSTELA SUINA EM TIRAS DICASA KG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68840.84</v>
          </cell>
          <cell r="K16">
            <v>0.3</v>
          </cell>
          <cell r="L16">
            <v>781.27</v>
          </cell>
          <cell r="M16">
            <v>0.45</v>
          </cell>
          <cell r="N16">
            <v>44.92</v>
          </cell>
          <cell r="O16">
            <v>109</v>
          </cell>
          <cell r="P16">
            <v>1.47</v>
          </cell>
          <cell r="Q16">
            <v>0</v>
          </cell>
          <cell r="R16">
            <v>3996.61</v>
          </cell>
          <cell r="S16">
            <v>0</v>
          </cell>
          <cell r="T16">
            <v>44.92</v>
          </cell>
        </row>
        <row r="17">
          <cell r="A17">
            <v>108</v>
          </cell>
          <cell r="B17">
            <v>3830.98</v>
          </cell>
          <cell r="C17" t="str">
            <v>FIGADO BOVINO FRIGOMATOSO KG</v>
          </cell>
          <cell r="D17">
            <v>40970.11</v>
          </cell>
          <cell r="E17">
            <v>0.26</v>
          </cell>
          <cell r="F17">
            <v>3861.37</v>
          </cell>
          <cell r="G17">
            <v>0</v>
          </cell>
          <cell r="H17">
            <v>0</v>
          </cell>
          <cell r="I17">
            <v>0</v>
          </cell>
          <cell r="J17">
            <v>53669.33</v>
          </cell>
          <cell r="K17">
            <v>0.23</v>
          </cell>
          <cell r="L17">
            <v>392.28</v>
          </cell>
          <cell r="M17">
            <v>0.23</v>
          </cell>
          <cell r="N17">
            <v>28.04</v>
          </cell>
          <cell r="O17">
            <v>99</v>
          </cell>
          <cell r="P17">
            <v>1.33</v>
          </cell>
          <cell r="Q17">
            <v>3861.37</v>
          </cell>
          <cell r="R17">
            <v>3830.98</v>
          </cell>
          <cell r="S17">
            <v>0</v>
          </cell>
          <cell r="T17">
            <v>28.04</v>
          </cell>
        </row>
        <row r="18">
          <cell r="A18">
            <v>4</v>
          </cell>
          <cell r="B18">
            <v>3830</v>
          </cell>
          <cell r="C18" t="str">
            <v>LEITE UHT INTEGRAL CEMIL CX\12LT</v>
          </cell>
          <cell r="D18">
            <v>216396</v>
          </cell>
          <cell r="E18">
            <v>1.38</v>
          </cell>
          <cell r="F18">
            <v>3660</v>
          </cell>
          <cell r="G18">
            <v>0</v>
          </cell>
          <cell r="H18">
            <v>0</v>
          </cell>
          <cell r="I18">
            <v>0</v>
          </cell>
          <cell r="J18">
            <v>265386.09999999998</v>
          </cell>
          <cell r="K18">
            <v>1.1599999999999999</v>
          </cell>
          <cell r="L18">
            <v>620.76</v>
          </cell>
          <cell r="M18">
            <v>0.36</v>
          </cell>
          <cell r="N18">
            <v>9</v>
          </cell>
          <cell r="O18">
            <v>678</v>
          </cell>
          <cell r="P18">
            <v>9.1300000000000008</v>
          </cell>
          <cell r="Q18">
            <v>43920</v>
          </cell>
          <cell r="R18">
            <v>45960</v>
          </cell>
          <cell r="S18">
            <v>0</v>
          </cell>
          <cell r="T18">
            <v>108</v>
          </cell>
        </row>
        <row r="19">
          <cell r="A19">
            <v>4183</v>
          </cell>
          <cell r="B19">
            <v>3539.78</v>
          </cell>
          <cell r="C19" t="str">
            <v>TOUCINHO SUINO LOMBAR  DICASA  KG</v>
          </cell>
          <cell r="D19">
            <v>32903.46</v>
          </cell>
          <cell r="E19">
            <v>0.21</v>
          </cell>
          <cell r="F19">
            <v>3014.96</v>
          </cell>
          <cell r="G19">
            <v>0</v>
          </cell>
          <cell r="H19">
            <v>0</v>
          </cell>
          <cell r="I19">
            <v>0</v>
          </cell>
          <cell r="J19">
            <v>47208.88</v>
          </cell>
          <cell r="K19">
            <v>0.21</v>
          </cell>
          <cell r="L19">
            <v>1052.52</v>
          </cell>
          <cell r="M19">
            <v>0.61</v>
          </cell>
          <cell r="N19">
            <v>79.56</v>
          </cell>
          <cell r="O19">
            <v>121</v>
          </cell>
          <cell r="P19">
            <v>1.63</v>
          </cell>
          <cell r="Q19">
            <v>3014.96</v>
          </cell>
          <cell r="R19">
            <v>3539.78</v>
          </cell>
          <cell r="S19">
            <v>0</v>
          </cell>
          <cell r="T19">
            <v>79.56</v>
          </cell>
        </row>
        <row r="20">
          <cell r="A20">
            <v>162</v>
          </cell>
          <cell r="B20">
            <v>3311</v>
          </cell>
          <cell r="C20" t="str">
            <v>SALSICHA SEARA CX\4X5KG</v>
          </cell>
          <cell r="D20">
            <v>77640</v>
          </cell>
          <cell r="E20">
            <v>0.5</v>
          </cell>
          <cell r="F20">
            <v>2400</v>
          </cell>
          <cell r="G20">
            <v>0</v>
          </cell>
          <cell r="H20">
            <v>0</v>
          </cell>
          <cell r="I20">
            <v>0</v>
          </cell>
          <cell r="J20">
            <v>125689.64</v>
          </cell>
          <cell r="K20">
            <v>0.55000000000000004</v>
          </cell>
          <cell r="L20">
            <v>993.72</v>
          </cell>
          <cell r="M20">
            <v>0.56999999999999995</v>
          </cell>
          <cell r="N20">
            <v>26</v>
          </cell>
          <cell r="O20">
            <v>605</v>
          </cell>
          <cell r="P20">
            <v>8.15</v>
          </cell>
          <cell r="Q20">
            <v>12000</v>
          </cell>
          <cell r="R20">
            <v>16555</v>
          </cell>
          <cell r="S20">
            <v>0</v>
          </cell>
          <cell r="T20">
            <v>130</v>
          </cell>
        </row>
        <row r="21">
          <cell r="A21">
            <v>195</v>
          </cell>
          <cell r="B21">
            <v>3288</v>
          </cell>
          <cell r="C21" t="str">
            <v>BATATA PALHA EXTRA FINA CHEF 400GR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40491.699999999997</v>
          </cell>
          <cell r="K21">
            <v>0.18</v>
          </cell>
          <cell r="L21">
            <v>379.75</v>
          </cell>
          <cell r="M21">
            <v>0.22</v>
          </cell>
          <cell r="N21">
            <v>31</v>
          </cell>
          <cell r="O21">
            <v>114</v>
          </cell>
          <cell r="P21">
            <v>1.54</v>
          </cell>
          <cell r="Q21">
            <v>0</v>
          </cell>
          <cell r="R21">
            <v>1315.2</v>
          </cell>
          <cell r="S21">
            <v>0</v>
          </cell>
          <cell r="T21">
            <v>12.4</v>
          </cell>
        </row>
        <row r="22">
          <cell r="A22">
            <v>620</v>
          </cell>
          <cell r="B22">
            <v>3250</v>
          </cell>
          <cell r="C22" t="str">
            <v>LING T.CALABRESA PIF PAF CX/2X3KG</v>
          </cell>
          <cell r="D22">
            <v>126753.31</v>
          </cell>
          <cell r="E22">
            <v>0.81</v>
          </cell>
          <cell r="F22">
            <v>2700</v>
          </cell>
          <cell r="G22">
            <v>0</v>
          </cell>
          <cell r="H22">
            <v>0</v>
          </cell>
          <cell r="I22">
            <v>0</v>
          </cell>
          <cell r="J22">
            <v>189954.21</v>
          </cell>
          <cell r="K22">
            <v>0.83</v>
          </cell>
          <cell r="L22">
            <v>1392.48</v>
          </cell>
          <cell r="M22">
            <v>0.8</v>
          </cell>
          <cell r="N22">
            <v>24</v>
          </cell>
          <cell r="O22">
            <v>706</v>
          </cell>
          <cell r="P22">
            <v>9.51</v>
          </cell>
          <cell r="Q22">
            <v>8100</v>
          </cell>
          <cell r="R22">
            <v>9750</v>
          </cell>
          <cell r="S22">
            <v>0</v>
          </cell>
          <cell r="T22">
            <v>72</v>
          </cell>
        </row>
        <row r="23">
          <cell r="A23">
            <v>197</v>
          </cell>
          <cell r="B23">
            <v>3214</v>
          </cell>
          <cell r="C23" t="str">
            <v>BATATA PALHA CHEF 400GR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39600.1</v>
          </cell>
          <cell r="K23">
            <v>0.17</v>
          </cell>
          <cell r="L23">
            <v>387.5</v>
          </cell>
          <cell r="M23">
            <v>0.22</v>
          </cell>
          <cell r="N23">
            <v>31</v>
          </cell>
          <cell r="O23">
            <v>135</v>
          </cell>
          <cell r="P23">
            <v>1.82</v>
          </cell>
          <cell r="Q23">
            <v>0</v>
          </cell>
          <cell r="R23">
            <v>1285.5999999999999</v>
          </cell>
          <cell r="S23">
            <v>0</v>
          </cell>
          <cell r="T23">
            <v>12.4</v>
          </cell>
        </row>
        <row r="24">
          <cell r="A24">
            <v>178</v>
          </cell>
          <cell r="B24">
            <v>3124</v>
          </cell>
          <cell r="C24" t="str">
            <v>KETCHUP GALÃO LANCHERO  3KG</v>
          </cell>
          <cell r="D24">
            <v>38695.86</v>
          </cell>
          <cell r="E24">
            <v>0.25</v>
          </cell>
          <cell r="F24">
            <v>4200</v>
          </cell>
          <cell r="G24">
            <v>0</v>
          </cell>
          <cell r="H24">
            <v>0</v>
          </cell>
          <cell r="I24">
            <v>0</v>
          </cell>
          <cell r="J24">
            <v>36476.04</v>
          </cell>
          <cell r="K24">
            <v>0.16</v>
          </cell>
          <cell r="L24">
            <v>34.79</v>
          </cell>
          <cell r="M24">
            <v>0.02</v>
          </cell>
          <cell r="N24">
            <v>3</v>
          </cell>
          <cell r="O24">
            <v>372</v>
          </cell>
          <cell r="P24">
            <v>5.01</v>
          </cell>
          <cell r="Q24">
            <v>12600</v>
          </cell>
          <cell r="R24">
            <v>9372</v>
          </cell>
          <cell r="S24">
            <v>0</v>
          </cell>
          <cell r="T24">
            <v>9</v>
          </cell>
        </row>
        <row r="25">
          <cell r="A25">
            <v>255</v>
          </cell>
          <cell r="B25">
            <v>3035</v>
          </cell>
          <cell r="C25" t="str">
            <v>SALSICHA REZENDE CX\4X5KG</v>
          </cell>
          <cell r="D25">
            <v>69840</v>
          </cell>
          <cell r="E25">
            <v>0.45</v>
          </cell>
          <cell r="F25">
            <v>2400</v>
          </cell>
          <cell r="G25">
            <v>0</v>
          </cell>
          <cell r="H25">
            <v>0</v>
          </cell>
          <cell r="I25">
            <v>0</v>
          </cell>
          <cell r="J25">
            <v>105063.38</v>
          </cell>
          <cell r="K25">
            <v>0.46</v>
          </cell>
          <cell r="L25">
            <v>244.71</v>
          </cell>
          <cell r="M25">
            <v>0.14000000000000001</v>
          </cell>
          <cell r="N25">
            <v>7</v>
          </cell>
          <cell r="O25">
            <v>486</v>
          </cell>
          <cell r="P25">
            <v>6.55</v>
          </cell>
          <cell r="Q25">
            <v>12000</v>
          </cell>
          <cell r="R25">
            <v>15175</v>
          </cell>
          <cell r="S25">
            <v>0</v>
          </cell>
          <cell r="T25">
            <v>35</v>
          </cell>
        </row>
        <row r="26">
          <cell r="A26">
            <v>91</v>
          </cell>
          <cell r="B26">
            <v>2905.72</v>
          </cell>
          <cell r="C26" t="str">
            <v>MACA PEITO PCT BOVINA PLENA KG</v>
          </cell>
          <cell r="D26">
            <v>88590.05</v>
          </cell>
          <cell r="E26">
            <v>0.56999999999999995</v>
          </cell>
          <cell r="F26">
            <v>3002.38</v>
          </cell>
          <cell r="G26">
            <v>0</v>
          </cell>
          <cell r="H26">
            <v>0</v>
          </cell>
          <cell r="I26">
            <v>0</v>
          </cell>
          <cell r="J26">
            <v>98911.86</v>
          </cell>
          <cell r="K26">
            <v>0.43</v>
          </cell>
          <cell r="L26">
            <v>1578.84</v>
          </cell>
          <cell r="M26">
            <v>0.91</v>
          </cell>
          <cell r="N26">
            <v>46.56</v>
          </cell>
          <cell r="O26">
            <v>125</v>
          </cell>
          <cell r="P26">
            <v>1.68</v>
          </cell>
          <cell r="Q26">
            <v>3002.38</v>
          </cell>
          <cell r="R26">
            <v>2905.72</v>
          </cell>
          <cell r="S26">
            <v>0</v>
          </cell>
          <cell r="T26">
            <v>46.56</v>
          </cell>
        </row>
        <row r="27">
          <cell r="A27">
            <v>234</v>
          </cell>
          <cell r="B27">
            <v>2786</v>
          </cell>
          <cell r="C27" t="str">
            <v>LING SUINA AURORA CX\5X5KG</v>
          </cell>
          <cell r="D27">
            <v>170054.74</v>
          </cell>
          <cell r="E27">
            <v>1.0900000000000001</v>
          </cell>
          <cell r="F27">
            <v>2400</v>
          </cell>
          <cell r="G27">
            <v>0</v>
          </cell>
          <cell r="H27">
            <v>0</v>
          </cell>
          <cell r="I27">
            <v>0</v>
          </cell>
          <cell r="J27">
            <v>233581.46</v>
          </cell>
          <cell r="K27">
            <v>1.02</v>
          </cell>
          <cell r="L27">
            <v>759.33</v>
          </cell>
          <cell r="M27">
            <v>0.44</v>
          </cell>
          <cell r="N27">
            <v>9</v>
          </cell>
          <cell r="O27">
            <v>373</v>
          </cell>
          <cell r="P27">
            <v>5.0199999999999996</v>
          </cell>
          <cell r="Q27">
            <v>12000</v>
          </cell>
          <cell r="R27">
            <v>13930</v>
          </cell>
          <cell r="S27">
            <v>0</v>
          </cell>
          <cell r="T27">
            <v>45</v>
          </cell>
        </row>
        <row r="28">
          <cell r="A28">
            <v>242</v>
          </cell>
          <cell r="B28">
            <v>2670</v>
          </cell>
          <cell r="C28" t="str">
            <v>HAMBURGUER FRISA CX\48UN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135605.5</v>
          </cell>
          <cell r="K28">
            <v>0.59</v>
          </cell>
          <cell r="L28">
            <v>457.32</v>
          </cell>
          <cell r="M28">
            <v>0.26</v>
          </cell>
          <cell r="N28">
            <v>9</v>
          </cell>
          <cell r="O28">
            <v>206</v>
          </cell>
          <cell r="P28">
            <v>2.77</v>
          </cell>
          <cell r="Q28">
            <v>0</v>
          </cell>
          <cell r="R28">
            <v>7123.56</v>
          </cell>
          <cell r="S28">
            <v>0</v>
          </cell>
          <cell r="T28">
            <v>24.01</v>
          </cell>
        </row>
        <row r="29">
          <cell r="A29">
            <v>161</v>
          </cell>
          <cell r="B29">
            <v>2648</v>
          </cell>
          <cell r="C29" t="str">
            <v>SALSICHA PIF PAF CX\4X3,3KG</v>
          </cell>
          <cell r="D29">
            <v>63194.73</v>
          </cell>
          <cell r="E29">
            <v>0.4</v>
          </cell>
          <cell r="F29">
            <v>2800</v>
          </cell>
          <cell r="G29">
            <v>0</v>
          </cell>
          <cell r="H29">
            <v>0</v>
          </cell>
          <cell r="I29">
            <v>0</v>
          </cell>
          <cell r="J29">
            <v>73805.64</v>
          </cell>
          <cell r="K29">
            <v>0.32</v>
          </cell>
          <cell r="L29">
            <v>167.58</v>
          </cell>
          <cell r="M29">
            <v>0.1</v>
          </cell>
          <cell r="N29">
            <v>6</v>
          </cell>
          <cell r="O29">
            <v>403</v>
          </cell>
          <cell r="P29">
            <v>5.43</v>
          </cell>
          <cell r="Q29">
            <v>9240</v>
          </cell>
          <cell r="R29">
            <v>8738.4</v>
          </cell>
          <cell r="S29">
            <v>0</v>
          </cell>
          <cell r="T29">
            <v>19.8</v>
          </cell>
        </row>
        <row r="30">
          <cell r="A30">
            <v>100</v>
          </cell>
          <cell r="B30">
            <v>2515.9899999999998</v>
          </cell>
          <cell r="C30" t="str">
            <v>COXAO MOLE BOVINO FRIGODIAS  KG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93131.85</v>
          </cell>
          <cell r="K30">
            <v>0.41</v>
          </cell>
          <cell r="L30">
            <v>0</v>
          </cell>
          <cell r="M30">
            <v>0</v>
          </cell>
          <cell r="N30">
            <v>0</v>
          </cell>
          <cell r="O30">
            <v>59</v>
          </cell>
          <cell r="P30">
            <v>0.79</v>
          </cell>
          <cell r="Q30">
            <v>0</v>
          </cell>
          <cell r="R30">
            <v>2515.9899999999998</v>
          </cell>
          <cell r="S30">
            <v>0</v>
          </cell>
          <cell r="T30">
            <v>0</v>
          </cell>
        </row>
        <row r="31">
          <cell r="A31">
            <v>1628</v>
          </cell>
          <cell r="B31">
            <v>2497.42</v>
          </cell>
          <cell r="C31" t="str">
            <v>FRANGO CONG.S\MIUDOS DAGRANJA KG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28224.35</v>
          </cell>
          <cell r="K31">
            <v>0.12</v>
          </cell>
          <cell r="L31">
            <v>0</v>
          </cell>
          <cell r="M31">
            <v>0</v>
          </cell>
          <cell r="N31">
            <v>0</v>
          </cell>
          <cell r="O31">
            <v>14</v>
          </cell>
          <cell r="P31">
            <v>0.19</v>
          </cell>
          <cell r="Q31">
            <v>0</v>
          </cell>
          <cell r="R31">
            <v>2497.42</v>
          </cell>
          <cell r="S31">
            <v>0</v>
          </cell>
          <cell r="T31">
            <v>0</v>
          </cell>
        </row>
        <row r="32">
          <cell r="A32">
            <v>241</v>
          </cell>
          <cell r="B32">
            <v>2470</v>
          </cell>
          <cell r="C32" t="str">
            <v>HAMBURGUER ENVELOPADO AURORA CX\36UN</v>
          </cell>
          <cell r="D32">
            <v>137152.51999999999</v>
          </cell>
          <cell r="E32">
            <v>0.88</v>
          </cell>
          <cell r="F32">
            <v>4000</v>
          </cell>
          <cell r="G32">
            <v>0</v>
          </cell>
          <cell r="H32">
            <v>0</v>
          </cell>
          <cell r="I32">
            <v>0</v>
          </cell>
          <cell r="J32">
            <v>102927.85</v>
          </cell>
          <cell r="K32">
            <v>0.45</v>
          </cell>
          <cell r="L32">
            <v>1038.8</v>
          </cell>
          <cell r="M32">
            <v>0.6</v>
          </cell>
          <cell r="N32">
            <v>25</v>
          </cell>
          <cell r="O32">
            <v>294</v>
          </cell>
          <cell r="P32">
            <v>3.96</v>
          </cell>
          <cell r="Q32">
            <v>8064</v>
          </cell>
          <cell r="R32">
            <v>4979.5200000000004</v>
          </cell>
          <cell r="S32">
            <v>0</v>
          </cell>
          <cell r="T32">
            <v>50.4</v>
          </cell>
        </row>
        <row r="33">
          <cell r="A33">
            <v>3242</v>
          </cell>
          <cell r="B33">
            <v>2395</v>
          </cell>
          <cell r="C33" t="str">
            <v>BEB.LACTEA CHOCOLATE QUATA CX/27X180ML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57400.05</v>
          </cell>
          <cell r="K33">
            <v>0.25</v>
          </cell>
          <cell r="L33">
            <v>48.22</v>
          </cell>
          <cell r="M33">
            <v>0.03</v>
          </cell>
          <cell r="N33">
            <v>2</v>
          </cell>
          <cell r="O33">
            <v>557</v>
          </cell>
          <cell r="P33">
            <v>7.5</v>
          </cell>
          <cell r="Q33">
            <v>0</v>
          </cell>
          <cell r="R33">
            <v>11639.7</v>
          </cell>
          <cell r="S33">
            <v>0</v>
          </cell>
          <cell r="T33">
            <v>9.7200000000000006</v>
          </cell>
        </row>
        <row r="34">
          <cell r="A34">
            <v>24</v>
          </cell>
          <cell r="B34">
            <v>2362</v>
          </cell>
          <cell r="C34" t="str">
            <v>COXA SOBRECOXA PCT FRANCAP CX 20KG</v>
          </cell>
          <cell r="D34">
            <v>181687.95</v>
          </cell>
          <cell r="E34">
            <v>1.1599999999999999</v>
          </cell>
          <cell r="F34">
            <v>1450</v>
          </cell>
          <cell r="G34">
            <v>0</v>
          </cell>
          <cell r="H34">
            <v>0</v>
          </cell>
          <cell r="I34">
            <v>0</v>
          </cell>
          <cell r="J34">
            <v>351986.5</v>
          </cell>
          <cell r="K34">
            <v>1.54</v>
          </cell>
          <cell r="L34">
            <v>1648.97</v>
          </cell>
          <cell r="M34">
            <v>0.95</v>
          </cell>
          <cell r="N34">
            <v>11</v>
          </cell>
          <cell r="O34">
            <v>930</v>
          </cell>
          <cell r="P34">
            <v>12.53</v>
          </cell>
          <cell r="Q34">
            <v>29000</v>
          </cell>
          <cell r="R34">
            <v>47240</v>
          </cell>
          <cell r="S34">
            <v>0</v>
          </cell>
          <cell r="T34">
            <v>220</v>
          </cell>
        </row>
        <row r="35">
          <cell r="A35">
            <v>887</v>
          </cell>
          <cell r="B35">
            <v>2290</v>
          </cell>
          <cell r="C35" t="str">
            <v>LING CHURRASCO REZENDE CX\4X5KG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148437.54999999999</v>
          </cell>
          <cell r="K35">
            <v>0.65</v>
          </cell>
          <cell r="L35">
            <v>392.06</v>
          </cell>
          <cell r="M35">
            <v>0.23</v>
          </cell>
          <cell r="N35">
            <v>6</v>
          </cell>
          <cell r="O35">
            <v>263</v>
          </cell>
          <cell r="P35">
            <v>3.54</v>
          </cell>
          <cell r="Q35">
            <v>0</v>
          </cell>
          <cell r="R35">
            <v>11450</v>
          </cell>
          <cell r="S35">
            <v>0</v>
          </cell>
          <cell r="T35">
            <v>30</v>
          </cell>
        </row>
        <row r="36">
          <cell r="A36">
            <v>485</v>
          </cell>
          <cell r="B36">
            <v>2263.1799999999998</v>
          </cell>
          <cell r="C36" t="str">
            <v>CAPA CONTRA FILE BOVINA FRIGODIAS KG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67404.039999999994</v>
          </cell>
          <cell r="K36">
            <v>0.28999999999999998</v>
          </cell>
          <cell r="L36">
            <v>1477.09</v>
          </cell>
          <cell r="M36">
            <v>0.85</v>
          </cell>
          <cell r="N36">
            <v>49.75</v>
          </cell>
          <cell r="O36">
            <v>76</v>
          </cell>
          <cell r="P36">
            <v>1.02</v>
          </cell>
          <cell r="Q36">
            <v>0</v>
          </cell>
          <cell r="R36">
            <v>2263.1799999999998</v>
          </cell>
          <cell r="S36">
            <v>0</v>
          </cell>
          <cell r="T36">
            <v>49.75</v>
          </cell>
        </row>
        <row r="37">
          <cell r="A37">
            <v>429</v>
          </cell>
          <cell r="B37">
            <v>2252</v>
          </cell>
          <cell r="C37" t="str">
            <v>APRESUNTADO PIF PAF RETANGULAR 3,8KG</v>
          </cell>
          <cell r="D37">
            <v>97616.14</v>
          </cell>
          <cell r="E37">
            <v>0.62</v>
          </cell>
          <cell r="F37">
            <v>2192</v>
          </cell>
          <cell r="G37">
            <v>0</v>
          </cell>
          <cell r="H37">
            <v>0</v>
          </cell>
          <cell r="I37">
            <v>0</v>
          </cell>
          <cell r="J37">
            <v>125957.18</v>
          </cell>
          <cell r="K37">
            <v>0.55000000000000004</v>
          </cell>
          <cell r="L37">
            <v>281.2</v>
          </cell>
          <cell r="M37">
            <v>0.16</v>
          </cell>
          <cell r="N37">
            <v>5</v>
          </cell>
          <cell r="O37">
            <v>541</v>
          </cell>
          <cell r="P37">
            <v>7.29</v>
          </cell>
          <cell r="Q37">
            <v>8329.6</v>
          </cell>
          <cell r="R37">
            <v>8557.6</v>
          </cell>
          <cell r="S37">
            <v>0</v>
          </cell>
          <cell r="T37">
            <v>19</v>
          </cell>
        </row>
        <row r="38">
          <cell r="A38">
            <v>383</v>
          </cell>
          <cell r="B38">
            <v>2064.7600000000002</v>
          </cell>
          <cell r="C38" t="str">
            <v>PERNIL SUINO FRIGODIAS  KG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29382.52</v>
          </cell>
          <cell r="K38">
            <v>0.13</v>
          </cell>
          <cell r="L38">
            <v>0</v>
          </cell>
          <cell r="M38">
            <v>0</v>
          </cell>
          <cell r="N38">
            <v>0</v>
          </cell>
          <cell r="O38">
            <v>63</v>
          </cell>
          <cell r="P38">
            <v>0.85</v>
          </cell>
          <cell r="Q38">
            <v>0</v>
          </cell>
          <cell r="R38">
            <v>2064.7600000000002</v>
          </cell>
          <cell r="S38">
            <v>0</v>
          </cell>
          <cell r="T38">
            <v>0</v>
          </cell>
        </row>
        <row r="39">
          <cell r="A39">
            <v>286</v>
          </cell>
          <cell r="B39">
            <v>2037</v>
          </cell>
          <cell r="C39" t="str">
            <v>LING SUINA SEARA CX\4X5KG</v>
          </cell>
          <cell r="D39">
            <v>284160</v>
          </cell>
          <cell r="E39">
            <v>1.82</v>
          </cell>
          <cell r="F39">
            <v>4800</v>
          </cell>
          <cell r="G39">
            <v>0</v>
          </cell>
          <cell r="H39">
            <v>0</v>
          </cell>
          <cell r="I39">
            <v>0</v>
          </cell>
          <cell r="J39">
            <v>145418.35</v>
          </cell>
          <cell r="K39">
            <v>0.63</v>
          </cell>
          <cell r="L39">
            <v>949.13</v>
          </cell>
          <cell r="M39">
            <v>0.55000000000000004</v>
          </cell>
          <cell r="N39">
            <v>13</v>
          </cell>
          <cell r="O39">
            <v>334</v>
          </cell>
          <cell r="P39">
            <v>4.5</v>
          </cell>
          <cell r="Q39">
            <v>24000</v>
          </cell>
          <cell r="R39">
            <v>10185</v>
          </cell>
          <cell r="S39">
            <v>0</v>
          </cell>
          <cell r="T39">
            <v>65</v>
          </cell>
        </row>
        <row r="40">
          <cell r="A40">
            <v>86</v>
          </cell>
          <cell r="B40">
            <v>1945.1</v>
          </cell>
          <cell r="C40" t="str">
            <v>DOBRADINHA BOVINA MATOSO KG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30163.27</v>
          </cell>
          <cell r="K40">
            <v>0.13</v>
          </cell>
          <cell r="L40">
            <v>0</v>
          </cell>
          <cell r="M40">
            <v>0</v>
          </cell>
          <cell r="N40">
            <v>0</v>
          </cell>
          <cell r="O40">
            <v>68</v>
          </cell>
          <cell r="P40">
            <v>0.92</v>
          </cell>
          <cell r="Q40">
            <v>0</v>
          </cell>
          <cell r="R40">
            <v>1945.1</v>
          </cell>
          <cell r="S40">
            <v>0</v>
          </cell>
          <cell r="T40">
            <v>0</v>
          </cell>
        </row>
        <row r="41">
          <cell r="A41">
            <v>4087</v>
          </cell>
          <cell r="B41">
            <v>1848.57</v>
          </cell>
          <cell r="C41" t="str">
            <v>MUSCULO BOVINO FRIGODIAS KG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53809.14</v>
          </cell>
          <cell r="K41">
            <v>0.23</v>
          </cell>
          <cell r="L41">
            <v>1332.02</v>
          </cell>
          <cell r="M41">
            <v>0.77</v>
          </cell>
          <cell r="N41">
            <v>45.61</v>
          </cell>
          <cell r="O41">
            <v>36</v>
          </cell>
          <cell r="P41">
            <v>0.48</v>
          </cell>
          <cell r="Q41">
            <v>0</v>
          </cell>
          <cell r="R41">
            <v>1848.57</v>
          </cell>
          <cell r="S41">
            <v>0</v>
          </cell>
          <cell r="T41">
            <v>45.61</v>
          </cell>
        </row>
        <row r="42">
          <cell r="A42">
            <v>625</v>
          </cell>
          <cell r="B42">
            <v>1844</v>
          </cell>
          <cell r="C42" t="str">
            <v>LING T.CALABRESA SEARA CX\6X2,5KG</v>
          </cell>
          <cell r="D42">
            <v>69246.45</v>
          </cell>
          <cell r="E42">
            <v>0.44</v>
          </cell>
          <cell r="F42">
            <v>1602</v>
          </cell>
          <cell r="G42">
            <v>0</v>
          </cell>
          <cell r="H42">
            <v>0</v>
          </cell>
          <cell r="I42">
            <v>0</v>
          </cell>
          <cell r="J42">
            <v>93961.35</v>
          </cell>
          <cell r="K42">
            <v>0.41</v>
          </cell>
          <cell r="L42">
            <v>875.65</v>
          </cell>
          <cell r="M42">
            <v>0.5</v>
          </cell>
          <cell r="N42">
            <v>17</v>
          </cell>
          <cell r="O42">
            <v>306</v>
          </cell>
          <cell r="P42">
            <v>4.12</v>
          </cell>
          <cell r="Q42">
            <v>4005</v>
          </cell>
          <cell r="R42">
            <v>4610</v>
          </cell>
          <cell r="S42">
            <v>0</v>
          </cell>
          <cell r="T42">
            <v>42.5</v>
          </cell>
        </row>
        <row r="43">
          <cell r="A43">
            <v>72</v>
          </cell>
          <cell r="B43">
            <v>1773.18</v>
          </cell>
          <cell r="C43" t="str">
            <v>COPA LOMBO SUINO DICASA KG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28401.75</v>
          </cell>
          <cell r="K43">
            <v>0.12</v>
          </cell>
          <cell r="L43">
            <v>654.53</v>
          </cell>
          <cell r="M43">
            <v>0.38</v>
          </cell>
          <cell r="N43">
            <v>40.159999999999997</v>
          </cell>
          <cell r="O43">
            <v>45</v>
          </cell>
          <cell r="P43">
            <v>0.61</v>
          </cell>
          <cell r="Q43">
            <v>0</v>
          </cell>
          <cell r="R43">
            <v>1773.18</v>
          </cell>
          <cell r="S43">
            <v>0</v>
          </cell>
          <cell r="T43">
            <v>40.159999999999997</v>
          </cell>
        </row>
        <row r="44">
          <cell r="A44">
            <v>236</v>
          </cell>
          <cell r="B44">
            <v>1767</v>
          </cell>
          <cell r="C44" t="str">
            <v>LING T.CALABRESA RETA SEARA CX\6X2,5KG</v>
          </cell>
          <cell r="D44">
            <v>52830</v>
          </cell>
          <cell r="E44">
            <v>0.34</v>
          </cell>
          <cell r="F44">
            <v>1200</v>
          </cell>
          <cell r="G44">
            <v>0</v>
          </cell>
          <cell r="H44">
            <v>0</v>
          </cell>
          <cell r="I44">
            <v>0</v>
          </cell>
          <cell r="J44">
            <v>90208.31</v>
          </cell>
          <cell r="K44">
            <v>0.39</v>
          </cell>
          <cell r="L44">
            <v>559.73</v>
          </cell>
          <cell r="M44">
            <v>0.32</v>
          </cell>
          <cell r="N44">
            <v>11</v>
          </cell>
          <cell r="O44">
            <v>196</v>
          </cell>
          <cell r="P44">
            <v>2.64</v>
          </cell>
          <cell r="Q44">
            <v>3000</v>
          </cell>
          <cell r="R44">
            <v>4417.5</v>
          </cell>
          <cell r="S44">
            <v>0</v>
          </cell>
          <cell r="T44">
            <v>27.5</v>
          </cell>
        </row>
        <row r="45">
          <cell r="A45">
            <v>96</v>
          </cell>
          <cell r="B45">
            <v>1679.22</v>
          </cell>
          <cell r="C45" t="str">
            <v>COXAO DURO BOVINO FRIGODIAS KG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59781.919999999998</v>
          </cell>
          <cell r="K45">
            <v>0.26</v>
          </cell>
          <cell r="L45">
            <v>0</v>
          </cell>
          <cell r="M45">
            <v>0</v>
          </cell>
          <cell r="N45">
            <v>0</v>
          </cell>
          <cell r="O45">
            <v>34</v>
          </cell>
          <cell r="P45">
            <v>0.46</v>
          </cell>
          <cell r="Q45">
            <v>0</v>
          </cell>
          <cell r="R45">
            <v>1679.22</v>
          </cell>
          <cell r="S45">
            <v>0</v>
          </cell>
          <cell r="T45">
            <v>0</v>
          </cell>
        </row>
        <row r="46">
          <cell r="A46">
            <v>680</v>
          </cell>
          <cell r="B46">
            <v>1670</v>
          </cell>
          <cell r="C46" t="str">
            <v>MORTADELA LEBON S/TOUCINHO CX\4X3,250KG</v>
          </cell>
          <cell r="D46">
            <v>39728</v>
          </cell>
          <cell r="E46">
            <v>0.25</v>
          </cell>
          <cell r="F46">
            <v>1600</v>
          </cell>
          <cell r="G46">
            <v>0</v>
          </cell>
          <cell r="H46">
            <v>0</v>
          </cell>
          <cell r="I46">
            <v>0</v>
          </cell>
          <cell r="J46">
            <v>43113.53</v>
          </cell>
          <cell r="K46">
            <v>0.19</v>
          </cell>
          <cell r="L46">
            <v>1113.32</v>
          </cell>
          <cell r="M46">
            <v>0.64</v>
          </cell>
          <cell r="N46">
            <v>46</v>
          </cell>
          <cell r="O46">
            <v>216</v>
          </cell>
          <cell r="P46">
            <v>2.91</v>
          </cell>
          <cell r="Q46">
            <v>5200</v>
          </cell>
          <cell r="R46">
            <v>5427.5</v>
          </cell>
          <cell r="S46">
            <v>0</v>
          </cell>
          <cell r="T46">
            <v>149.5</v>
          </cell>
        </row>
        <row r="47">
          <cell r="A47">
            <v>404</v>
          </cell>
          <cell r="B47">
            <v>1669</v>
          </cell>
          <cell r="C47" t="str">
            <v>HAMBURGUER MOLDADO FELICITTA FRISA CX/48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78984.34</v>
          </cell>
          <cell r="K47">
            <v>0.34</v>
          </cell>
          <cell r="L47">
            <v>240.1</v>
          </cell>
          <cell r="M47">
            <v>0.14000000000000001</v>
          </cell>
          <cell r="N47">
            <v>5</v>
          </cell>
          <cell r="O47">
            <v>102</v>
          </cell>
          <cell r="P47">
            <v>1.37</v>
          </cell>
          <cell r="Q47">
            <v>0</v>
          </cell>
          <cell r="R47">
            <v>4452.8900000000003</v>
          </cell>
          <cell r="S47">
            <v>0</v>
          </cell>
          <cell r="T47">
            <v>13.34</v>
          </cell>
        </row>
        <row r="48">
          <cell r="A48">
            <v>581</v>
          </cell>
          <cell r="B48">
            <v>1653</v>
          </cell>
          <cell r="C48" t="str">
            <v>KETCHUP SACHE DAJUDA 192X7GR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32413.5</v>
          </cell>
          <cell r="K48">
            <v>0.14000000000000001</v>
          </cell>
          <cell r="L48">
            <v>156</v>
          </cell>
          <cell r="M48">
            <v>0.09</v>
          </cell>
          <cell r="N48">
            <v>8</v>
          </cell>
          <cell r="O48">
            <v>241</v>
          </cell>
          <cell r="P48">
            <v>3.25</v>
          </cell>
          <cell r="Q48">
            <v>0</v>
          </cell>
          <cell r="R48">
            <v>2479.5</v>
          </cell>
          <cell r="S48">
            <v>0</v>
          </cell>
          <cell r="T48">
            <v>12</v>
          </cell>
        </row>
        <row r="49">
          <cell r="A49">
            <v>725</v>
          </cell>
          <cell r="B49">
            <v>1643</v>
          </cell>
          <cell r="C49" t="str">
            <v>SALSICHA LEBON CX\4X4KG</v>
          </cell>
          <cell r="D49">
            <v>25941.919999999998</v>
          </cell>
          <cell r="E49">
            <v>0.17</v>
          </cell>
          <cell r="F49">
            <v>1124</v>
          </cell>
          <cell r="G49">
            <v>0</v>
          </cell>
          <cell r="H49">
            <v>0</v>
          </cell>
          <cell r="I49">
            <v>0</v>
          </cell>
          <cell r="J49">
            <v>45771.3</v>
          </cell>
          <cell r="K49">
            <v>0.2</v>
          </cell>
          <cell r="L49">
            <v>1136.8</v>
          </cell>
          <cell r="M49">
            <v>0.65</v>
          </cell>
          <cell r="N49">
            <v>40</v>
          </cell>
          <cell r="O49">
            <v>155</v>
          </cell>
          <cell r="P49">
            <v>2.09</v>
          </cell>
          <cell r="Q49">
            <v>4496</v>
          </cell>
          <cell r="R49">
            <v>6572</v>
          </cell>
          <cell r="S49">
            <v>0</v>
          </cell>
          <cell r="T49">
            <v>160</v>
          </cell>
        </row>
        <row r="50">
          <cell r="A50">
            <v>610</v>
          </cell>
          <cell r="B50">
            <v>1640</v>
          </cell>
          <cell r="C50" t="str">
            <v>LING DEF.FINA PIF PAF CX\4X2,5KG</v>
          </cell>
          <cell r="D50">
            <v>62728.53</v>
          </cell>
          <cell r="E50">
            <v>0.4</v>
          </cell>
          <cell r="F50">
            <v>1600</v>
          </cell>
          <cell r="G50">
            <v>0</v>
          </cell>
          <cell r="H50">
            <v>0</v>
          </cell>
          <cell r="I50">
            <v>0</v>
          </cell>
          <cell r="J50">
            <v>78011.789999999994</v>
          </cell>
          <cell r="K50">
            <v>0.34</v>
          </cell>
          <cell r="L50">
            <v>711.45</v>
          </cell>
          <cell r="M50">
            <v>0.41</v>
          </cell>
          <cell r="N50">
            <v>15</v>
          </cell>
          <cell r="O50">
            <v>375</v>
          </cell>
          <cell r="P50">
            <v>5.05</v>
          </cell>
          <cell r="Q50">
            <v>4000</v>
          </cell>
          <cell r="R50">
            <v>4100</v>
          </cell>
          <cell r="S50">
            <v>0</v>
          </cell>
          <cell r="T50">
            <v>37.5</v>
          </cell>
        </row>
        <row r="51">
          <cell r="A51">
            <v>650</v>
          </cell>
          <cell r="B51">
            <v>1622</v>
          </cell>
          <cell r="C51" t="str">
            <v>MARGARINA DELICIA CX\12X500GR 997871</v>
          </cell>
          <cell r="D51">
            <v>76839.839999999997</v>
          </cell>
          <cell r="E51">
            <v>0.49</v>
          </cell>
          <cell r="F51">
            <v>1078</v>
          </cell>
          <cell r="G51">
            <v>0</v>
          </cell>
          <cell r="H51">
            <v>0</v>
          </cell>
          <cell r="I51">
            <v>0</v>
          </cell>
          <cell r="J51">
            <v>131829.85999999999</v>
          </cell>
          <cell r="K51">
            <v>0.57999999999999996</v>
          </cell>
          <cell r="L51">
            <v>810.16</v>
          </cell>
          <cell r="M51">
            <v>0.47</v>
          </cell>
          <cell r="N51">
            <v>10</v>
          </cell>
          <cell r="O51">
            <v>740</v>
          </cell>
          <cell r="P51">
            <v>9.9700000000000006</v>
          </cell>
          <cell r="Q51">
            <v>6468</v>
          </cell>
          <cell r="R51">
            <v>9732</v>
          </cell>
          <cell r="S51">
            <v>0</v>
          </cell>
          <cell r="T51">
            <v>60</v>
          </cell>
        </row>
        <row r="52">
          <cell r="A52">
            <v>3073</v>
          </cell>
          <cell r="B52">
            <v>1564</v>
          </cell>
          <cell r="C52" t="str">
            <v>MILHO VERDE LATAO PREDILECTA 1,7KG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37683.660000000003</v>
          </cell>
          <cell r="K52">
            <v>0.16</v>
          </cell>
          <cell r="L52">
            <v>96.04</v>
          </cell>
          <cell r="M52">
            <v>0.06</v>
          </cell>
          <cell r="N52">
            <v>4</v>
          </cell>
          <cell r="O52">
            <v>190</v>
          </cell>
          <cell r="P52">
            <v>2.56</v>
          </cell>
          <cell r="Q52">
            <v>0</v>
          </cell>
          <cell r="R52">
            <v>2658.8</v>
          </cell>
          <cell r="S52">
            <v>0</v>
          </cell>
          <cell r="T52">
            <v>6.8</v>
          </cell>
        </row>
        <row r="53">
          <cell r="A53">
            <v>551</v>
          </cell>
          <cell r="B53">
            <v>1550</v>
          </cell>
          <cell r="C53" t="str">
            <v>FRANGO CONG.ATALAIA CX/20KG</v>
          </cell>
          <cell r="D53">
            <v>210264.9</v>
          </cell>
          <cell r="E53">
            <v>1.34</v>
          </cell>
          <cell r="F53">
            <v>1530</v>
          </cell>
          <cell r="G53">
            <v>0</v>
          </cell>
          <cell r="H53">
            <v>0</v>
          </cell>
          <cell r="I53">
            <v>0</v>
          </cell>
          <cell r="J53">
            <v>244636.18</v>
          </cell>
          <cell r="K53">
            <v>1.07</v>
          </cell>
          <cell r="L53">
            <v>1747.31</v>
          </cell>
          <cell r="M53">
            <v>1.01</v>
          </cell>
          <cell r="N53">
            <v>11</v>
          </cell>
          <cell r="O53">
            <v>312</v>
          </cell>
          <cell r="P53">
            <v>4.2</v>
          </cell>
          <cell r="Q53">
            <v>30600</v>
          </cell>
          <cell r="R53">
            <v>31000</v>
          </cell>
          <cell r="S53">
            <v>0</v>
          </cell>
          <cell r="T53">
            <v>220</v>
          </cell>
        </row>
        <row r="54">
          <cell r="A54">
            <v>75</v>
          </cell>
          <cell r="B54">
            <v>1543.84</v>
          </cell>
          <cell r="C54" t="str">
            <v>COSTELA BOVINA TIRAS FRIGOMATOSO KG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30977.52</v>
          </cell>
          <cell r="K54">
            <v>0.14000000000000001</v>
          </cell>
          <cell r="L54">
            <v>0</v>
          </cell>
          <cell r="M54">
            <v>0</v>
          </cell>
          <cell r="N54">
            <v>0</v>
          </cell>
          <cell r="O54">
            <v>49</v>
          </cell>
          <cell r="P54">
            <v>0.66</v>
          </cell>
          <cell r="Q54">
            <v>0</v>
          </cell>
          <cell r="R54">
            <v>1543.84</v>
          </cell>
          <cell r="S54">
            <v>0</v>
          </cell>
          <cell r="T54">
            <v>0</v>
          </cell>
        </row>
        <row r="55">
          <cell r="A55">
            <v>553</v>
          </cell>
          <cell r="B55">
            <v>1497</v>
          </cell>
          <cell r="C55" t="str">
            <v>FRANGO CONG.FERREIRA CX\20KG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227784.95</v>
          </cell>
          <cell r="K55">
            <v>0.99</v>
          </cell>
          <cell r="L55">
            <v>1063.1099999999999</v>
          </cell>
          <cell r="M55">
            <v>0.61</v>
          </cell>
          <cell r="N55">
            <v>7</v>
          </cell>
          <cell r="O55">
            <v>552</v>
          </cell>
          <cell r="P55">
            <v>7.44</v>
          </cell>
          <cell r="Q55">
            <v>0</v>
          </cell>
          <cell r="R55">
            <v>29940</v>
          </cell>
          <cell r="S55">
            <v>0</v>
          </cell>
          <cell r="T55">
            <v>140</v>
          </cell>
        </row>
        <row r="56">
          <cell r="A56">
            <v>3988</v>
          </cell>
          <cell r="B56">
            <v>1478.63</v>
          </cell>
          <cell r="C56" t="str">
            <v>MASCARA C\ORELHA COMPLETA SUINA DICASA KG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10901.71</v>
          </cell>
          <cell r="K56">
            <v>0.05</v>
          </cell>
          <cell r="L56">
            <v>0</v>
          </cell>
          <cell r="M56">
            <v>0</v>
          </cell>
          <cell r="N56">
            <v>0</v>
          </cell>
          <cell r="O56">
            <v>34</v>
          </cell>
          <cell r="P56">
            <v>0.46</v>
          </cell>
          <cell r="Q56">
            <v>0</v>
          </cell>
          <cell r="R56">
            <v>1478.63</v>
          </cell>
          <cell r="S56">
            <v>0</v>
          </cell>
          <cell r="T56">
            <v>0</v>
          </cell>
        </row>
        <row r="57">
          <cell r="A57">
            <v>202</v>
          </cell>
          <cell r="B57">
            <v>1432</v>
          </cell>
          <cell r="C57" t="str">
            <v>BATATA P.FRITA QUALITY FRIES CX\6X2KG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180676.63</v>
          </cell>
          <cell r="K57">
            <v>0.79</v>
          </cell>
          <cell r="L57">
            <v>525.42999999999995</v>
          </cell>
          <cell r="M57">
            <v>0.3</v>
          </cell>
          <cell r="N57">
            <v>4</v>
          </cell>
          <cell r="O57">
            <v>408</v>
          </cell>
          <cell r="P57">
            <v>5.5</v>
          </cell>
          <cell r="Q57">
            <v>0</v>
          </cell>
          <cell r="R57">
            <v>17184</v>
          </cell>
          <cell r="S57">
            <v>0</v>
          </cell>
          <cell r="T57">
            <v>48</v>
          </cell>
        </row>
        <row r="58">
          <cell r="A58">
            <v>575</v>
          </cell>
          <cell r="B58">
            <v>1426</v>
          </cell>
          <cell r="C58" t="str">
            <v>REQUEIJAO BISNAGA CRISTAULAT 1,5KG</v>
          </cell>
          <cell r="D58">
            <v>46545.85</v>
          </cell>
          <cell r="E58">
            <v>0.3</v>
          </cell>
          <cell r="F58">
            <v>1256</v>
          </cell>
          <cell r="G58">
            <v>0</v>
          </cell>
          <cell r="H58">
            <v>0</v>
          </cell>
          <cell r="I58">
            <v>0</v>
          </cell>
          <cell r="J58">
            <v>59278.04</v>
          </cell>
          <cell r="K58">
            <v>0.26</v>
          </cell>
          <cell r="L58">
            <v>230.1</v>
          </cell>
          <cell r="M58">
            <v>0.13</v>
          </cell>
          <cell r="N58">
            <v>7</v>
          </cell>
          <cell r="O58">
            <v>157</v>
          </cell>
          <cell r="P58">
            <v>2.11</v>
          </cell>
          <cell r="Q58">
            <v>1884</v>
          </cell>
          <cell r="R58">
            <v>2139</v>
          </cell>
          <cell r="S58">
            <v>0</v>
          </cell>
          <cell r="T58">
            <v>10.5</v>
          </cell>
        </row>
        <row r="59">
          <cell r="A59">
            <v>670</v>
          </cell>
          <cell r="B59">
            <v>1379</v>
          </cell>
          <cell r="C59" t="str">
            <v>MORTADELA BOLONHA GOURMET SEARA PEÇA</v>
          </cell>
          <cell r="D59">
            <v>91789.08</v>
          </cell>
          <cell r="E59">
            <v>0.59</v>
          </cell>
          <cell r="F59">
            <v>1418</v>
          </cell>
          <cell r="G59">
            <v>0</v>
          </cell>
          <cell r="H59">
            <v>0</v>
          </cell>
          <cell r="I59">
            <v>0</v>
          </cell>
          <cell r="J59">
            <v>101930.87</v>
          </cell>
          <cell r="K59">
            <v>0.44</v>
          </cell>
          <cell r="L59">
            <v>902.52</v>
          </cell>
          <cell r="M59">
            <v>0.52</v>
          </cell>
          <cell r="N59">
            <v>12</v>
          </cell>
          <cell r="O59">
            <v>333</v>
          </cell>
          <cell r="P59">
            <v>4.49</v>
          </cell>
          <cell r="Q59">
            <v>6806.4</v>
          </cell>
          <cell r="R59">
            <v>6619.2</v>
          </cell>
          <cell r="S59">
            <v>0</v>
          </cell>
          <cell r="T59">
            <v>57.6</v>
          </cell>
        </row>
        <row r="60">
          <cell r="A60">
            <v>438</v>
          </cell>
          <cell r="B60">
            <v>1340</v>
          </cell>
          <cell r="C60" t="str">
            <v>ASA FRANGO PCT REAL CX\20KG</v>
          </cell>
          <cell r="D60">
            <v>40420.01</v>
          </cell>
          <cell r="E60">
            <v>0.26</v>
          </cell>
          <cell r="F60">
            <v>200</v>
          </cell>
          <cell r="G60">
            <v>0</v>
          </cell>
          <cell r="H60">
            <v>0</v>
          </cell>
          <cell r="I60">
            <v>0</v>
          </cell>
          <cell r="J60">
            <v>334518.99</v>
          </cell>
          <cell r="K60">
            <v>1.46</v>
          </cell>
          <cell r="L60">
            <v>2504.1</v>
          </cell>
          <cell r="M60">
            <v>1.44</v>
          </cell>
          <cell r="N60">
            <v>10</v>
          </cell>
          <cell r="O60">
            <v>729</v>
          </cell>
          <cell r="P60">
            <v>9.82</v>
          </cell>
          <cell r="Q60">
            <v>4000</v>
          </cell>
          <cell r="R60">
            <v>26800</v>
          </cell>
          <cell r="S60">
            <v>0</v>
          </cell>
          <cell r="T60">
            <v>200</v>
          </cell>
        </row>
        <row r="61">
          <cell r="A61">
            <v>700</v>
          </cell>
          <cell r="B61">
            <v>1289.08</v>
          </cell>
          <cell r="C61" t="str">
            <v>PELE SUINA DIMELHOR KG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7597.19</v>
          </cell>
          <cell r="K61">
            <v>0.03</v>
          </cell>
          <cell r="L61">
            <v>468.64</v>
          </cell>
          <cell r="M61">
            <v>0.27</v>
          </cell>
          <cell r="N61">
            <v>79.7</v>
          </cell>
          <cell r="O61">
            <v>23</v>
          </cell>
          <cell r="P61">
            <v>0.31</v>
          </cell>
          <cell r="Q61">
            <v>0</v>
          </cell>
          <cell r="R61">
            <v>1289.08</v>
          </cell>
          <cell r="S61">
            <v>0</v>
          </cell>
          <cell r="T61">
            <v>79.7</v>
          </cell>
        </row>
        <row r="62">
          <cell r="A62">
            <v>64</v>
          </cell>
          <cell r="B62">
            <v>1255.25</v>
          </cell>
          <cell r="C62" t="str">
            <v>ACEM BOVINO PCT PLENA  KG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41800.07</v>
          </cell>
          <cell r="K62">
            <v>0.18</v>
          </cell>
          <cell r="L62">
            <v>228.48</v>
          </cell>
          <cell r="M62">
            <v>0.13</v>
          </cell>
          <cell r="N62">
            <v>6.73</v>
          </cell>
          <cell r="O62">
            <v>36</v>
          </cell>
          <cell r="P62">
            <v>0.48</v>
          </cell>
          <cell r="Q62">
            <v>0</v>
          </cell>
          <cell r="R62">
            <v>1255.25</v>
          </cell>
          <cell r="S62">
            <v>0</v>
          </cell>
          <cell r="T62">
            <v>6.73</v>
          </cell>
        </row>
        <row r="63">
          <cell r="A63">
            <v>1998</v>
          </cell>
          <cell r="B63">
            <v>1233</v>
          </cell>
          <cell r="C63" t="str">
            <v>ASA FRANGO ENVELOPADA LAR CX\18KG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272301.94</v>
          </cell>
          <cell r="K63">
            <v>1.19</v>
          </cell>
          <cell r="L63">
            <v>670.9</v>
          </cell>
          <cell r="M63">
            <v>0.39</v>
          </cell>
          <cell r="N63">
            <v>3</v>
          </cell>
          <cell r="O63">
            <v>385</v>
          </cell>
          <cell r="P63">
            <v>5.19</v>
          </cell>
          <cell r="Q63">
            <v>0</v>
          </cell>
          <cell r="R63">
            <v>22194</v>
          </cell>
          <cell r="S63">
            <v>0</v>
          </cell>
          <cell r="T63">
            <v>54</v>
          </cell>
        </row>
        <row r="64">
          <cell r="A64">
            <v>206</v>
          </cell>
          <cell r="B64">
            <v>1209</v>
          </cell>
          <cell r="C64" t="str">
            <v>BATATA PALHA EXTRA FINA OURO MINAS 400GR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7021.79</v>
          </cell>
          <cell r="K64">
            <v>0.03</v>
          </cell>
          <cell r="L64">
            <v>0</v>
          </cell>
          <cell r="M64">
            <v>0</v>
          </cell>
          <cell r="N64">
            <v>0</v>
          </cell>
          <cell r="O64">
            <v>67</v>
          </cell>
          <cell r="P64">
            <v>0.9</v>
          </cell>
          <cell r="Q64">
            <v>0</v>
          </cell>
          <cell r="R64">
            <v>483.6</v>
          </cell>
          <cell r="S64">
            <v>0</v>
          </cell>
          <cell r="T64">
            <v>0</v>
          </cell>
        </row>
        <row r="65">
          <cell r="A65">
            <v>354</v>
          </cell>
          <cell r="B65">
            <v>1209</v>
          </cell>
          <cell r="C65" t="str">
            <v>OLEO DE SOJA VITALIV CX/20X900ML PET</v>
          </cell>
          <cell r="D65">
            <v>189762.26</v>
          </cell>
          <cell r="E65">
            <v>1.21</v>
          </cell>
          <cell r="F65">
            <v>1512</v>
          </cell>
          <cell r="G65">
            <v>0</v>
          </cell>
          <cell r="H65">
            <v>0</v>
          </cell>
          <cell r="I65">
            <v>0</v>
          </cell>
          <cell r="J65">
            <v>170946.32</v>
          </cell>
          <cell r="K65">
            <v>0.75</v>
          </cell>
          <cell r="L65">
            <v>850.31</v>
          </cell>
          <cell r="M65">
            <v>0.49</v>
          </cell>
          <cell r="N65">
            <v>6</v>
          </cell>
          <cell r="O65">
            <v>481</v>
          </cell>
          <cell r="P65">
            <v>6.48</v>
          </cell>
          <cell r="Q65">
            <v>27216</v>
          </cell>
          <cell r="R65">
            <v>21762</v>
          </cell>
          <cell r="S65">
            <v>0</v>
          </cell>
          <cell r="T65">
            <v>108</v>
          </cell>
        </row>
        <row r="66">
          <cell r="A66">
            <v>651</v>
          </cell>
          <cell r="B66">
            <v>1193</v>
          </cell>
          <cell r="C66" t="str">
            <v>MARGARINA DELICIA CX\24X250GR 997869</v>
          </cell>
          <cell r="D66">
            <v>36285.480000000003</v>
          </cell>
          <cell r="E66">
            <v>0.23</v>
          </cell>
          <cell r="F66">
            <v>462</v>
          </cell>
          <cell r="G66">
            <v>0</v>
          </cell>
          <cell r="H66">
            <v>0</v>
          </cell>
          <cell r="I66">
            <v>0</v>
          </cell>
          <cell r="J66">
            <v>108278.83</v>
          </cell>
          <cell r="K66">
            <v>0.47</v>
          </cell>
          <cell r="L66">
            <v>826.8</v>
          </cell>
          <cell r="M66">
            <v>0.48</v>
          </cell>
          <cell r="N66">
            <v>9</v>
          </cell>
          <cell r="O66">
            <v>743</v>
          </cell>
          <cell r="P66">
            <v>10.01</v>
          </cell>
          <cell r="Q66">
            <v>2772</v>
          </cell>
          <cell r="R66">
            <v>7158</v>
          </cell>
          <cell r="S66">
            <v>0</v>
          </cell>
          <cell r="T66">
            <v>54</v>
          </cell>
        </row>
        <row r="67">
          <cell r="A67">
            <v>3321</v>
          </cell>
          <cell r="B67">
            <v>1189</v>
          </cell>
          <cell r="C67" t="str">
            <v>BATATA PALHA EXTRA FINA CHEF FD/15X800GR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28695.23</v>
          </cell>
          <cell r="K67">
            <v>0.13</v>
          </cell>
          <cell r="L67">
            <v>49</v>
          </cell>
          <cell r="M67">
            <v>0.03</v>
          </cell>
          <cell r="N67">
            <v>2</v>
          </cell>
          <cell r="O67">
            <v>109</v>
          </cell>
          <cell r="P67">
            <v>1.47</v>
          </cell>
          <cell r="Q67">
            <v>0</v>
          </cell>
          <cell r="R67">
            <v>951.2</v>
          </cell>
          <cell r="S67">
            <v>0</v>
          </cell>
          <cell r="T67">
            <v>1.6</v>
          </cell>
        </row>
        <row r="68">
          <cell r="A68">
            <v>55</v>
          </cell>
          <cell r="B68">
            <v>1164</v>
          </cell>
          <cell r="C68" t="str">
            <v>PEITO FRANGO PCT FRANCAP CX\20KG</v>
          </cell>
          <cell r="D68">
            <v>209375.66</v>
          </cell>
          <cell r="E68">
            <v>1.34</v>
          </cell>
          <cell r="F68">
            <v>1400</v>
          </cell>
          <cell r="G68">
            <v>0</v>
          </cell>
          <cell r="H68">
            <v>0</v>
          </cell>
          <cell r="I68">
            <v>0</v>
          </cell>
          <cell r="J68">
            <v>213186.83</v>
          </cell>
          <cell r="K68">
            <v>0.93</v>
          </cell>
          <cell r="L68">
            <v>749.88</v>
          </cell>
          <cell r="M68">
            <v>0.43</v>
          </cell>
          <cell r="N68">
            <v>4</v>
          </cell>
          <cell r="O68">
            <v>562</v>
          </cell>
          <cell r="P68">
            <v>7.57</v>
          </cell>
          <cell r="Q68">
            <v>28000</v>
          </cell>
          <cell r="R68">
            <v>23280</v>
          </cell>
          <cell r="S68">
            <v>0</v>
          </cell>
          <cell r="T68">
            <v>80</v>
          </cell>
        </row>
        <row r="69">
          <cell r="A69">
            <v>472</v>
          </cell>
          <cell r="B69">
            <v>1161</v>
          </cell>
          <cell r="C69" t="str">
            <v>BEB.LACTEA CHOCOLATE IBITURUNA 27X200GR</v>
          </cell>
          <cell r="D69">
            <v>8435.5</v>
          </cell>
          <cell r="E69">
            <v>0.05</v>
          </cell>
          <cell r="F69">
            <v>360</v>
          </cell>
          <cell r="G69">
            <v>0</v>
          </cell>
          <cell r="H69">
            <v>0</v>
          </cell>
          <cell r="I69">
            <v>0</v>
          </cell>
          <cell r="J69">
            <v>32463.8</v>
          </cell>
          <cell r="K69">
            <v>0.14000000000000001</v>
          </cell>
          <cell r="L69">
            <v>196.08</v>
          </cell>
          <cell r="M69">
            <v>0.11</v>
          </cell>
          <cell r="N69">
            <v>7</v>
          </cell>
          <cell r="O69">
            <v>330</v>
          </cell>
          <cell r="P69">
            <v>4.45</v>
          </cell>
          <cell r="Q69">
            <v>1944</v>
          </cell>
          <cell r="R69">
            <v>6269.4</v>
          </cell>
          <cell r="S69">
            <v>0</v>
          </cell>
          <cell r="T69">
            <v>37.799999999999997</v>
          </cell>
        </row>
        <row r="70">
          <cell r="A70">
            <v>3458</v>
          </cell>
          <cell r="B70">
            <v>1151</v>
          </cell>
          <cell r="C70" t="str">
            <v>VITAMINA FRUTAS QUATA CX/27X180ML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27969.37</v>
          </cell>
          <cell r="K70">
            <v>0.12</v>
          </cell>
          <cell r="L70">
            <v>24.6</v>
          </cell>
          <cell r="M70">
            <v>0.01</v>
          </cell>
          <cell r="N70">
            <v>1</v>
          </cell>
          <cell r="O70">
            <v>376</v>
          </cell>
          <cell r="P70">
            <v>5.0599999999999996</v>
          </cell>
          <cell r="Q70">
            <v>0</v>
          </cell>
          <cell r="R70">
            <v>5593.86</v>
          </cell>
          <cell r="S70">
            <v>0</v>
          </cell>
          <cell r="T70">
            <v>4.8600000000000003</v>
          </cell>
        </row>
        <row r="71">
          <cell r="A71">
            <v>3961</v>
          </cell>
          <cell r="B71">
            <v>1135.02</v>
          </cell>
          <cell r="C71" t="str">
            <v>BARRIGA MANTA SUINA FRIGONANDO  KG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19868.14</v>
          </cell>
          <cell r="K71">
            <v>0.09</v>
          </cell>
          <cell r="L71">
            <v>0</v>
          </cell>
          <cell r="M71">
            <v>0</v>
          </cell>
          <cell r="N71">
            <v>0</v>
          </cell>
          <cell r="O71">
            <v>35</v>
          </cell>
          <cell r="P71">
            <v>0.47</v>
          </cell>
          <cell r="Q71">
            <v>0</v>
          </cell>
          <cell r="R71">
            <v>1135.02</v>
          </cell>
          <cell r="S71">
            <v>0</v>
          </cell>
          <cell r="T71">
            <v>0</v>
          </cell>
        </row>
        <row r="72">
          <cell r="A72">
            <v>599</v>
          </cell>
          <cell r="B72">
            <v>1111</v>
          </cell>
          <cell r="C72" t="str">
            <v>LEITE CONDENSADO PIRACANJUBA TP 27X395GR</v>
          </cell>
          <cell r="D72">
            <v>70798.070000000007</v>
          </cell>
          <cell r="E72">
            <v>0.45</v>
          </cell>
          <cell r="F72">
            <v>525</v>
          </cell>
          <cell r="G72">
            <v>0</v>
          </cell>
          <cell r="H72">
            <v>0</v>
          </cell>
          <cell r="I72">
            <v>0</v>
          </cell>
          <cell r="J72">
            <v>177916.62</v>
          </cell>
          <cell r="K72">
            <v>0.78</v>
          </cell>
          <cell r="L72">
            <v>636.62</v>
          </cell>
          <cell r="M72">
            <v>0.37</v>
          </cell>
          <cell r="N72">
            <v>4</v>
          </cell>
          <cell r="O72">
            <v>513</v>
          </cell>
          <cell r="P72">
            <v>6.91</v>
          </cell>
          <cell r="Q72">
            <v>5565</v>
          </cell>
          <cell r="R72">
            <v>11776.6</v>
          </cell>
          <cell r="S72">
            <v>0</v>
          </cell>
          <cell r="T72">
            <v>42.4</v>
          </cell>
        </row>
        <row r="73">
          <cell r="A73">
            <v>805</v>
          </cell>
          <cell r="B73">
            <v>1075</v>
          </cell>
          <cell r="C73" t="str">
            <v>FILE PEITO ENVELOPADO FRANCAP CX\20KG</v>
          </cell>
          <cell r="D73">
            <v>84882.02</v>
          </cell>
          <cell r="E73">
            <v>0.54</v>
          </cell>
          <cell r="F73">
            <v>350</v>
          </cell>
          <cell r="G73">
            <v>0</v>
          </cell>
          <cell r="H73">
            <v>0</v>
          </cell>
          <cell r="I73">
            <v>0</v>
          </cell>
          <cell r="J73">
            <v>308868.57</v>
          </cell>
          <cell r="K73">
            <v>1.35</v>
          </cell>
          <cell r="L73">
            <v>1745.2</v>
          </cell>
          <cell r="M73">
            <v>1</v>
          </cell>
          <cell r="N73">
            <v>6</v>
          </cell>
          <cell r="O73">
            <v>458</v>
          </cell>
          <cell r="P73">
            <v>6.17</v>
          </cell>
          <cell r="Q73">
            <v>7000</v>
          </cell>
          <cell r="R73">
            <v>21500</v>
          </cell>
          <cell r="S73">
            <v>0</v>
          </cell>
          <cell r="T73">
            <v>120</v>
          </cell>
        </row>
        <row r="74">
          <cell r="A74">
            <v>1020</v>
          </cell>
          <cell r="B74">
            <v>1062.77</v>
          </cell>
          <cell r="C74" t="str">
            <v>PALETA BOVINA MATOSO KG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34830.51</v>
          </cell>
          <cell r="K74">
            <v>0.15</v>
          </cell>
          <cell r="L74">
            <v>0</v>
          </cell>
          <cell r="M74">
            <v>0</v>
          </cell>
          <cell r="N74">
            <v>0</v>
          </cell>
          <cell r="O74">
            <v>25</v>
          </cell>
          <cell r="P74">
            <v>0.34</v>
          </cell>
          <cell r="Q74">
            <v>0</v>
          </cell>
          <cell r="R74">
            <v>1062.77</v>
          </cell>
          <cell r="S74">
            <v>0</v>
          </cell>
          <cell r="T74">
            <v>0</v>
          </cell>
        </row>
        <row r="75">
          <cell r="A75">
            <v>499</v>
          </cell>
          <cell r="B75">
            <v>1038.58</v>
          </cell>
          <cell r="C75" t="str">
            <v>CONTRA FILE GRILL BOVINO FRIGODIAS KG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50966.93</v>
          </cell>
          <cell r="K75">
            <v>0.22</v>
          </cell>
          <cell r="L75">
            <v>0</v>
          </cell>
          <cell r="M75">
            <v>0</v>
          </cell>
          <cell r="N75">
            <v>0</v>
          </cell>
          <cell r="O75">
            <v>30</v>
          </cell>
          <cell r="P75">
            <v>0.4</v>
          </cell>
          <cell r="Q75">
            <v>0</v>
          </cell>
          <cell r="R75">
            <v>1038.58</v>
          </cell>
          <cell r="S75">
            <v>0</v>
          </cell>
          <cell r="T75">
            <v>0</v>
          </cell>
        </row>
        <row r="76">
          <cell r="A76">
            <v>53</v>
          </cell>
          <cell r="B76">
            <v>1017</v>
          </cell>
          <cell r="C76" t="str">
            <v>FRANGO CONG.SEARA CX/20KG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204820.84</v>
          </cell>
          <cell r="K76">
            <v>0.89</v>
          </cell>
          <cell r="L76">
            <v>403.76</v>
          </cell>
          <cell r="M76">
            <v>0.23</v>
          </cell>
          <cell r="N76">
            <v>2</v>
          </cell>
          <cell r="O76">
            <v>205</v>
          </cell>
          <cell r="P76">
            <v>2.76</v>
          </cell>
          <cell r="Q76">
            <v>0</v>
          </cell>
          <cell r="R76">
            <v>20340</v>
          </cell>
          <cell r="S76">
            <v>0</v>
          </cell>
          <cell r="T76">
            <v>40</v>
          </cell>
        </row>
        <row r="77">
          <cell r="A77">
            <v>1484</v>
          </cell>
          <cell r="B77">
            <v>1015</v>
          </cell>
          <cell r="C77" t="str">
            <v>KETCHUP SACHÊ LANCHEIRO 600X5GR</v>
          </cell>
          <cell r="D77">
            <v>42200</v>
          </cell>
          <cell r="E77">
            <v>0.27</v>
          </cell>
          <cell r="F77">
            <v>2000</v>
          </cell>
          <cell r="G77">
            <v>0</v>
          </cell>
          <cell r="H77">
            <v>0</v>
          </cell>
          <cell r="I77">
            <v>0</v>
          </cell>
          <cell r="J77">
            <v>26907.89</v>
          </cell>
          <cell r="K77">
            <v>0.12</v>
          </cell>
          <cell r="L77">
            <v>157.32</v>
          </cell>
          <cell r="M77">
            <v>0.09</v>
          </cell>
          <cell r="N77">
            <v>6</v>
          </cell>
          <cell r="O77">
            <v>270</v>
          </cell>
          <cell r="P77">
            <v>3.64</v>
          </cell>
          <cell r="Q77">
            <v>6000</v>
          </cell>
          <cell r="R77">
            <v>3045</v>
          </cell>
          <cell r="S77">
            <v>0</v>
          </cell>
          <cell r="T77">
            <v>18</v>
          </cell>
        </row>
        <row r="78">
          <cell r="A78">
            <v>3088</v>
          </cell>
          <cell r="B78">
            <v>1012</v>
          </cell>
          <cell r="C78" t="str">
            <v>LING TOSCANA GRAND MINAS CX/5X5KG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60885.06</v>
          </cell>
          <cell r="K78">
            <v>0.27</v>
          </cell>
          <cell r="L78">
            <v>2398.8000000000002</v>
          </cell>
          <cell r="M78">
            <v>1.38</v>
          </cell>
          <cell r="N78">
            <v>40</v>
          </cell>
          <cell r="O78">
            <v>132</v>
          </cell>
          <cell r="P78">
            <v>1.78</v>
          </cell>
          <cell r="Q78">
            <v>0</v>
          </cell>
          <cell r="R78">
            <v>5060</v>
          </cell>
          <cell r="S78">
            <v>0</v>
          </cell>
          <cell r="T78">
            <v>200</v>
          </cell>
        </row>
        <row r="79">
          <cell r="A79">
            <v>188</v>
          </cell>
          <cell r="B79">
            <v>1006</v>
          </cell>
          <cell r="C79" t="str">
            <v>MOLHO TOMATE PIZZA STELLA DORO SACHE CX/8X1,7</v>
          </cell>
          <cell r="D79">
            <v>5793.34</v>
          </cell>
          <cell r="E79">
            <v>0.04</v>
          </cell>
          <cell r="F79">
            <v>720</v>
          </cell>
          <cell r="G79">
            <v>0</v>
          </cell>
          <cell r="H79">
            <v>0</v>
          </cell>
          <cell r="I79">
            <v>0</v>
          </cell>
          <cell r="J79">
            <v>9769.41</v>
          </cell>
          <cell r="K79">
            <v>0.04</v>
          </cell>
          <cell r="L79">
            <v>79.2</v>
          </cell>
          <cell r="M79">
            <v>0.05</v>
          </cell>
          <cell r="N79">
            <v>8</v>
          </cell>
          <cell r="O79">
            <v>75</v>
          </cell>
          <cell r="P79">
            <v>1.01</v>
          </cell>
          <cell r="Q79">
            <v>1224</v>
          </cell>
          <cell r="R79">
            <v>1710.2</v>
          </cell>
          <cell r="S79">
            <v>0</v>
          </cell>
          <cell r="T79">
            <v>13.6</v>
          </cell>
        </row>
        <row r="80">
          <cell r="A80">
            <v>4064</v>
          </cell>
          <cell r="B80">
            <v>977.88</v>
          </cell>
          <cell r="C80" t="str">
            <v>BARRIGA MANTA SUINA SEALI KG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17184.78</v>
          </cell>
          <cell r="K80">
            <v>7.0000000000000007E-2</v>
          </cell>
          <cell r="L80">
            <v>0</v>
          </cell>
          <cell r="M80">
            <v>0</v>
          </cell>
          <cell r="N80">
            <v>0</v>
          </cell>
          <cell r="O80">
            <v>25</v>
          </cell>
          <cell r="P80">
            <v>0.34</v>
          </cell>
          <cell r="Q80">
            <v>0</v>
          </cell>
          <cell r="R80">
            <v>977.88</v>
          </cell>
          <cell r="S80">
            <v>0</v>
          </cell>
          <cell r="T80">
            <v>0</v>
          </cell>
        </row>
        <row r="81">
          <cell r="A81">
            <v>230</v>
          </cell>
          <cell r="B81">
            <v>977</v>
          </cell>
          <cell r="C81" t="str">
            <v>LING DEF.FINA ADEEL CX7X2,5KG</v>
          </cell>
          <cell r="D81">
            <v>50255.77</v>
          </cell>
          <cell r="E81">
            <v>0.32</v>
          </cell>
          <cell r="F81">
            <v>1558</v>
          </cell>
          <cell r="G81">
            <v>0</v>
          </cell>
          <cell r="H81">
            <v>0</v>
          </cell>
          <cell r="I81">
            <v>0</v>
          </cell>
          <cell r="J81">
            <v>41587.79</v>
          </cell>
          <cell r="K81">
            <v>0.18</v>
          </cell>
          <cell r="L81">
            <v>383.19</v>
          </cell>
          <cell r="M81">
            <v>0.22</v>
          </cell>
          <cell r="N81">
            <v>9</v>
          </cell>
          <cell r="O81">
            <v>138</v>
          </cell>
          <cell r="P81">
            <v>1.86</v>
          </cell>
          <cell r="Q81">
            <v>3895</v>
          </cell>
          <cell r="R81">
            <v>2442.5</v>
          </cell>
          <cell r="S81">
            <v>0</v>
          </cell>
          <cell r="T81">
            <v>22.5</v>
          </cell>
        </row>
        <row r="82">
          <cell r="A82">
            <v>200</v>
          </cell>
          <cell r="B82">
            <v>975</v>
          </cell>
          <cell r="C82" t="str">
            <v>BATATA PALHA EXTRA FINA OURO MINAS 900GR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19842.41</v>
          </cell>
          <cell r="K82">
            <v>0.09</v>
          </cell>
          <cell r="L82">
            <v>1057.26</v>
          </cell>
          <cell r="M82">
            <v>0.61</v>
          </cell>
          <cell r="N82">
            <v>58</v>
          </cell>
          <cell r="O82">
            <v>111</v>
          </cell>
          <cell r="P82">
            <v>1.5</v>
          </cell>
          <cell r="Q82">
            <v>0</v>
          </cell>
          <cell r="R82">
            <v>877.5</v>
          </cell>
          <cell r="S82">
            <v>0</v>
          </cell>
          <cell r="T82">
            <v>52.2</v>
          </cell>
        </row>
        <row r="83">
          <cell r="A83">
            <v>2005</v>
          </cell>
          <cell r="B83">
            <v>952.87</v>
          </cell>
          <cell r="C83" t="str">
            <v>LAGARTO BOVINO FRIGO DIAS KG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33185.81</v>
          </cell>
          <cell r="K83">
            <v>0.14000000000000001</v>
          </cell>
          <cell r="L83">
            <v>1653.31</v>
          </cell>
          <cell r="M83">
            <v>0.95</v>
          </cell>
          <cell r="N83">
            <v>47</v>
          </cell>
          <cell r="O83">
            <v>24</v>
          </cell>
          <cell r="P83">
            <v>0.32</v>
          </cell>
          <cell r="Q83">
            <v>0</v>
          </cell>
          <cell r="R83">
            <v>952.87</v>
          </cell>
          <cell r="S83">
            <v>0</v>
          </cell>
          <cell r="T83">
            <v>47</v>
          </cell>
        </row>
        <row r="84">
          <cell r="A84">
            <v>450</v>
          </cell>
          <cell r="B84">
            <v>946.42</v>
          </cell>
          <cell r="C84" t="str">
            <v>BACON PALETA IMPERATRIZ  KG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21194.49</v>
          </cell>
          <cell r="K84">
            <v>0.09</v>
          </cell>
          <cell r="L84">
            <v>397.35</v>
          </cell>
          <cell r="M84">
            <v>0.23</v>
          </cell>
          <cell r="N84">
            <v>17.66</v>
          </cell>
          <cell r="O84">
            <v>41</v>
          </cell>
          <cell r="P84">
            <v>0.55000000000000004</v>
          </cell>
          <cell r="Q84">
            <v>0</v>
          </cell>
          <cell r="R84">
            <v>946.42</v>
          </cell>
          <cell r="S84">
            <v>0</v>
          </cell>
          <cell r="T84">
            <v>17.66</v>
          </cell>
        </row>
        <row r="85">
          <cell r="A85">
            <v>559</v>
          </cell>
          <cell r="B85">
            <v>942</v>
          </cell>
          <cell r="C85" t="str">
            <v>GALINHA LEVE SABOROSA CX\15KG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98964.3</v>
          </cell>
          <cell r="K85">
            <v>0.43</v>
          </cell>
          <cell r="L85">
            <v>736.16</v>
          </cell>
          <cell r="M85">
            <v>0.42</v>
          </cell>
          <cell r="N85">
            <v>7</v>
          </cell>
          <cell r="O85">
            <v>405</v>
          </cell>
          <cell r="P85">
            <v>5.46</v>
          </cell>
          <cell r="Q85">
            <v>0</v>
          </cell>
          <cell r="R85">
            <v>14130</v>
          </cell>
          <cell r="S85">
            <v>0</v>
          </cell>
          <cell r="T85">
            <v>105</v>
          </cell>
        </row>
        <row r="86">
          <cell r="A86">
            <v>235</v>
          </cell>
          <cell r="B86">
            <v>942</v>
          </cell>
          <cell r="C86" t="str">
            <v>LING T.CALABRESA ADEEL 2,5KG</v>
          </cell>
          <cell r="D86">
            <v>38020.06</v>
          </cell>
          <cell r="E86">
            <v>0.24</v>
          </cell>
          <cell r="F86">
            <v>1050</v>
          </cell>
          <cell r="G86">
            <v>0</v>
          </cell>
          <cell r="H86">
            <v>0</v>
          </cell>
          <cell r="I86">
            <v>0</v>
          </cell>
          <cell r="J86">
            <v>38883.24</v>
          </cell>
          <cell r="K86">
            <v>0.17</v>
          </cell>
          <cell r="L86">
            <v>0</v>
          </cell>
          <cell r="M86">
            <v>0</v>
          </cell>
          <cell r="N86">
            <v>0</v>
          </cell>
          <cell r="O86">
            <v>177</v>
          </cell>
          <cell r="P86">
            <v>2.38</v>
          </cell>
          <cell r="Q86">
            <v>2625</v>
          </cell>
          <cell r="R86">
            <v>2355</v>
          </cell>
          <cell r="S86">
            <v>0</v>
          </cell>
          <cell r="T86">
            <v>0</v>
          </cell>
        </row>
        <row r="87">
          <cell r="A87">
            <v>263</v>
          </cell>
          <cell r="B87">
            <v>937</v>
          </cell>
          <cell r="C87" t="str">
            <v>PRESUNTO SEARA OVAL 3,4KG</v>
          </cell>
          <cell r="D87">
            <v>95813.38</v>
          </cell>
          <cell r="E87">
            <v>0.61</v>
          </cell>
          <cell r="F87">
            <v>1468</v>
          </cell>
          <cell r="G87">
            <v>0</v>
          </cell>
          <cell r="H87">
            <v>0</v>
          </cell>
          <cell r="I87">
            <v>0</v>
          </cell>
          <cell r="J87">
            <v>73586.06</v>
          </cell>
          <cell r="K87">
            <v>0.32</v>
          </cell>
          <cell r="L87">
            <v>1160.9100000000001</v>
          </cell>
          <cell r="M87">
            <v>0.67</v>
          </cell>
          <cell r="N87">
            <v>33</v>
          </cell>
          <cell r="O87">
            <v>148</v>
          </cell>
          <cell r="P87">
            <v>1.99</v>
          </cell>
          <cell r="Q87">
            <v>4991.2</v>
          </cell>
          <cell r="R87">
            <v>3185.8</v>
          </cell>
          <cell r="S87">
            <v>0</v>
          </cell>
          <cell r="T87">
            <v>112.2</v>
          </cell>
        </row>
        <row r="88">
          <cell r="A88">
            <v>3755</v>
          </cell>
          <cell r="B88">
            <v>935</v>
          </cell>
          <cell r="C88" t="str">
            <v>BEB.LACTEA CHOCOLATE DAMARE KIDS  24X200GR</v>
          </cell>
          <cell r="D88">
            <v>16485.080000000002</v>
          </cell>
          <cell r="E88">
            <v>0.11</v>
          </cell>
          <cell r="F88">
            <v>975</v>
          </cell>
          <cell r="G88">
            <v>0</v>
          </cell>
          <cell r="H88">
            <v>0</v>
          </cell>
          <cell r="I88">
            <v>0</v>
          </cell>
          <cell r="J88">
            <v>18656.22</v>
          </cell>
          <cell r="K88">
            <v>0.08</v>
          </cell>
          <cell r="L88">
            <v>159.12</v>
          </cell>
          <cell r="M88">
            <v>0.09</v>
          </cell>
          <cell r="N88">
            <v>8</v>
          </cell>
          <cell r="O88">
            <v>147</v>
          </cell>
          <cell r="P88">
            <v>1.98</v>
          </cell>
          <cell r="Q88">
            <v>4680</v>
          </cell>
          <cell r="R88">
            <v>4488</v>
          </cell>
          <cell r="S88">
            <v>0</v>
          </cell>
          <cell r="T88">
            <v>38.4</v>
          </cell>
        </row>
        <row r="89">
          <cell r="A89">
            <v>3122</v>
          </cell>
          <cell r="B89">
            <v>935</v>
          </cell>
          <cell r="C89" t="str">
            <v>REQUEIJAO BISNAGA SCALA 1,5KG</v>
          </cell>
          <cell r="D89">
            <v>27915.38</v>
          </cell>
          <cell r="E89">
            <v>0.18</v>
          </cell>
          <cell r="F89">
            <v>600</v>
          </cell>
          <cell r="G89">
            <v>0</v>
          </cell>
          <cell r="H89">
            <v>0</v>
          </cell>
          <cell r="I89">
            <v>0</v>
          </cell>
          <cell r="J89">
            <v>53207.53</v>
          </cell>
          <cell r="K89">
            <v>0.23</v>
          </cell>
          <cell r="L89">
            <v>0</v>
          </cell>
          <cell r="M89">
            <v>0</v>
          </cell>
          <cell r="N89">
            <v>0</v>
          </cell>
          <cell r="O89">
            <v>101</v>
          </cell>
          <cell r="P89">
            <v>1.36</v>
          </cell>
          <cell r="Q89">
            <v>900</v>
          </cell>
          <cell r="R89">
            <v>1402.5</v>
          </cell>
          <cell r="S89">
            <v>0</v>
          </cell>
          <cell r="T89">
            <v>0</v>
          </cell>
        </row>
        <row r="90">
          <cell r="A90">
            <v>1632</v>
          </cell>
          <cell r="B90">
            <v>930</v>
          </cell>
          <cell r="C90" t="str">
            <v>COXA SOBRECOXA ENVEL  FREDINI CX 20KG</v>
          </cell>
          <cell r="D90">
            <v>113277.09</v>
          </cell>
          <cell r="E90">
            <v>0.72</v>
          </cell>
          <cell r="F90">
            <v>950</v>
          </cell>
          <cell r="G90">
            <v>0</v>
          </cell>
          <cell r="H90">
            <v>0</v>
          </cell>
          <cell r="I90">
            <v>0</v>
          </cell>
          <cell r="J90">
            <v>136947.6</v>
          </cell>
          <cell r="K90">
            <v>0.6</v>
          </cell>
          <cell r="L90">
            <v>0</v>
          </cell>
          <cell r="M90">
            <v>0</v>
          </cell>
          <cell r="N90">
            <v>0</v>
          </cell>
          <cell r="O90">
            <v>284</v>
          </cell>
          <cell r="P90">
            <v>3.83</v>
          </cell>
          <cell r="Q90">
            <v>19000</v>
          </cell>
          <cell r="R90">
            <v>18600</v>
          </cell>
          <cell r="S90">
            <v>0</v>
          </cell>
          <cell r="T90">
            <v>0</v>
          </cell>
        </row>
        <row r="91">
          <cell r="A91">
            <v>344</v>
          </cell>
          <cell r="B91">
            <v>919</v>
          </cell>
          <cell r="C91" t="str">
            <v>PESCOCO PERU PERDIGAO CX\15KG</v>
          </cell>
          <cell r="D91">
            <v>265526.75</v>
          </cell>
          <cell r="E91">
            <v>1.7</v>
          </cell>
          <cell r="F91">
            <v>1050</v>
          </cell>
          <cell r="G91">
            <v>0</v>
          </cell>
          <cell r="H91">
            <v>0</v>
          </cell>
          <cell r="I91">
            <v>0</v>
          </cell>
          <cell r="J91">
            <v>274680.18</v>
          </cell>
          <cell r="K91">
            <v>1.2</v>
          </cell>
          <cell r="L91">
            <v>299.88</v>
          </cell>
          <cell r="M91">
            <v>0.17</v>
          </cell>
          <cell r="N91">
            <v>1</v>
          </cell>
          <cell r="O91">
            <v>563</v>
          </cell>
          <cell r="P91">
            <v>7.58</v>
          </cell>
          <cell r="Q91">
            <v>15750</v>
          </cell>
          <cell r="R91">
            <v>13785</v>
          </cell>
          <cell r="S91">
            <v>0</v>
          </cell>
          <cell r="T91">
            <v>15</v>
          </cell>
        </row>
        <row r="92">
          <cell r="A92">
            <v>1928</v>
          </cell>
          <cell r="B92">
            <v>916</v>
          </cell>
          <cell r="C92" t="str">
            <v>ASA FRANGO INTERFOLHADA FREDINI CX\20KG</v>
          </cell>
          <cell r="D92">
            <v>180071.15</v>
          </cell>
          <cell r="E92">
            <v>1.1499999999999999</v>
          </cell>
          <cell r="F92">
            <v>900</v>
          </cell>
          <cell r="G92">
            <v>0</v>
          </cell>
          <cell r="H92">
            <v>0</v>
          </cell>
          <cell r="I92">
            <v>0</v>
          </cell>
          <cell r="J92">
            <v>223342.22</v>
          </cell>
          <cell r="K92">
            <v>0.97</v>
          </cell>
          <cell r="L92">
            <v>247.89</v>
          </cell>
          <cell r="M92">
            <v>0.14000000000000001</v>
          </cell>
          <cell r="N92">
            <v>1</v>
          </cell>
          <cell r="O92">
            <v>133</v>
          </cell>
          <cell r="P92">
            <v>1.79</v>
          </cell>
          <cell r="Q92">
            <v>18000</v>
          </cell>
          <cell r="R92">
            <v>18320</v>
          </cell>
          <cell r="S92">
            <v>0</v>
          </cell>
          <cell r="T92">
            <v>20</v>
          </cell>
        </row>
        <row r="93">
          <cell r="A93">
            <v>531</v>
          </cell>
          <cell r="B93">
            <v>887</v>
          </cell>
          <cell r="C93" t="str">
            <v>CREME DE LEITE QUATA CX\27X200GR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57422.62</v>
          </cell>
          <cell r="K93">
            <v>0.25</v>
          </cell>
          <cell r="L93">
            <v>1006.87</v>
          </cell>
          <cell r="M93">
            <v>0.57999999999999996</v>
          </cell>
          <cell r="N93">
            <v>16</v>
          </cell>
          <cell r="O93">
            <v>344</v>
          </cell>
          <cell r="P93">
            <v>4.63</v>
          </cell>
          <cell r="Q93">
            <v>0</v>
          </cell>
          <cell r="R93">
            <v>4789.8</v>
          </cell>
          <cell r="S93">
            <v>0</v>
          </cell>
          <cell r="T93">
            <v>86.4</v>
          </cell>
        </row>
        <row r="94">
          <cell r="A94">
            <v>714</v>
          </cell>
          <cell r="B94">
            <v>876</v>
          </cell>
          <cell r="C94" t="str">
            <v>PRESUNTO REZENDE OVAL 3,5G</v>
          </cell>
          <cell r="D94">
            <v>15050.66</v>
          </cell>
          <cell r="E94">
            <v>0.1</v>
          </cell>
          <cell r="F94">
            <v>294</v>
          </cell>
          <cell r="G94">
            <v>0</v>
          </cell>
          <cell r="H94">
            <v>0</v>
          </cell>
          <cell r="I94">
            <v>0</v>
          </cell>
          <cell r="J94">
            <v>65298.37</v>
          </cell>
          <cell r="K94">
            <v>0.28000000000000003</v>
          </cell>
          <cell r="L94">
            <v>227.71</v>
          </cell>
          <cell r="M94">
            <v>0.13</v>
          </cell>
          <cell r="N94">
            <v>3</v>
          </cell>
          <cell r="O94">
            <v>248</v>
          </cell>
          <cell r="P94">
            <v>3.34</v>
          </cell>
          <cell r="Q94">
            <v>1029</v>
          </cell>
          <cell r="R94">
            <v>3066</v>
          </cell>
          <cell r="S94">
            <v>0</v>
          </cell>
          <cell r="T94">
            <v>10.5</v>
          </cell>
        </row>
        <row r="95">
          <cell r="A95">
            <v>45</v>
          </cell>
          <cell r="B95">
            <v>872</v>
          </cell>
          <cell r="C95" t="str">
            <v>DORSO DE FRANGO AGROAVES CX/20KG</v>
          </cell>
          <cell r="D95">
            <v>22231.01</v>
          </cell>
          <cell r="E95">
            <v>0.14000000000000001</v>
          </cell>
          <cell r="F95">
            <v>550</v>
          </cell>
          <cell r="G95">
            <v>0</v>
          </cell>
          <cell r="H95">
            <v>0</v>
          </cell>
          <cell r="I95">
            <v>0</v>
          </cell>
          <cell r="J95">
            <v>49963.32</v>
          </cell>
          <cell r="K95">
            <v>0.22</v>
          </cell>
          <cell r="L95">
            <v>397.88</v>
          </cell>
          <cell r="M95">
            <v>0.23</v>
          </cell>
          <cell r="N95">
            <v>7</v>
          </cell>
          <cell r="O95">
            <v>388</v>
          </cell>
          <cell r="P95">
            <v>5.23</v>
          </cell>
          <cell r="Q95">
            <v>11000</v>
          </cell>
          <cell r="R95">
            <v>17440</v>
          </cell>
          <cell r="S95">
            <v>0</v>
          </cell>
          <cell r="T95">
            <v>140</v>
          </cell>
        </row>
        <row r="96">
          <cell r="A96">
            <v>489</v>
          </cell>
          <cell r="B96">
            <v>859.76</v>
          </cell>
          <cell r="C96" t="str">
            <v>CARRE SUINO AURORA KG</v>
          </cell>
          <cell r="D96">
            <v>43252.07</v>
          </cell>
          <cell r="E96">
            <v>0.28000000000000003</v>
          </cell>
          <cell r="F96">
            <v>3932.01</v>
          </cell>
          <cell r="G96">
            <v>0</v>
          </cell>
          <cell r="H96">
            <v>0</v>
          </cell>
          <cell r="I96">
            <v>0</v>
          </cell>
          <cell r="J96">
            <v>11118.46</v>
          </cell>
          <cell r="K96">
            <v>0.05</v>
          </cell>
          <cell r="L96">
            <v>0</v>
          </cell>
          <cell r="M96">
            <v>0</v>
          </cell>
          <cell r="N96">
            <v>0</v>
          </cell>
          <cell r="O96">
            <v>17</v>
          </cell>
          <cell r="P96">
            <v>0.23</v>
          </cell>
          <cell r="Q96">
            <v>3932.01</v>
          </cell>
          <cell r="R96">
            <v>859.76</v>
          </cell>
          <cell r="S96">
            <v>0</v>
          </cell>
          <cell r="T96">
            <v>0</v>
          </cell>
        </row>
        <row r="97">
          <cell r="A97">
            <v>54</v>
          </cell>
          <cell r="B97">
            <v>850</v>
          </cell>
          <cell r="C97" t="str">
            <v>PEITO FRANGO PCT FREDINI CX\20KG</v>
          </cell>
          <cell r="D97">
            <v>176837.55</v>
          </cell>
          <cell r="E97">
            <v>1.1299999999999999</v>
          </cell>
          <cell r="F97">
            <v>1250</v>
          </cell>
          <cell r="G97">
            <v>0</v>
          </cell>
          <cell r="H97">
            <v>0</v>
          </cell>
          <cell r="I97">
            <v>0</v>
          </cell>
          <cell r="J97">
            <v>153301.07999999999</v>
          </cell>
          <cell r="K97">
            <v>0.67</v>
          </cell>
          <cell r="L97">
            <v>1334</v>
          </cell>
          <cell r="M97">
            <v>0.77</v>
          </cell>
          <cell r="N97">
            <v>7</v>
          </cell>
          <cell r="O97">
            <v>440</v>
          </cell>
          <cell r="P97">
            <v>5.93</v>
          </cell>
          <cell r="Q97">
            <v>25000</v>
          </cell>
          <cell r="R97">
            <v>17000</v>
          </cell>
          <cell r="S97">
            <v>0</v>
          </cell>
          <cell r="T97">
            <v>140</v>
          </cell>
        </row>
        <row r="98">
          <cell r="A98">
            <v>3116</v>
          </cell>
          <cell r="B98">
            <v>848</v>
          </cell>
          <cell r="C98" t="str">
            <v>MASSA PASTEL MEDIA VILA ITALIA 24X500GR</v>
          </cell>
          <cell r="D98">
            <v>166152.01</v>
          </cell>
          <cell r="E98">
            <v>1.06</v>
          </cell>
          <cell r="F98">
            <v>1277</v>
          </cell>
          <cell r="G98">
            <v>0</v>
          </cell>
          <cell r="H98">
            <v>0</v>
          </cell>
          <cell r="I98">
            <v>0</v>
          </cell>
          <cell r="J98">
            <v>132031.75</v>
          </cell>
          <cell r="K98">
            <v>0.57999999999999996</v>
          </cell>
          <cell r="L98">
            <v>1249.74</v>
          </cell>
          <cell r="M98">
            <v>0.72</v>
          </cell>
          <cell r="N98">
            <v>8</v>
          </cell>
          <cell r="O98">
            <v>490</v>
          </cell>
          <cell r="P98">
            <v>6.6</v>
          </cell>
          <cell r="Q98">
            <v>15324</v>
          </cell>
          <cell r="R98">
            <v>10176</v>
          </cell>
          <cell r="S98">
            <v>0</v>
          </cell>
          <cell r="T98">
            <v>96</v>
          </cell>
        </row>
        <row r="99">
          <cell r="A99">
            <v>673</v>
          </cell>
          <cell r="B99">
            <v>848</v>
          </cell>
          <cell r="C99" t="str">
            <v>MORTADELA CONFIANÇA CX\6X1KG</v>
          </cell>
          <cell r="D99">
            <v>35775</v>
          </cell>
          <cell r="E99">
            <v>0.23</v>
          </cell>
          <cell r="F99">
            <v>750</v>
          </cell>
          <cell r="G99">
            <v>0</v>
          </cell>
          <cell r="H99">
            <v>0</v>
          </cell>
          <cell r="I99">
            <v>0</v>
          </cell>
          <cell r="J99">
            <v>45758.36</v>
          </cell>
          <cell r="K99">
            <v>0.2</v>
          </cell>
          <cell r="L99">
            <v>961.14</v>
          </cell>
          <cell r="M99">
            <v>0.55000000000000004</v>
          </cell>
          <cell r="N99">
            <v>18</v>
          </cell>
          <cell r="O99">
            <v>220</v>
          </cell>
          <cell r="P99">
            <v>2.96</v>
          </cell>
          <cell r="Q99">
            <v>4500</v>
          </cell>
          <cell r="R99">
            <v>5088</v>
          </cell>
          <cell r="S99">
            <v>0</v>
          </cell>
          <cell r="T99">
            <v>108</v>
          </cell>
        </row>
        <row r="100">
          <cell r="A100">
            <v>405</v>
          </cell>
          <cell r="B100">
            <v>844</v>
          </cell>
          <cell r="C100" t="str">
            <v>HAMBURGUER ENVELOPADO FRISA CX\36UN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35516.699999999997</v>
          </cell>
          <cell r="K100">
            <v>0.15</v>
          </cell>
          <cell r="L100">
            <v>0</v>
          </cell>
          <cell r="M100">
            <v>0</v>
          </cell>
          <cell r="N100">
            <v>0</v>
          </cell>
          <cell r="O100">
            <v>214</v>
          </cell>
          <cell r="P100">
            <v>2.88</v>
          </cell>
          <cell r="Q100">
            <v>0</v>
          </cell>
          <cell r="R100">
            <v>1701.5</v>
          </cell>
          <cell r="S100">
            <v>0</v>
          </cell>
          <cell r="T100">
            <v>0</v>
          </cell>
        </row>
        <row r="101">
          <cell r="A101">
            <v>388</v>
          </cell>
          <cell r="B101">
            <v>840</v>
          </cell>
          <cell r="C101" t="str">
            <v>COXA SOBRECOXA ENVEL  FRANCAP CX 20KG</v>
          </cell>
          <cell r="D101">
            <v>37590.620000000003</v>
          </cell>
          <cell r="E101">
            <v>0.24</v>
          </cell>
          <cell r="F101">
            <v>300</v>
          </cell>
          <cell r="G101">
            <v>0</v>
          </cell>
          <cell r="H101">
            <v>0</v>
          </cell>
          <cell r="I101">
            <v>0</v>
          </cell>
          <cell r="J101">
            <v>125308.06</v>
          </cell>
          <cell r="K101">
            <v>0.55000000000000004</v>
          </cell>
          <cell r="L101">
            <v>0</v>
          </cell>
          <cell r="M101">
            <v>0</v>
          </cell>
          <cell r="N101">
            <v>0</v>
          </cell>
          <cell r="O101">
            <v>269</v>
          </cell>
          <cell r="P101">
            <v>3.62</v>
          </cell>
          <cell r="Q101">
            <v>6000</v>
          </cell>
          <cell r="R101">
            <v>16800</v>
          </cell>
          <cell r="S101">
            <v>0</v>
          </cell>
          <cell r="T101">
            <v>0</v>
          </cell>
        </row>
        <row r="102">
          <cell r="A102">
            <v>457</v>
          </cell>
          <cell r="B102">
            <v>833</v>
          </cell>
          <cell r="C102" t="str">
            <v>BATATA PALHA OURO MINAS FD 36X400G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6169.36</v>
          </cell>
          <cell r="K102">
            <v>0.03</v>
          </cell>
          <cell r="L102">
            <v>0</v>
          </cell>
          <cell r="M102">
            <v>0</v>
          </cell>
          <cell r="N102">
            <v>0</v>
          </cell>
          <cell r="O102">
            <v>47</v>
          </cell>
          <cell r="P102">
            <v>0.63</v>
          </cell>
          <cell r="Q102">
            <v>0</v>
          </cell>
          <cell r="R102">
            <v>333.2</v>
          </cell>
          <cell r="S102">
            <v>0</v>
          </cell>
          <cell r="T102">
            <v>0</v>
          </cell>
        </row>
        <row r="103">
          <cell r="A103">
            <v>431</v>
          </cell>
          <cell r="B103">
            <v>830</v>
          </cell>
          <cell r="C103" t="str">
            <v>APRESUNTADO REZENDE  3,4KG</v>
          </cell>
          <cell r="D103">
            <v>43336.26</v>
          </cell>
          <cell r="E103">
            <v>0.28000000000000003</v>
          </cell>
          <cell r="F103">
            <v>826</v>
          </cell>
          <cell r="G103">
            <v>0</v>
          </cell>
          <cell r="H103">
            <v>0</v>
          </cell>
          <cell r="I103">
            <v>0</v>
          </cell>
          <cell r="J103">
            <v>51900.74</v>
          </cell>
          <cell r="K103">
            <v>0.23</v>
          </cell>
          <cell r="L103">
            <v>314.06</v>
          </cell>
          <cell r="M103">
            <v>0.18</v>
          </cell>
          <cell r="N103">
            <v>5</v>
          </cell>
          <cell r="O103">
            <v>230</v>
          </cell>
          <cell r="P103">
            <v>3.1</v>
          </cell>
          <cell r="Q103">
            <v>2891</v>
          </cell>
          <cell r="R103">
            <v>2905</v>
          </cell>
          <cell r="S103">
            <v>0</v>
          </cell>
          <cell r="T103">
            <v>17.5</v>
          </cell>
        </row>
        <row r="104">
          <cell r="A104">
            <v>835</v>
          </cell>
          <cell r="B104">
            <v>823</v>
          </cell>
          <cell r="C104" t="str">
            <v>MILHO VERDE LT STELLA D.ORO CX24X170G</v>
          </cell>
          <cell r="D104">
            <v>113011.2</v>
          </cell>
          <cell r="E104">
            <v>0.72</v>
          </cell>
          <cell r="F104">
            <v>2160</v>
          </cell>
          <cell r="G104">
            <v>313.92</v>
          </cell>
          <cell r="H104">
            <v>39.53</v>
          </cell>
          <cell r="I104">
            <v>6</v>
          </cell>
          <cell r="J104">
            <v>51411.88</v>
          </cell>
          <cell r="K104">
            <v>0.22</v>
          </cell>
          <cell r="L104">
            <v>0</v>
          </cell>
          <cell r="M104">
            <v>0</v>
          </cell>
          <cell r="N104">
            <v>0</v>
          </cell>
          <cell r="O104">
            <v>460</v>
          </cell>
          <cell r="P104">
            <v>6.2</v>
          </cell>
          <cell r="Q104">
            <v>14040</v>
          </cell>
          <cell r="R104">
            <v>5349.5</v>
          </cell>
          <cell r="S104">
            <v>39</v>
          </cell>
          <cell r="T104">
            <v>0</v>
          </cell>
        </row>
        <row r="105">
          <cell r="A105">
            <v>209</v>
          </cell>
          <cell r="B105">
            <v>806</v>
          </cell>
          <cell r="C105" t="str">
            <v>BANHA SEARA CX\18KG</v>
          </cell>
          <cell r="D105">
            <v>288792</v>
          </cell>
          <cell r="E105">
            <v>1.85</v>
          </cell>
          <cell r="F105">
            <v>1528</v>
          </cell>
          <cell r="G105">
            <v>0</v>
          </cell>
          <cell r="H105">
            <v>0</v>
          </cell>
          <cell r="I105">
            <v>0</v>
          </cell>
          <cell r="J105">
            <v>182838.38</v>
          </cell>
          <cell r="K105">
            <v>0.8</v>
          </cell>
          <cell r="L105">
            <v>226.67</v>
          </cell>
          <cell r="M105">
            <v>0.13</v>
          </cell>
          <cell r="N105">
            <v>1</v>
          </cell>
          <cell r="O105">
            <v>424</v>
          </cell>
          <cell r="P105">
            <v>5.71</v>
          </cell>
          <cell r="Q105">
            <v>27504</v>
          </cell>
          <cell r="R105">
            <v>14508</v>
          </cell>
          <cell r="S105">
            <v>0</v>
          </cell>
          <cell r="T105">
            <v>18</v>
          </cell>
        </row>
        <row r="106">
          <cell r="A106">
            <v>341</v>
          </cell>
          <cell r="B106">
            <v>804.85</v>
          </cell>
          <cell r="C106" t="str">
            <v>QUEIJO MINAS PADRAO CRISTAULAT KG</v>
          </cell>
          <cell r="D106">
            <v>33967.86</v>
          </cell>
          <cell r="E106">
            <v>0.22</v>
          </cell>
          <cell r="F106">
            <v>784.06</v>
          </cell>
          <cell r="G106">
            <v>0</v>
          </cell>
          <cell r="H106">
            <v>0</v>
          </cell>
          <cell r="I106">
            <v>0</v>
          </cell>
          <cell r="J106">
            <v>38740.89</v>
          </cell>
          <cell r="K106">
            <v>0.17</v>
          </cell>
          <cell r="L106">
            <v>269.5</v>
          </cell>
          <cell r="M106">
            <v>0.16</v>
          </cell>
          <cell r="N106">
            <v>5.6</v>
          </cell>
          <cell r="O106">
            <v>101</v>
          </cell>
          <cell r="P106">
            <v>1.36</v>
          </cell>
          <cell r="Q106">
            <v>784.06</v>
          </cell>
          <cell r="R106">
            <v>804.85</v>
          </cell>
          <cell r="S106">
            <v>0</v>
          </cell>
          <cell r="T106">
            <v>5.6</v>
          </cell>
        </row>
        <row r="107">
          <cell r="A107">
            <v>16</v>
          </cell>
          <cell r="B107">
            <v>797</v>
          </cell>
          <cell r="C107" t="str">
            <v>BEB.LACTEA CHOCOLATE CEMIL CX\27/200ML</v>
          </cell>
          <cell r="D107">
            <v>20013.650000000001</v>
          </cell>
          <cell r="E107">
            <v>0.13</v>
          </cell>
          <cell r="F107">
            <v>825</v>
          </cell>
          <cell r="G107">
            <v>0</v>
          </cell>
          <cell r="H107">
            <v>0</v>
          </cell>
          <cell r="I107">
            <v>0</v>
          </cell>
          <cell r="J107">
            <v>23671.759999999998</v>
          </cell>
          <cell r="K107">
            <v>0.1</v>
          </cell>
          <cell r="L107">
            <v>238.32</v>
          </cell>
          <cell r="M107">
            <v>0.14000000000000001</v>
          </cell>
          <cell r="N107">
            <v>8</v>
          </cell>
          <cell r="O107">
            <v>256</v>
          </cell>
          <cell r="P107">
            <v>3.45</v>
          </cell>
          <cell r="Q107">
            <v>4950</v>
          </cell>
          <cell r="R107">
            <v>4782</v>
          </cell>
          <cell r="S107">
            <v>0</v>
          </cell>
          <cell r="T107">
            <v>48</v>
          </cell>
        </row>
        <row r="108">
          <cell r="A108">
            <v>371</v>
          </cell>
          <cell r="B108">
            <v>794</v>
          </cell>
          <cell r="C108" t="str">
            <v>MANTEIGA CRISTAULAT CX\12X500GR</v>
          </cell>
          <cell r="D108">
            <v>113596.65</v>
          </cell>
          <cell r="E108">
            <v>0.73</v>
          </cell>
          <cell r="F108">
            <v>660</v>
          </cell>
          <cell r="G108">
            <v>0</v>
          </cell>
          <cell r="H108">
            <v>0</v>
          </cell>
          <cell r="I108">
            <v>0</v>
          </cell>
          <cell r="J108">
            <v>164270.93</v>
          </cell>
          <cell r="K108">
            <v>0.72</v>
          </cell>
          <cell r="L108">
            <v>1024.31</v>
          </cell>
          <cell r="M108">
            <v>0.59</v>
          </cell>
          <cell r="N108">
            <v>5</v>
          </cell>
          <cell r="O108">
            <v>353</v>
          </cell>
          <cell r="P108">
            <v>4.75</v>
          </cell>
          <cell r="Q108">
            <v>3960</v>
          </cell>
          <cell r="R108">
            <v>4764</v>
          </cell>
          <cell r="S108">
            <v>0</v>
          </cell>
          <cell r="T108">
            <v>30</v>
          </cell>
        </row>
        <row r="109">
          <cell r="A109">
            <v>530</v>
          </cell>
          <cell r="B109">
            <v>784</v>
          </cell>
          <cell r="C109" t="str">
            <v>CREME DE LEITE PIRACANJUBA  CX/27X200G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61368.93</v>
          </cell>
          <cell r="K109">
            <v>0.27</v>
          </cell>
          <cell r="L109">
            <v>78.11</v>
          </cell>
          <cell r="M109">
            <v>0.04</v>
          </cell>
          <cell r="N109">
            <v>1</v>
          </cell>
          <cell r="O109">
            <v>401</v>
          </cell>
          <cell r="P109">
            <v>5.4</v>
          </cell>
          <cell r="Q109">
            <v>0</v>
          </cell>
          <cell r="R109">
            <v>4233.6000000000004</v>
          </cell>
          <cell r="S109">
            <v>0</v>
          </cell>
          <cell r="T109">
            <v>5.4</v>
          </cell>
        </row>
        <row r="110">
          <cell r="A110">
            <v>52</v>
          </cell>
          <cell r="B110">
            <v>765</v>
          </cell>
          <cell r="C110" t="str">
            <v>FRANGO CONG.FRIALL CX/20KG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130200.87</v>
          </cell>
          <cell r="K110">
            <v>0.56999999999999995</v>
          </cell>
          <cell r="L110">
            <v>0</v>
          </cell>
          <cell r="M110">
            <v>0</v>
          </cell>
          <cell r="N110">
            <v>0</v>
          </cell>
          <cell r="O110">
            <v>210</v>
          </cell>
          <cell r="P110">
            <v>2.83</v>
          </cell>
          <cell r="Q110">
            <v>0</v>
          </cell>
          <cell r="R110">
            <v>15300</v>
          </cell>
          <cell r="S110">
            <v>0</v>
          </cell>
          <cell r="T110">
            <v>0</v>
          </cell>
        </row>
        <row r="111">
          <cell r="A111">
            <v>126</v>
          </cell>
          <cell r="B111">
            <v>763.02</v>
          </cell>
          <cell r="C111" t="str">
            <v>PALETA SUINA FRIGODIAS KG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10173.540000000001</v>
          </cell>
          <cell r="K111">
            <v>0.04</v>
          </cell>
          <cell r="L111">
            <v>0</v>
          </cell>
          <cell r="M111">
            <v>0</v>
          </cell>
          <cell r="N111">
            <v>0</v>
          </cell>
          <cell r="O111">
            <v>14</v>
          </cell>
          <cell r="P111">
            <v>0.19</v>
          </cell>
          <cell r="Q111">
            <v>0</v>
          </cell>
          <cell r="R111">
            <v>763.02</v>
          </cell>
          <cell r="S111">
            <v>0</v>
          </cell>
          <cell r="T111">
            <v>0</v>
          </cell>
        </row>
        <row r="112">
          <cell r="A112">
            <v>994</v>
          </cell>
          <cell r="B112">
            <v>761</v>
          </cell>
          <cell r="C112" t="str">
            <v>FILE PEITO BANDEJA RIVELLI CX.12X1KG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146282.06</v>
          </cell>
          <cell r="K112">
            <v>0.64</v>
          </cell>
          <cell r="L112">
            <v>383.76</v>
          </cell>
          <cell r="M112">
            <v>0.22</v>
          </cell>
          <cell r="N112">
            <v>2</v>
          </cell>
          <cell r="O112">
            <v>403</v>
          </cell>
          <cell r="P112">
            <v>5.43</v>
          </cell>
          <cell r="Q112">
            <v>0</v>
          </cell>
          <cell r="R112">
            <v>9132</v>
          </cell>
          <cell r="S112">
            <v>0</v>
          </cell>
          <cell r="T112">
            <v>24</v>
          </cell>
        </row>
        <row r="113">
          <cell r="A113">
            <v>355</v>
          </cell>
          <cell r="B113">
            <v>755</v>
          </cell>
          <cell r="C113" t="str">
            <v>OLEO DE SOJA LIZA 6X900ML PET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33005.089999999997</v>
          </cell>
          <cell r="K113">
            <v>0.14000000000000001</v>
          </cell>
          <cell r="L113">
            <v>219.51</v>
          </cell>
          <cell r="M113">
            <v>0.13</v>
          </cell>
          <cell r="N113">
            <v>5</v>
          </cell>
          <cell r="O113">
            <v>134</v>
          </cell>
          <cell r="P113">
            <v>1.8</v>
          </cell>
          <cell r="Q113">
            <v>0</v>
          </cell>
          <cell r="R113">
            <v>4077</v>
          </cell>
          <cell r="S113">
            <v>0</v>
          </cell>
          <cell r="T113">
            <v>27</v>
          </cell>
        </row>
        <row r="114">
          <cell r="A114">
            <v>367</v>
          </cell>
          <cell r="B114">
            <v>716</v>
          </cell>
          <cell r="C114" t="str">
            <v>MARGARINA BALDE 75% DELICATA 15KG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96187.71</v>
          </cell>
          <cell r="K114">
            <v>0.42</v>
          </cell>
          <cell r="L114">
            <v>547.1</v>
          </cell>
          <cell r="M114">
            <v>0.31</v>
          </cell>
          <cell r="N114">
            <v>4</v>
          </cell>
          <cell r="O114">
            <v>212</v>
          </cell>
          <cell r="P114">
            <v>2.86</v>
          </cell>
          <cell r="Q114">
            <v>0</v>
          </cell>
          <cell r="R114">
            <v>10740</v>
          </cell>
          <cell r="S114">
            <v>0</v>
          </cell>
          <cell r="T114">
            <v>60</v>
          </cell>
        </row>
        <row r="115">
          <cell r="A115">
            <v>1607</v>
          </cell>
          <cell r="B115">
            <v>715.28</v>
          </cell>
          <cell r="C115" t="str">
            <v>BACON MANTA SEARA KG</v>
          </cell>
          <cell r="D115">
            <v>12897.23</v>
          </cell>
          <cell r="E115">
            <v>0.08</v>
          </cell>
          <cell r="F115">
            <v>502.62</v>
          </cell>
          <cell r="G115">
            <v>0</v>
          </cell>
          <cell r="H115">
            <v>0</v>
          </cell>
          <cell r="I115">
            <v>0</v>
          </cell>
          <cell r="J115">
            <v>21720.66</v>
          </cell>
          <cell r="K115">
            <v>0.09</v>
          </cell>
          <cell r="L115">
            <v>1488.82</v>
          </cell>
          <cell r="M115">
            <v>0.86</v>
          </cell>
          <cell r="N115">
            <v>48.87</v>
          </cell>
          <cell r="O115">
            <v>34</v>
          </cell>
          <cell r="P115">
            <v>0.46</v>
          </cell>
          <cell r="Q115">
            <v>502.62</v>
          </cell>
          <cell r="R115">
            <v>715.28</v>
          </cell>
          <cell r="S115">
            <v>0</v>
          </cell>
          <cell r="T115">
            <v>48.87</v>
          </cell>
        </row>
        <row r="116">
          <cell r="A116">
            <v>2488</v>
          </cell>
          <cell r="B116">
            <v>715</v>
          </cell>
          <cell r="C116" t="str">
            <v>MAIONESE BALDE SALADA CX\6X3KG</v>
          </cell>
          <cell r="D116">
            <v>1162.08</v>
          </cell>
          <cell r="E116">
            <v>0.01</v>
          </cell>
          <cell r="F116">
            <v>48</v>
          </cell>
          <cell r="G116">
            <v>0</v>
          </cell>
          <cell r="H116">
            <v>0</v>
          </cell>
          <cell r="I116">
            <v>0</v>
          </cell>
          <cell r="J116">
            <v>21217.16</v>
          </cell>
          <cell r="K116">
            <v>0.09</v>
          </cell>
          <cell r="L116">
            <v>0</v>
          </cell>
          <cell r="M116">
            <v>0</v>
          </cell>
          <cell r="N116">
            <v>0</v>
          </cell>
          <cell r="O116">
            <v>154</v>
          </cell>
          <cell r="P116">
            <v>2.0699999999999998</v>
          </cell>
          <cell r="Q116">
            <v>144</v>
          </cell>
          <cell r="R116">
            <v>2145</v>
          </cell>
          <cell r="S116">
            <v>0</v>
          </cell>
          <cell r="T116">
            <v>0</v>
          </cell>
        </row>
        <row r="117">
          <cell r="A117">
            <v>1561</v>
          </cell>
          <cell r="B117">
            <v>714</v>
          </cell>
          <cell r="C117" t="str">
            <v>FRANGO CONG.FREDINI CX/20KG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111142.55</v>
          </cell>
          <cell r="K117">
            <v>0.48</v>
          </cell>
          <cell r="L117">
            <v>1408.74</v>
          </cell>
          <cell r="M117">
            <v>0.81</v>
          </cell>
          <cell r="N117">
            <v>9</v>
          </cell>
          <cell r="O117">
            <v>244</v>
          </cell>
          <cell r="P117">
            <v>3.29</v>
          </cell>
          <cell r="Q117">
            <v>0</v>
          </cell>
          <cell r="R117">
            <v>14280</v>
          </cell>
          <cell r="S117">
            <v>0</v>
          </cell>
          <cell r="T117">
            <v>180</v>
          </cell>
        </row>
        <row r="118">
          <cell r="A118">
            <v>573</v>
          </cell>
          <cell r="B118">
            <v>714</v>
          </cell>
          <cell r="C118" t="str">
            <v>IOGURTE TURMA MILK FD\60X110ML</v>
          </cell>
          <cell r="D118">
            <v>16724</v>
          </cell>
          <cell r="E118">
            <v>0.11</v>
          </cell>
          <cell r="F118">
            <v>700</v>
          </cell>
          <cell r="G118">
            <v>0</v>
          </cell>
          <cell r="H118">
            <v>0</v>
          </cell>
          <cell r="I118">
            <v>0</v>
          </cell>
          <cell r="J118">
            <v>20291.759999999998</v>
          </cell>
          <cell r="K118">
            <v>0.09</v>
          </cell>
          <cell r="L118">
            <v>85.7</v>
          </cell>
          <cell r="M118">
            <v>0.05</v>
          </cell>
          <cell r="N118">
            <v>3</v>
          </cell>
          <cell r="O118">
            <v>254</v>
          </cell>
          <cell r="P118">
            <v>3.42</v>
          </cell>
          <cell r="Q118">
            <v>4620</v>
          </cell>
          <cell r="R118">
            <v>4712.3999999999996</v>
          </cell>
          <cell r="S118">
            <v>0</v>
          </cell>
          <cell r="T118">
            <v>19.8</v>
          </cell>
        </row>
        <row r="119">
          <cell r="A119">
            <v>640</v>
          </cell>
          <cell r="B119">
            <v>698</v>
          </cell>
          <cell r="C119" t="str">
            <v>MAIONESE SACHE DAJUDA 192X7GR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13701.4</v>
          </cell>
          <cell r="K119">
            <v>0.06</v>
          </cell>
          <cell r="L119">
            <v>97.5</v>
          </cell>
          <cell r="M119">
            <v>0.06</v>
          </cell>
          <cell r="N119">
            <v>5</v>
          </cell>
          <cell r="O119">
            <v>111</v>
          </cell>
          <cell r="P119">
            <v>1.5</v>
          </cell>
          <cell r="Q119">
            <v>0</v>
          </cell>
          <cell r="R119">
            <v>1047</v>
          </cell>
          <cell r="S119">
            <v>0</v>
          </cell>
          <cell r="T119">
            <v>7.5</v>
          </cell>
        </row>
        <row r="120">
          <cell r="A120">
            <v>389</v>
          </cell>
          <cell r="B120">
            <v>694</v>
          </cell>
          <cell r="C120" t="str">
            <v>PEITO FRANGO ENVELOPADO FRANCAP CX/20KG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126515.59</v>
          </cell>
          <cell r="K120">
            <v>0.55000000000000004</v>
          </cell>
          <cell r="L120">
            <v>1273.23</v>
          </cell>
          <cell r="M120">
            <v>0.73</v>
          </cell>
          <cell r="N120">
            <v>7</v>
          </cell>
          <cell r="O120">
            <v>249</v>
          </cell>
          <cell r="P120">
            <v>3.35</v>
          </cell>
          <cell r="Q120">
            <v>0</v>
          </cell>
          <cell r="R120">
            <v>13880</v>
          </cell>
          <cell r="S120">
            <v>0</v>
          </cell>
          <cell r="T120">
            <v>140</v>
          </cell>
        </row>
        <row r="121">
          <cell r="A121">
            <v>830</v>
          </cell>
          <cell r="B121">
            <v>693</v>
          </cell>
          <cell r="C121" t="str">
            <v>MEIO DA ASA IQF SEARA 12X1KG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187244.61</v>
          </cell>
          <cell r="K121">
            <v>0.82</v>
          </cell>
          <cell r="L121">
            <v>2429.0100000000002</v>
          </cell>
          <cell r="M121">
            <v>1.4</v>
          </cell>
          <cell r="N121">
            <v>9</v>
          </cell>
          <cell r="O121">
            <v>359</v>
          </cell>
          <cell r="P121">
            <v>4.84</v>
          </cell>
          <cell r="Q121">
            <v>0</v>
          </cell>
          <cell r="R121">
            <v>8316</v>
          </cell>
          <cell r="S121">
            <v>0</v>
          </cell>
          <cell r="T121">
            <v>108</v>
          </cell>
        </row>
        <row r="122">
          <cell r="A122">
            <v>657</v>
          </cell>
          <cell r="B122">
            <v>679</v>
          </cell>
          <cell r="C122" t="str">
            <v>MASSA PASTEL ROLO VILA ITALIA CX\12X1KG</v>
          </cell>
          <cell r="D122">
            <v>165179.99</v>
          </cell>
          <cell r="E122">
            <v>1.06</v>
          </cell>
          <cell r="F122">
            <v>1308</v>
          </cell>
          <cell r="G122">
            <v>0</v>
          </cell>
          <cell r="H122">
            <v>0</v>
          </cell>
          <cell r="I122">
            <v>0</v>
          </cell>
          <cell r="J122">
            <v>106384.79</v>
          </cell>
          <cell r="K122">
            <v>0.46</v>
          </cell>
          <cell r="L122">
            <v>623.28</v>
          </cell>
          <cell r="M122">
            <v>0.36</v>
          </cell>
          <cell r="N122">
            <v>4</v>
          </cell>
          <cell r="O122">
            <v>277</v>
          </cell>
          <cell r="P122">
            <v>3.73</v>
          </cell>
          <cell r="Q122">
            <v>15696</v>
          </cell>
          <cell r="R122">
            <v>8148</v>
          </cell>
          <cell r="S122">
            <v>0</v>
          </cell>
          <cell r="T122">
            <v>48</v>
          </cell>
        </row>
        <row r="123">
          <cell r="A123">
            <v>186</v>
          </cell>
          <cell r="B123">
            <v>679</v>
          </cell>
          <cell r="C123" t="str">
            <v>MOLHO TOMATE SALSARETTI SACHE CX6X1,7KG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6562.6</v>
          </cell>
          <cell r="K123">
            <v>0.03</v>
          </cell>
          <cell r="L123">
            <v>0</v>
          </cell>
          <cell r="M123">
            <v>0</v>
          </cell>
          <cell r="N123">
            <v>0</v>
          </cell>
          <cell r="O123">
            <v>59</v>
          </cell>
          <cell r="P123">
            <v>0.79</v>
          </cell>
          <cell r="Q123">
            <v>0</v>
          </cell>
          <cell r="R123">
            <v>1154.3</v>
          </cell>
          <cell r="S123">
            <v>0</v>
          </cell>
          <cell r="T123">
            <v>0</v>
          </cell>
        </row>
        <row r="124">
          <cell r="A124">
            <v>27</v>
          </cell>
          <cell r="B124">
            <v>669</v>
          </cell>
          <cell r="C124" t="str">
            <v>PE DE FRANGO PCT FRANCAP CX\18KG</v>
          </cell>
          <cell r="D124">
            <v>69152.78</v>
          </cell>
          <cell r="E124">
            <v>0.44</v>
          </cell>
          <cell r="F124">
            <v>667</v>
          </cell>
          <cell r="G124">
            <v>0</v>
          </cell>
          <cell r="H124">
            <v>0</v>
          </cell>
          <cell r="I124">
            <v>0</v>
          </cell>
          <cell r="J124">
            <v>118084.4</v>
          </cell>
          <cell r="K124">
            <v>0.52</v>
          </cell>
          <cell r="L124">
            <v>532.79999999999995</v>
          </cell>
          <cell r="M124">
            <v>0.31</v>
          </cell>
          <cell r="N124">
            <v>3</v>
          </cell>
          <cell r="O124">
            <v>420</v>
          </cell>
          <cell r="P124">
            <v>5.66</v>
          </cell>
          <cell r="Q124">
            <v>12006</v>
          </cell>
          <cell r="R124">
            <v>12042</v>
          </cell>
          <cell r="S124">
            <v>0</v>
          </cell>
          <cell r="T124">
            <v>54</v>
          </cell>
        </row>
        <row r="125">
          <cell r="A125">
            <v>605</v>
          </cell>
          <cell r="B125">
            <v>664</v>
          </cell>
          <cell r="C125" t="str">
            <v>LING CHURRASCO LEBON 24X800GR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158212.71</v>
          </cell>
          <cell r="K125">
            <v>0.69</v>
          </cell>
          <cell r="L125">
            <v>1444</v>
          </cell>
          <cell r="M125">
            <v>0.83</v>
          </cell>
          <cell r="N125">
            <v>6</v>
          </cell>
          <cell r="O125">
            <v>372</v>
          </cell>
          <cell r="P125">
            <v>5.01</v>
          </cell>
          <cell r="Q125">
            <v>0</v>
          </cell>
          <cell r="R125">
            <v>12748.8</v>
          </cell>
          <cell r="S125">
            <v>0</v>
          </cell>
          <cell r="T125">
            <v>115.2</v>
          </cell>
        </row>
        <row r="126">
          <cell r="A126">
            <v>1412</v>
          </cell>
          <cell r="B126">
            <v>651</v>
          </cell>
          <cell r="C126" t="str">
            <v>FILE PEITO FRANGO PCT FREDINI CX/20KG</v>
          </cell>
          <cell r="D126">
            <v>149756.14000000001</v>
          </cell>
          <cell r="E126">
            <v>0.96</v>
          </cell>
          <cell r="F126">
            <v>650</v>
          </cell>
          <cell r="G126">
            <v>0</v>
          </cell>
          <cell r="H126">
            <v>0</v>
          </cell>
          <cell r="I126">
            <v>0</v>
          </cell>
          <cell r="J126">
            <v>182668.24</v>
          </cell>
          <cell r="K126">
            <v>0.8</v>
          </cell>
          <cell r="L126">
            <v>855.09</v>
          </cell>
          <cell r="M126">
            <v>0.49</v>
          </cell>
          <cell r="N126">
            <v>3</v>
          </cell>
          <cell r="O126">
            <v>280</v>
          </cell>
          <cell r="P126">
            <v>3.77</v>
          </cell>
          <cell r="Q126">
            <v>13000</v>
          </cell>
          <cell r="R126">
            <v>13020</v>
          </cell>
          <cell r="S126">
            <v>0</v>
          </cell>
          <cell r="T126">
            <v>60</v>
          </cell>
        </row>
        <row r="127">
          <cell r="A127">
            <v>3257</v>
          </cell>
          <cell r="B127">
            <v>644.17999999999995</v>
          </cell>
          <cell r="C127" t="str">
            <v>COXA PERU PCT PERDIGAO KG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6004.89</v>
          </cell>
          <cell r="K127">
            <v>0.03</v>
          </cell>
          <cell r="L127">
            <v>0</v>
          </cell>
          <cell r="M127">
            <v>0</v>
          </cell>
          <cell r="N127">
            <v>0</v>
          </cell>
          <cell r="O127">
            <v>33</v>
          </cell>
          <cell r="P127">
            <v>0.44</v>
          </cell>
          <cell r="Q127">
            <v>0</v>
          </cell>
          <cell r="R127">
            <v>644.17999999999995</v>
          </cell>
          <cell r="S127">
            <v>0</v>
          </cell>
          <cell r="T127">
            <v>0</v>
          </cell>
        </row>
        <row r="128">
          <cell r="A128">
            <v>3363</v>
          </cell>
          <cell r="B128">
            <v>642.04</v>
          </cell>
          <cell r="C128" t="str">
            <v>FRALDINHA BOVINA FIRE FRIGODIAS KG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24405.9</v>
          </cell>
          <cell r="K128">
            <v>0.11</v>
          </cell>
          <cell r="L128">
            <v>867.16</v>
          </cell>
          <cell r="M128">
            <v>0.5</v>
          </cell>
          <cell r="N128">
            <v>22.83</v>
          </cell>
          <cell r="O128">
            <v>25</v>
          </cell>
          <cell r="P128">
            <v>0.34</v>
          </cell>
          <cell r="Q128">
            <v>0</v>
          </cell>
          <cell r="R128">
            <v>642.04</v>
          </cell>
          <cell r="S128">
            <v>0</v>
          </cell>
          <cell r="T128">
            <v>22.83</v>
          </cell>
        </row>
        <row r="129">
          <cell r="A129">
            <v>507</v>
          </cell>
          <cell r="B129">
            <v>633.78</v>
          </cell>
          <cell r="C129" t="str">
            <v>COSTELA BOVINA TIRAS PALADAR KG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12039.98</v>
          </cell>
          <cell r="K129">
            <v>0.05</v>
          </cell>
          <cell r="L129">
            <v>427.55</v>
          </cell>
          <cell r="M129">
            <v>0.25</v>
          </cell>
          <cell r="N129">
            <v>22.55</v>
          </cell>
          <cell r="O129">
            <v>26</v>
          </cell>
          <cell r="P129">
            <v>0.35</v>
          </cell>
          <cell r="Q129">
            <v>0</v>
          </cell>
          <cell r="R129">
            <v>633.78</v>
          </cell>
          <cell r="S129">
            <v>0</v>
          </cell>
          <cell r="T129">
            <v>22.55</v>
          </cell>
        </row>
        <row r="130">
          <cell r="A130">
            <v>9</v>
          </cell>
          <cell r="B130">
            <v>630</v>
          </cell>
          <cell r="C130" t="str">
            <v>LEITE UHT INTEGRAL PIRACANJUBA CX\12 LT</v>
          </cell>
          <cell r="D130">
            <v>69972</v>
          </cell>
          <cell r="E130">
            <v>0.45</v>
          </cell>
          <cell r="F130">
            <v>1190</v>
          </cell>
          <cell r="G130">
            <v>0</v>
          </cell>
          <cell r="H130">
            <v>0</v>
          </cell>
          <cell r="I130">
            <v>0</v>
          </cell>
          <cell r="J130">
            <v>45109.31</v>
          </cell>
          <cell r="K130">
            <v>0.2</v>
          </cell>
          <cell r="L130">
            <v>0</v>
          </cell>
          <cell r="M130">
            <v>0</v>
          </cell>
          <cell r="N130">
            <v>0</v>
          </cell>
          <cell r="O130">
            <v>125</v>
          </cell>
          <cell r="P130">
            <v>1.68</v>
          </cell>
          <cell r="Q130">
            <v>14280</v>
          </cell>
          <cell r="R130">
            <v>7560</v>
          </cell>
          <cell r="S130">
            <v>0</v>
          </cell>
          <cell r="T130">
            <v>0</v>
          </cell>
        </row>
        <row r="131">
          <cell r="A131">
            <v>1479</v>
          </cell>
          <cell r="B131">
            <v>626.54</v>
          </cell>
          <cell r="C131" t="str">
            <v>PICANHA  A BOVINA MATOSO KG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38799.019999999997</v>
          </cell>
          <cell r="K131">
            <v>0.17</v>
          </cell>
          <cell r="L131">
            <v>0</v>
          </cell>
          <cell r="M131">
            <v>0</v>
          </cell>
          <cell r="N131">
            <v>0</v>
          </cell>
          <cell r="O131">
            <v>29</v>
          </cell>
          <cell r="P131">
            <v>0.39</v>
          </cell>
          <cell r="Q131">
            <v>0</v>
          </cell>
          <cell r="R131">
            <v>626.54</v>
          </cell>
          <cell r="S131">
            <v>0</v>
          </cell>
          <cell r="T131">
            <v>0</v>
          </cell>
        </row>
        <row r="132">
          <cell r="A132">
            <v>4169</v>
          </cell>
          <cell r="B132">
            <v>625</v>
          </cell>
          <cell r="C132" t="str">
            <v>COXA SOBRECOXA ENVEL  LAR CX 20KG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92254.39</v>
          </cell>
          <cell r="K132">
            <v>0.4</v>
          </cell>
          <cell r="L132">
            <v>458.8</v>
          </cell>
          <cell r="M132">
            <v>0.26</v>
          </cell>
          <cell r="N132">
            <v>3</v>
          </cell>
          <cell r="O132">
            <v>139</v>
          </cell>
          <cell r="P132">
            <v>1.87</v>
          </cell>
          <cell r="Q132">
            <v>0</v>
          </cell>
          <cell r="R132">
            <v>12500</v>
          </cell>
          <cell r="S132">
            <v>0</v>
          </cell>
          <cell r="T132">
            <v>60</v>
          </cell>
        </row>
        <row r="133">
          <cell r="A133">
            <v>262</v>
          </cell>
          <cell r="B133">
            <v>619</v>
          </cell>
          <cell r="C133" t="str">
            <v>SALAME FATIADO SEARA GOURMET CX\10X100GR</v>
          </cell>
          <cell r="D133">
            <v>44556</v>
          </cell>
          <cell r="E133">
            <v>0.28000000000000003</v>
          </cell>
          <cell r="F133">
            <v>600</v>
          </cell>
          <cell r="G133">
            <v>0</v>
          </cell>
          <cell r="H133">
            <v>0</v>
          </cell>
          <cell r="I133">
            <v>0</v>
          </cell>
          <cell r="J133">
            <v>53661.42</v>
          </cell>
          <cell r="K133">
            <v>0.23</v>
          </cell>
          <cell r="L133">
            <v>963.78</v>
          </cell>
          <cell r="M133">
            <v>0.55000000000000004</v>
          </cell>
          <cell r="N133">
            <v>11</v>
          </cell>
          <cell r="O133">
            <v>281</v>
          </cell>
          <cell r="P133">
            <v>3.79</v>
          </cell>
          <cell r="Q133">
            <v>600</v>
          </cell>
          <cell r="R133">
            <v>619</v>
          </cell>
          <cell r="S133">
            <v>0</v>
          </cell>
          <cell r="T133">
            <v>11</v>
          </cell>
        </row>
        <row r="134">
          <cell r="A134">
            <v>470</v>
          </cell>
          <cell r="B134">
            <v>614</v>
          </cell>
          <cell r="C134" t="str">
            <v>BEB.LACTEA CHOCOLATE CEMIL CX\12X1LT</v>
          </cell>
          <cell r="D134">
            <v>26268.3</v>
          </cell>
          <cell r="E134">
            <v>0.17</v>
          </cell>
          <cell r="F134">
            <v>640</v>
          </cell>
          <cell r="G134">
            <v>0</v>
          </cell>
          <cell r="H134">
            <v>0</v>
          </cell>
          <cell r="I134">
            <v>0</v>
          </cell>
          <cell r="J134">
            <v>30275.4</v>
          </cell>
          <cell r="K134">
            <v>0.13</v>
          </cell>
          <cell r="L134">
            <v>149.30000000000001</v>
          </cell>
          <cell r="M134">
            <v>0.09</v>
          </cell>
          <cell r="N134">
            <v>3</v>
          </cell>
          <cell r="O134">
            <v>349</v>
          </cell>
          <cell r="P134">
            <v>4.7</v>
          </cell>
          <cell r="Q134">
            <v>7680</v>
          </cell>
          <cell r="R134">
            <v>7368</v>
          </cell>
          <cell r="S134">
            <v>0</v>
          </cell>
          <cell r="T134">
            <v>36</v>
          </cell>
        </row>
        <row r="135">
          <cell r="A135">
            <v>1483</v>
          </cell>
          <cell r="B135">
            <v>610</v>
          </cell>
          <cell r="C135" t="str">
            <v>KETCHUP SACHÊ LANCHEIRO 150X5GR</v>
          </cell>
          <cell r="D135">
            <v>5913.63</v>
          </cell>
          <cell r="E135">
            <v>0.04</v>
          </cell>
          <cell r="F135">
            <v>1008</v>
          </cell>
          <cell r="G135">
            <v>0</v>
          </cell>
          <cell r="H135">
            <v>0</v>
          </cell>
          <cell r="I135">
            <v>0</v>
          </cell>
          <cell r="J135">
            <v>5114.1000000000004</v>
          </cell>
          <cell r="K135">
            <v>0.02</v>
          </cell>
          <cell r="L135">
            <v>0</v>
          </cell>
          <cell r="M135">
            <v>0</v>
          </cell>
          <cell r="N135">
            <v>0</v>
          </cell>
          <cell r="O135">
            <v>68</v>
          </cell>
          <cell r="P135">
            <v>0.92</v>
          </cell>
          <cell r="Q135">
            <v>2016</v>
          </cell>
          <cell r="R135">
            <v>1220</v>
          </cell>
          <cell r="S135">
            <v>0</v>
          </cell>
          <cell r="T135">
            <v>0</v>
          </cell>
        </row>
        <row r="136">
          <cell r="A136">
            <v>25</v>
          </cell>
          <cell r="B136">
            <v>608</v>
          </cell>
          <cell r="C136" t="str">
            <v>COXA SOBRECOXA INTERF FRANCAP CX 20KG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88401.87</v>
          </cell>
          <cell r="K136">
            <v>0.39</v>
          </cell>
          <cell r="L136">
            <v>437.61</v>
          </cell>
          <cell r="M136">
            <v>0.25</v>
          </cell>
          <cell r="N136">
            <v>3</v>
          </cell>
          <cell r="O136">
            <v>92</v>
          </cell>
          <cell r="P136">
            <v>1.24</v>
          </cell>
          <cell r="Q136">
            <v>0</v>
          </cell>
          <cell r="R136">
            <v>12160</v>
          </cell>
          <cell r="S136">
            <v>0</v>
          </cell>
          <cell r="T136">
            <v>60</v>
          </cell>
        </row>
        <row r="137">
          <cell r="A137">
            <v>196</v>
          </cell>
          <cell r="B137">
            <v>593</v>
          </cell>
          <cell r="C137" t="str">
            <v>BATATA PALHA CHEF 1KG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18434.43</v>
          </cell>
          <cell r="K137">
            <v>0.08</v>
          </cell>
          <cell r="L137">
            <v>339.57</v>
          </cell>
          <cell r="M137">
            <v>0.2</v>
          </cell>
          <cell r="N137">
            <v>11</v>
          </cell>
          <cell r="O137">
            <v>77</v>
          </cell>
          <cell r="P137">
            <v>1.04</v>
          </cell>
          <cell r="Q137">
            <v>0</v>
          </cell>
          <cell r="R137">
            <v>593</v>
          </cell>
          <cell r="S137">
            <v>0</v>
          </cell>
          <cell r="T137">
            <v>11</v>
          </cell>
        </row>
        <row r="138">
          <cell r="A138">
            <v>4078</v>
          </cell>
          <cell r="B138">
            <v>591</v>
          </cell>
          <cell r="C138" t="str">
            <v>FARINHA TRIGO PIZZA SUPREMA 5KG</v>
          </cell>
          <cell r="D138">
            <v>15968.4</v>
          </cell>
          <cell r="E138">
            <v>0.1</v>
          </cell>
          <cell r="F138">
            <v>1050</v>
          </cell>
          <cell r="G138">
            <v>0</v>
          </cell>
          <cell r="H138">
            <v>0</v>
          </cell>
          <cell r="I138">
            <v>0</v>
          </cell>
          <cell r="J138">
            <v>12202.47</v>
          </cell>
          <cell r="K138">
            <v>0.05</v>
          </cell>
          <cell r="L138">
            <v>0</v>
          </cell>
          <cell r="M138">
            <v>0</v>
          </cell>
          <cell r="N138">
            <v>0</v>
          </cell>
          <cell r="O138">
            <v>33</v>
          </cell>
          <cell r="P138">
            <v>0.44</v>
          </cell>
          <cell r="Q138">
            <v>5250</v>
          </cell>
          <cell r="R138">
            <v>2955</v>
          </cell>
          <cell r="S138">
            <v>0</v>
          </cell>
          <cell r="T138">
            <v>0</v>
          </cell>
        </row>
        <row r="139">
          <cell r="A139">
            <v>597</v>
          </cell>
          <cell r="B139">
            <v>579</v>
          </cell>
          <cell r="C139" t="str">
            <v>LEITE CONDENSADO CEMIL TP CX\27X395GR</v>
          </cell>
          <cell r="D139">
            <v>80876.28</v>
          </cell>
          <cell r="E139">
            <v>0.52</v>
          </cell>
          <cell r="F139">
            <v>540</v>
          </cell>
          <cell r="G139">
            <v>0</v>
          </cell>
          <cell r="H139">
            <v>0</v>
          </cell>
          <cell r="I139">
            <v>0</v>
          </cell>
          <cell r="J139">
            <v>101025.94</v>
          </cell>
          <cell r="K139">
            <v>0.44</v>
          </cell>
          <cell r="L139">
            <v>172.58</v>
          </cell>
          <cell r="M139">
            <v>0.1</v>
          </cell>
          <cell r="N139">
            <v>1</v>
          </cell>
          <cell r="O139">
            <v>265</v>
          </cell>
          <cell r="P139">
            <v>3.57</v>
          </cell>
          <cell r="Q139">
            <v>5724</v>
          </cell>
          <cell r="R139">
            <v>6137.4</v>
          </cell>
          <cell r="S139">
            <v>0</v>
          </cell>
          <cell r="T139">
            <v>10.6</v>
          </cell>
        </row>
        <row r="140">
          <cell r="A140">
            <v>335</v>
          </cell>
          <cell r="B140">
            <v>577</v>
          </cell>
          <cell r="C140" t="str">
            <v>REQUEIJAO BISNAGA DALLORA 1,8KG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13152.78</v>
          </cell>
          <cell r="K140">
            <v>0.06</v>
          </cell>
          <cell r="L140">
            <v>161</v>
          </cell>
          <cell r="M140">
            <v>0.09</v>
          </cell>
          <cell r="N140">
            <v>7</v>
          </cell>
          <cell r="O140">
            <v>77</v>
          </cell>
          <cell r="P140">
            <v>1.04</v>
          </cell>
          <cell r="Q140">
            <v>0</v>
          </cell>
          <cell r="R140">
            <v>1038.5999999999999</v>
          </cell>
          <cell r="S140">
            <v>0</v>
          </cell>
          <cell r="T140">
            <v>12.6</v>
          </cell>
        </row>
        <row r="141">
          <cell r="A141">
            <v>1522</v>
          </cell>
          <cell r="B141">
            <v>564.77</v>
          </cell>
          <cell r="C141" t="str">
            <v>BACON PALETA SEM PELE UAI KG</v>
          </cell>
          <cell r="D141">
            <v>17179.240000000002</v>
          </cell>
          <cell r="E141">
            <v>0.11</v>
          </cell>
          <cell r="F141">
            <v>878.02</v>
          </cell>
          <cell r="G141">
            <v>0</v>
          </cell>
          <cell r="H141">
            <v>0</v>
          </cell>
          <cell r="I141">
            <v>0</v>
          </cell>
          <cell r="J141">
            <v>13373.13</v>
          </cell>
          <cell r="K141">
            <v>0.06</v>
          </cell>
          <cell r="L141">
            <v>0</v>
          </cell>
          <cell r="M141">
            <v>0</v>
          </cell>
          <cell r="N141">
            <v>0</v>
          </cell>
          <cell r="O141">
            <v>22</v>
          </cell>
          <cell r="P141">
            <v>0.3</v>
          </cell>
          <cell r="Q141">
            <v>878.02</v>
          </cell>
          <cell r="R141">
            <v>564.77</v>
          </cell>
          <cell r="S141">
            <v>0</v>
          </cell>
          <cell r="T141">
            <v>0</v>
          </cell>
        </row>
        <row r="142">
          <cell r="A142">
            <v>98</v>
          </cell>
          <cell r="B142">
            <v>560.17999999999995</v>
          </cell>
          <cell r="C142" t="str">
            <v>PALETA BOVINA PCT MATOSO KG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19053.939999999999</v>
          </cell>
          <cell r="K142">
            <v>0.08</v>
          </cell>
          <cell r="L142">
            <v>0</v>
          </cell>
          <cell r="M142">
            <v>0</v>
          </cell>
          <cell r="N142">
            <v>0</v>
          </cell>
          <cell r="O142">
            <v>21</v>
          </cell>
          <cell r="P142">
            <v>0.28000000000000003</v>
          </cell>
          <cell r="Q142">
            <v>0</v>
          </cell>
          <cell r="R142">
            <v>560.17999999999995</v>
          </cell>
          <cell r="S142">
            <v>0</v>
          </cell>
          <cell r="T142">
            <v>0</v>
          </cell>
        </row>
        <row r="143">
          <cell r="A143">
            <v>649</v>
          </cell>
          <cell r="B143">
            <v>560</v>
          </cell>
          <cell r="C143" t="str">
            <v>MARGARINA DELICIA CX\12X1KG  997872</v>
          </cell>
          <cell r="D143">
            <v>66240</v>
          </cell>
          <cell r="E143">
            <v>0.42</v>
          </cell>
          <cell r="F143">
            <v>500</v>
          </cell>
          <cell r="G143">
            <v>0</v>
          </cell>
          <cell r="H143">
            <v>0</v>
          </cell>
          <cell r="I143">
            <v>0</v>
          </cell>
          <cell r="J143">
            <v>84188.03</v>
          </cell>
          <cell r="K143">
            <v>0.37</v>
          </cell>
          <cell r="L143">
            <v>611.52</v>
          </cell>
          <cell r="M143">
            <v>0.35</v>
          </cell>
          <cell r="N143">
            <v>4</v>
          </cell>
          <cell r="O143">
            <v>243</v>
          </cell>
          <cell r="P143">
            <v>3.27</v>
          </cell>
          <cell r="Q143">
            <v>6000</v>
          </cell>
          <cell r="R143">
            <v>6720</v>
          </cell>
          <cell r="S143">
            <v>0</v>
          </cell>
          <cell r="T143">
            <v>48</v>
          </cell>
        </row>
        <row r="144">
          <cell r="A144">
            <v>865</v>
          </cell>
          <cell r="B144">
            <v>546</v>
          </cell>
          <cell r="C144" t="str">
            <v>VITAMINA FRUTAS IBITURUNA CX/27X200ML</v>
          </cell>
          <cell r="D144">
            <v>8435.5</v>
          </cell>
          <cell r="E144">
            <v>0.05</v>
          </cell>
          <cell r="F144">
            <v>360</v>
          </cell>
          <cell r="G144">
            <v>0</v>
          </cell>
          <cell r="H144">
            <v>0</v>
          </cell>
          <cell r="I144">
            <v>0</v>
          </cell>
          <cell r="J144">
            <v>15261.86</v>
          </cell>
          <cell r="K144">
            <v>7.0000000000000007E-2</v>
          </cell>
          <cell r="L144">
            <v>28.5</v>
          </cell>
          <cell r="M144">
            <v>0.02</v>
          </cell>
          <cell r="N144">
            <v>1</v>
          </cell>
          <cell r="O144">
            <v>218</v>
          </cell>
          <cell r="P144">
            <v>2.94</v>
          </cell>
          <cell r="Q144">
            <v>2160</v>
          </cell>
          <cell r="R144">
            <v>3276</v>
          </cell>
          <cell r="S144">
            <v>0</v>
          </cell>
          <cell r="T144">
            <v>6</v>
          </cell>
        </row>
        <row r="145">
          <cell r="A145">
            <v>92</v>
          </cell>
          <cell r="B145">
            <v>535.63</v>
          </cell>
          <cell r="C145" t="str">
            <v>CUPIM TEMP. BACON BOVINO PALADAR KG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18985.310000000001</v>
          </cell>
          <cell r="K145">
            <v>0.08</v>
          </cell>
          <cell r="L145">
            <v>0</v>
          </cell>
          <cell r="M145">
            <v>0</v>
          </cell>
          <cell r="N145">
            <v>0</v>
          </cell>
          <cell r="O145">
            <v>14</v>
          </cell>
          <cell r="P145">
            <v>0.19</v>
          </cell>
          <cell r="Q145">
            <v>0</v>
          </cell>
          <cell r="R145">
            <v>535.63</v>
          </cell>
          <cell r="S145">
            <v>0</v>
          </cell>
          <cell r="T145">
            <v>0</v>
          </cell>
        </row>
        <row r="146">
          <cell r="A146">
            <v>3171</v>
          </cell>
          <cell r="B146">
            <v>525.97</v>
          </cell>
          <cell r="C146" t="str">
            <v>COXAO DURO BOVINO CARA BRANCA KG</v>
          </cell>
          <cell r="D146">
            <v>42758.31</v>
          </cell>
          <cell r="E146">
            <v>0.27</v>
          </cell>
          <cell r="F146">
            <v>1152.97</v>
          </cell>
          <cell r="G146">
            <v>0</v>
          </cell>
          <cell r="H146">
            <v>0</v>
          </cell>
          <cell r="I146">
            <v>0</v>
          </cell>
          <cell r="J146">
            <v>22130.94</v>
          </cell>
          <cell r="K146">
            <v>0.1</v>
          </cell>
          <cell r="L146">
            <v>0</v>
          </cell>
          <cell r="M146">
            <v>0</v>
          </cell>
          <cell r="N146">
            <v>0</v>
          </cell>
          <cell r="O146">
            <v>16</v>
          </cell>
          <cell r="P146">
            <v>0.22</v>
          </cell>
          <cell r="Q146">
            <v>1152.97</v>
          </cell>
          <cell r="R146">
            <v>525.97</v>
          </cell>
          <cell r="S146">
            <v>0</v>
          </cell>
          <cell r="T146">
            <v>0</v>
          </cell>
        </row>
        <row r="147">
          <cell r="A147">
            <v>243</v>
          </cell>
          <cell r="B147">
            <v>525</v>
          </cell>
          <cell r="C147" t="str">
            <v>HAMBURGUER PICANHA GRAFILE CX\24X90GR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39967.050000000003</v>
          </cell>
          <cell r="K147">
            <v>0.17</v>
          </cell>
          <cell r="L147">
            <v>0</v>
          </cell>
          <cell r="M147">
            <v>0</v>
          </cell>
          <cell r="N147">
            <v>0</v>
          </cell>
          <cell r="O147">
            <v>89</v>
          </cell>
          <cell r="P147">
            <v>1.2</v>
          </cell>
          <cell r="Q147">
            <v>0</v>
          </cell>
          <cell r="R147">
            <v>1134</v>
          </cell>
          <cell r="S147">
            <v>0</v>
          </cell>
          <cell r="T147">
            <v>0</v>
          </cell>
        </row>
        <row r="148">
          <cell r="A148">
            <v>233</v>
          </cell>
          <cell r="B148">
            <v>521</v>
          </cell>
          <cell r="C148" t="str">
            <v>LING MC TROPEIRA CX\25X400GR</v>
          </cell>
          <cell r="D148">
            <v>90862.59</v>
          </cell>
          <cell r="E148">
            <v>0.57999999999999996</v>
          </cell>
          <cell r="F148">
            <v>500</v>
          </cell>
          <cell r="G148">
            <v>0</v>
          </cell>
          <cell r="H148">
            <v>0</v>
          </cell>
          <cell r="I148">
            <v>0</v>
          </cell>
          <cell r="J148">
            <v>113380.44</v>
          </cell>
          <cell r="K148">
            <v>0.49</v>
          </cell>
          <cell r="L148">
            <v>438.97</v>
          </cell>
          <cell r="M148">
            <v>0.25</v>
          </cell>
          <cell r="N148">
            <v>2</v>
          </cell>
          <cell r="O148">
            <v>186</v>
          </cell>
          <cell r="P148">
            <v>2.5099999999999998</v>
          </cell>
          <cell r="Q148">
            <v>5000</v>
          </cell>
          <cell r="R148">
            <v>5210</v>
          </cell>
          <cell r="S148">
            <v>0</v>
          </cell>
          <cell r="T148">
            <v>20</v>
          </cell>
        </row>
        <row r="149">
          <cell r="A149">
            <v>803</v>
          </cell>
          <cell r="B149">
            <v>512</v>
          </cell>
          <cell r="C149" t="str">
            <v>FILE PEITO BANDEJA SEARA CX12X1KG</v>
          </cell>
          <cell r="D149">
            <v>388350</v>
          </cell>
          <cell r="E149">
            <v>2.48</v>
          </cell>
          <cell r="F149">
            <v>2250</v>
          </cell>
          <cell r="G149">
            <v>0</v>
          </cell>
          <cell r="H149">
            <v>0</v>
          </cell>
          <cell r="I149">
            <v>0</v>
          </cell>
          <cell r="J149">
            <v>104930.48</v>
          </cell>
          <cell r="K149">
            <v>0.46</v>
          </cell>
          <cell r="L149">
            <v>611.82000000000005</v>
          </cell>
          <cell r="M149">
            <v>0.35</v>
          </cell>
          <cell r="N149">
            <v>3</v>
          </cell>
          <cell r="O149">
            <v>286</v>
          </cell>
          <cell r="P149">
            <v>3.85</v>
          </cell>
          <cell r="Q149">
            <v>27000</v>
          </cell>
          <cell r="R149">
            <v>6144</v>
          </cell>
          <cell r="S149">
            <v>0</v>
          </cell>
          <cell r="T149">
            <v>36</v>
          </cell>
        </row>
        <row r="150">
          <cell r="A150">
            <v>834</v>
          </cell>
          <cell r="B150">
            <v>507</v>
          </cell>
          <cell r="C150" t="str">
            <v>MILHO VERDE COPO OLE CX\12X170G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22188.51</v>
          </cell>
          <cell r="K150">
            <v>0.1</v>
          </cell>
          <cell r="L150">
            <v>0</v>
          </cell>
          <cell r="M150">
            <v>0</v>
          </cell>
          <cell r="N150">
            <v>0</v>
          </cell>
          <cell r="O150">
            <v>270</v>
          </cell>
          <cell r="P150">
            <v>3.64</v>
          </cell>
          <cell r="Q150">
            <v>0</v>
          </cell>
          <cell r="R150">
            <v>2028</v>
          </cell>
          <cell r="S150">
            <v>0</v>
          </cell>
          <cell r="T150">
            <v>0</v>
          </cell>
        </row>
        <row r="151">
          <cell r="A151">
            <v>718</v>
          </cell>
          <cell r="B151">
            <v>504</v>
          </cell>
          <cell r="C151" t="str">
            <v>REQUEIJAO BISNAGA CHEDDAR ISADORA 1,2KG</v>
          </cell>
          <cell r="D151">
            <v>25105.11</v>
          </cell>
          <cell r="E151">
            <v>0.16</v>
          </cell>
          <cell r="F151">
            <v>1752</v>
          </cell>
          <cell r="G151">
            <v>0</v>
          </cell>
          <cell r="H151">
            <v>0</v>
          </cell>
          <cell r="I151">
            <v>0</v>
          </cell>
          <cell r="J151">
            <v>10088</v>
          </cell>
          <cell r="K151">
            <v>0.04</v>
          </cell>
          <cell r="L151">
            <v>0</v>
          </cell>
          <cell r="M151">
            <v>0</v>
          </cell>
          <cell r="N151">
            <v>0</v>
          </cell>
          <cell r="O151">
            <v>128</v>
          </cell>
          <cell r="P151">
            <v>1.72</v>
          </cell>
          <cell r="Q151">
            <v>2102.4</v>
          </cell>
          <cell r="R151">
            <v>604.79999999999995</v>
          </cell>
          <cell r="S151">
            <v>0</v>
          </cell>
          <cell r="T151">
            <v>0</v>
          </cell>
        </row>
        <row r="152">
          <cell r="A152">
            <v>2512</v>
          </cell>
          <cell r="B152">
            <v>501</v>
          </cell>
          <cell r="C152" t="str">
            <v>MASSA PASTEL GRANDE VILA ITALIA  24X500GR</v>
          </cell>
          <cell r="D152">
            <v>70260.039999999994</v>
          </cell>
          <cell r="E152">
            <v>0.45</v>
          </cell>
          <cell r="F152">
            <v>540</v>
          </cell>
          <cell r="G152">
            <v>0</v>
          </cell>
          <cell r="H152">
            <v>0</v>
          </cell>
          <cell r="I152">
            <v>0</v>
          </cell>
          <cell r="J152">
            <v>77153.149999999994</v>
          </cell>
          <cell r="K152">
            <v>0.34</v>
          </cell>
          <cell r="L152">
            <v>1093.92</v>
          </cell>
          <cell r="M152">
            <v>0.63</v>
          </cell>
          <cell r="N152">
            <v>7</v>
          </cell>
          <cell r="O152">
            <v>243</v>
          </cell>
          <cell r="P152">
            <v>3.27</v>
          </cell>
          <cell r="Q152">
            <v>6480</v>
          </cell>
          <cell r="R152">
            <v>6012</v>
          </cell>
          <cell r="S152">
            <v>0</v>
          </cell>
          <cell r="T152">
            <v>84</v>
          </cell>
        </row>
        <row r="153">
          <cell r="A153">
            <v>322</v>
          </cell>
          <cell r="B153">
            <v>496</v>
          </cell>
          <cell r="C153" t="str">
            <v>VITAMINA FRUTAS CEMIL CX\12X1LT</v>
          </cell>
          <cell r="D153">
            <v>19701.23</v>
          </cell>
          <cell r="E153">
            <v>0.13</v>
          </cell>
          <cell r="F153">
            <v>480</v>
          </cell>
          <cell r="G153">
            <v>0</v>
          </cell>
          <cell r="H153">
            <v>0</v>
          </cell>
          <cell r="I153">
            <v>0</v>
          </cell>
          <cell r="J153">
            <v>24446.05</v>
          </cell>
          <cell r="K153">
            <v>0.11</v>
          </cell>
          <cell r="L153">
            <v>98.2</v>
          </cell>
          <cell r="M153">
            <v>0.06</v>
          </cell>
          <cell r="N153">
            <v>2</v>
          </cell>
          <cell r="O153">
            <v>315</v>
          </cell>
          <cell r="P153">
            <v>4.24</v>
          </cell>
          <cell r="Q153">
            <v>5760</v>
          </cell>
          <cell r="R153">
            <v>5952</v>
          </cell>
          <cell r="S153">
            <v>0</v>
          </cell>
          <cell r="T153">
            <v>24</v>
          </cell>
        </row>
        <row r="154">
          <cell r="A154">
            <v>356</v>
          </cell>
          <cell r="B154">
            <v>489.5</v>
          </cell>
          <cell r="C154" t="str">
            <v>MUSSARELA MINI CRISTAULAT KG</v>
          </cell>
          <cell r="D154">
            <v>24309.9</v>
          </cell>
          <cell r="E154">
            <v>0.16</v>
          </cell>
          <cell r="F154">
            <v>592</v>
          </cell>
          <cell r="G154">
            <v>0</v>
          </cell>
          <cell r="H154">
            <v>0</v>
          </cell>
          <cell r="I154">
            <v>0</v>
          </cell>
          <cell r="J154">
            <v>20103.3</v>
          </cell>
          <cell r="K154">
            <v>0.09</v>
          </cell>
          <cell r="L154">
            <v>623.88</v>
          </cell>
          <cell r="M154">
            <v>0.36</v>
          </cell>
          <cell r="N154">
            <v>14.99</v>
          </cell>
          <cell r="O154">
            <v>68</v>
          </cell>
          <cell r="P154">
            <v>0.92</v>
          </cell>
          <cell r="Q154">
            <v>592</v>
          </cell>
          <cell r="R154">
            <v>489.5</v>
          </cell>
          <cell r="S154">
            <v>0</v>
          </cell>
          <cell r="T154">
            <v>14.99</v>
          </cell>
        </row>
        <row r="155">
          <cell r="A155">
            <v>1485</v>
          </cell>
          <cell r="B155">
            <v>487</v>
          </cell>
          <cell r="C155" t="str">
            <v>MAIONESE SACHÊ LACHEIRO 600X5GR</v>
          </cell>
          <cell r="D155">
            <v>11055</v>
          </cell>
          <cell r="E155">
            <v>7.0000000000000007E-2</v>
          </cell>
          <cell r="F155">
            <v>500</v>
          </cell>
          <cell r="G155">
            <v>0</v>
          </cell>
          <cell r="H155">
            <v>0</v>
          </cell>
          <cell r="I155">
            <v>0</v>
          </cell>
          <cell r="J155">
            <v>13420.54</v>
          </cell>
          <cell r="K155">
            <v>0.06</v>
          </cell>
          <cell r="L155">
            <v>57</v>
          </cell>
          <cell r="M155">
            <v>0.03</v>
          </cell>
          <cell r="N155">
            <v>2</v>
          </cell>
          <cell r="O155">
            <v>183</v>
          </cell>
          <cell r="P155">
            <v>2.46</v>
          </cell>
          <cell r="Q155">
            <v>1600</v>
          </cell>
          <cell r="R155">
            <v>1558.4</v>
          </cell>
          <cell r="S155">
            <v>0</v>
          </cell>
          <cell r="T155">
            <v>6.4</v>
          </cell>
        </row>
        <row r="156">
          <cell r="A156">
            <v>50</v>
          </cell>
          <cell r="B156">
            <v>482</v>
          </cell>
          <cell r="C156" t="str">
            <v>FILEZINHO SASSAMI ENVELOPADO FRANCAP CX\20KG</v>
          </cell>
          <cell r="D156">
            <v>23241.5</v>
          </cell>
          <cell r="E156">
            <v>0.15</v>
          </cell>
          <cell r="F156">
            <v>100</v>
          </cell>
          <cell r="G156">
            <v>0</v>
          </cell>
          <cell r="H156">
            <v>0</v>
          </cell>
          <cell r="I156">
            <v>0</v>
          </cell>
          <cell r="J156">
            <v>135255.88</v>
          </cell>
          <cell r="K156">
            <v>0.59</v>
          </cell>
          <cell r="L156">
            <v>839.67</v>
          </cell>
          <cell r="M156">
            <v>0.48</v>
          </cell>
          <cell r="N156">
            <v>3</v>
          </cell>
          <cell r="O156">
            <v>153</v>
          </cell>
          <cell r="P156">
            <v>2.06</v>
          </cell>
          <cell r="Q156">
            <v>2000</v>
          </cell>
          <cell r="R156">
            <v>9640</v>
          </cell>
          <cell r="S156">
            <v>0</v>
          </cell>
          <cell r="T156">
            <v>60</v>
          </cell>
        </row>
        <row r="157">
          <cell r="A157">
            <v>252</v>
          </cell>
          <cell r="B157">
            <v>481</v>
          </cell>
          <cell r="C157" t="str">
            <v>STEAK TRADICIONAL SEARA 72X100G</v>
          </cell>
          <cell r="D157">
            <v>84187.3</v>
          </cell>
          <cell r="E157">
            <v>0.54</v>
          </cell>
          <cell r="F157">
            <v>834</v>
          </cell>
          <cell r="G157">
            <v>0</v>
          </cell>
          <cell r="H157">
            <v>0</v>
          </cell>
          <cell r="I157">
            <v>0</v>
          </cell>
          <cell r="J157">
            <v>56935.17</v>
          </cell>
          <cell r="K157">
            <v>0.25</v>
          </cell>
          <cell r="L157">
            <v>357.21</v>
          </cell>
          <cell r="M157">
            <v>0.21</v>
          </cell>
          <cell r="N157">
            <v>3</v>
          </cell>
          <cell r="O157">
            <v>349</v>
          </cell>
          <cell r="P157">
            <v>4.7</v>
          </cell>
          <cell r="Q157">
            <v>6004.8</v>
          </cell>
          <cell r="R157">
            <v>3463.2</v>
          </cell>
          <cell r="S157">
            <v>0</v>
          </cell>
          <cell r="T157">
            <v>21.6</v>
          </cell>
        </row>
        <row r="158">
          <cell r="A158">
            <v>187</v>
          </cell>
          <cell r="B158">
            <v>478</v>
          </cell>
          <cell r="C158" t="str">
            <v>MOLHO TOMATE SACHE STELLA CX\32X300G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19662.04</v>
          </cell>
          <cell r="K158">
            <v>0.09</v>
          </cell>
          <cell r="L158">
            <v>492.36</v>
          </cell>
          <cell r="M158">
            <v>0.28000000000000003</v>
          </cell>
          <cell r="N158">
            <v>12</v>
          </cell>
          <cell r="O158">
            <v>294</v>
          </cell>
          <cell r="P158">
            <v>3.96</v>
          </cell>
          <cell r="Q158">
            <v>0</v>
          </cell>
          <cell r="R158">
            <v>4588.8</v>
          </cell>
          <cell r="S158">
            <v>0</v>
          </cell>
          <cell r="T158">
            <v>115.2</v>
          </cell>
        </row>
        <row r="159">
          <cell r="A159">
            <v>765</v>
          </cell>
          <cell r="B159">
            <v>472</v>
          </cell>
          <cell r="C159" t="str">
            <v>VITAMINA FRUTAS CEMIL CX\27X200ML</v>
          </cell>
          <cell r="D159">
            <v>12281.11</v>
          </cell>
          <cell r="E159">
            <v>0.08</v>
          </cell>
          <cell r="F159">
            <v>495</v>
          </cell>
          <cell r="G159">
            <v>0</v>
          </cell>
          <cell r="H159">
            <v>0</v>
          </cell>
          <cell r="I159">
            <v>0</v>
          </cell>
          <cell r="J159">
            <v>14094.82</v>
          </cell>
          <cell r="K159">
            <v>0.06</v>
          </cell>
          <cell r="L159">
            <v>208.53</v>
          </cell>
          <cell r="M159">
            <v>0.12</v>
          </cell>
          <cell r="N159">
            <v>7</v>
          </cell>
          <cell r="O159">
            <v>197</v>
          </cell>
          <cell r="P159">
            <v>2.65</v>
          </cell>
          <cell r="Q159">
            <v>2673</v>
          </cell>
          <cell r="R159">
            <v>2548.8000000000002</v>
          </cell>
          <cell r="S159">
            <v>0</v>
          </cell>
          <cell r="T159">
            <v>37.799999999999997</v>
          </cell>
        </row>
        <row r="160">
          <cell r="A160">
            <v>565</v>
          </cell>
          <cell r="B160">
            <v>471</v>
          </cell>
          <cell r="C160" t="str">
            <v>HAMBURGUER REZENDE ENVELOPADO 36X56GR</v>
          </cell>
          <cell r="D160">
            <v>14472</v>
          </cell>
          <cell r="E160">
            <v>0.09</v>
          </cell>
          <cell r="F160">
            <v>450</v>
          </cell>
          <cell r="G160">
            <v>0</v>
          </cell>
          <cell r="H160">
            <v>0</v>
          </cell>
          <cell r="I160">
            <v>0</v>
          </cell>
          <cell r="J160">
            <v>17720.78</v>
          </cell>
          <cell r="K160">
            <v>0.08</v>
          </cell>
          <cell r="L160">
            <v>151.69</v>
          </cell>
          <cell r="M160">
            <v>0.09</v>
          </cell>
          <cell r="N160">
            <v>4</v>
          </cell>
          <cell r="O160">
            <v>111</v>
          </cell>
          <cell r="P160">
            <v>1.5</v>
          </cell>
          <cell r="Q160">
            <v>907.2</v>
          </cell>
          <cell r="R160">
            <v>949.54</v>
          </cell>
          <cell r="S160">
            <v>0</v>
          </cell>
          <cell r="T160">
            <v>8.06</v>
          </cell>
        </row>
        <row r="161">
          <cell r="A161">
            <v>918</v>
          </cell>
          <cell r="B161">
            <v>444</v>
          </cell>
          <cell r="C161" t="str">
            <v>BATATA PALHA MAGU 300GR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4178.13</v>
          </cell>
          <cell r="K161">
            <v>0.02</v>
          </cell>
          <cell r="L161">
            <v>0</v>
          </cell>
          <cell r="M161">
            <v>0</v>
          </cell>
          <cell r="N161">
            <v>0</v>
          </cell>
          <cell r="O161">
            <v>36</v>
          </cell>
          <cell r="P161">
            <v>0.48</v>
          </cell>
          <cell r="Q161">
            <v>0</v>
          </cell>
          <cell r="R161">
            <v>133.19999999999999</v>
          </cell>
          <cell r="S161">
            <v>0</v>
          </cell>
          <cell r="T161">
            <v>0</v>
          </cell>
        </row>
        <row r="162">
          <cell r="A162">
            <v>384</v>
          </cell>
          <cell r="B162">
            <v>444</v>
          </cell>
          <cell r="C162" t="str">
            <v>LEITE UHT ZERO LACTOSE CEMIL CX/12</v>
          </cell>
          <cell r="D162">
            <v>41376</v>
          </cell>
          <cell r="E162">
            <v>0.26</v>
          </cell>
          <cell r="F162">
            <v>640</v>
          </cell>
          <cell r="G162">
            <v>0</v>
          </cell>
          <cell r="H162">
            <v>0</v>
          </cell>
          <cell r="I162">
            <v>0</v>
          </cell>
          <cell r="J162">
            <v>33037.980000000003</v>
          </cell>
          <cell r="K162">
            <v>0.14000000000000001</v>
          </cell>
          <cell r="L162">
            <v>75.95</v>
          </cell>
          <cell r="M162">
            <v>0.04</v>
          </cell>
          <cell r="N162">
            <v>1</v>
          </cell>
          <cell r="O162">
            <v>191</v>
          </cell>
          <cell r="P162">
            <v>2.57</v>
          </cell>
          <cell r="Q162">
            <v>7680</v>
          </cell>
          <cell r="R162">
            <v>5328</v>
          </cell>
          <cell r="S162">
            <v>0</v>
          </cell>
          <cell r="T162">
            <v>12</v>
          </cell>
        </row>
        <row r="163">
          <cell r="A163">
            <v>2517</v>
          </cell>
          <cell r="B163">
            <v>444</v>
          </cell>
          <cell r="C163" t="str">
            <v>SALSICHA RESFRIADA SEARA CX\4X3KG</v>
          </cell>
          <cell r="D163">
            <v>6894.72</v>
          </cell>
          <cell r="E163">
            <v>0.04</v>
          </cell>
          <cell r="F163">
            <v>336</v>
          </cell>
          <cell r="G163">
            <v>0</v>
          </cell>
          <cell r="H163">
            <v>0</v>
          </cell>
          <cell r="I163">
            <v>0</v>
          </cell>
          <cell r="J163">
            <v>7964.47</v>
          </cell>
          <cell r="K163">
            <v>0.03</v>
          </cell>
          <cell r="L163">
            <v>0</v>
          </cell>
          <cell r="M163">
            <v>0</v>
          </cell>
          <cell r="N163">
            <v>0</v>
          </cell>
          <cell r="O163">
            <v>63</v>
          </cell>
          <cell r="P163">
            <v>0.85</v>
          </cell>
          <cell r="Q163">
            <v>1008</v>
          </cell>
          <cell r="R163">
            <v>1332</v>
          </cell>
          <cell r="S163">
            <v>0</v>
          </cell>
          <cell r="T163">
            <v>0</v>
          </cell>
        </row>
        <row r="164">
          <cell r="A164">
            <v>203</v>
          </cell>
          <cell r="B164">
            <v>442</v>
          </cell>
          <cell r="C164" t="str">
            <v>BATATA P.FRITA QUALITY FRIES CX\25X400GR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60501.37</v>
          </cell>
          <cell r="K164">
            <v>0.26</v>
          </cell>
          <cell r="L164">
            <v>0</v>
          </cell>
          <cell r="M164">
            <v>0</v>
          </cell>
          <cell r="N164">
            <v>0</v>
          </cell>
          <cell r="O164">
            <v>330</v>
          </cell>
          <cell r="P164">
            <v>4.45</v>
          </cell>
          <cell r="Q164">
            <v>0</v>
          </cell>
          <cell r="R164">
            <v>4420</v>
          </cell>
          <cell r="S164">
            <v>0</v>
          </cell>
          <cell r="T164">
            <v>0</v>
          </cell>
        </row>
        <row r="165">
          <cell r="A165">
            <v>246</v>
          </cell>
          <cell r="B165">
            <v>438</v>
          </cell>
          <cell r="C165" t="str">
            <v>TEKITOS SEARA CX\5X1KG</v>
          </cell>
          <cell r="D165">
            <v>27540</v>
          </cell>
          <cell r="E165">
            <v>0.18</v>
          </cell>
          <cell r="F165">
            <v>400</v>
          </cell>
          <cell r="G165">
            <v>0</v>
          </cell>
          <cell r="H165">
            <v>0</v>
          </cell>
          <cell r="I165">
            <v>0</v>
          </cell>
          <cell r="J165">
            <v>34520.050000000003</v>
          </cell>
          <cell r="K165">
            <v>0.15</v>
          </cell>
          <cell r="L165">
            <v>323.39999999999998</v>
          </cell>
          <cell r="M165">
            <v>0.19</v>
          </cell>
          <cell r="N165">
            <v>4</v>
          </cell>
          <cell r="O165">
            <v>169</v>
          </cell>
          <cell r="P165">
            <v>2.2799999999999998</v>
          </cell>
          <cell r="Q165">
            <v>2000</v>
          </cell>
          <cell r="R165">
            <v>2190</v>
          </cell>
          <cell r="S165">
            <v>0</v>
          </cell>
          <cell r="T165">
            <v>20</v>
          </cell>
        </row>
        <row r="166">
          <cell r="A166">
            <v>732</v>
          </cell>
          <cell r="B166">
            <v>430</v>
          </cell>
          <cell r="C166" t="str">
            <v>STEAK TRADICIONAL FRANGOSUL CX\72X100GR</v>
          </cell>
          <cell r="D166">
            <v>1817.28</v>
          </cell>
          <cell r="E166">
            <v>0.01</v>
          </cell>
          <cell r="F166">
            <v>20</v>
          </cell>
          <cell r="G166">
            <v>0</v>
          </cell>
          <cell r="H166">
            <v>0</v>
          </cell>
          <cell r="I166">
            <v>0</v>
          </cell>
          <cell r="J166">
            <v>17274.88</v>
          </cell>
          <cell r="K166">
            <v>0.08</v>
          </cell>
          <cell r="L166">
            <v>485</v>
          </cell>
          <cell r="M166">
            <v>0.28000000000000003</v>
          </cell>
          <cell r="N166">
            <v>7</v>
          </cell>
          <cell r="O166">
            <v>118</v>
          </cell>
          <cell r="P166">
            <v>1.59</v>
          </cell>
          <cell r="Q166">
            <v>144</v>
          </cell>
          <cell r="R166">
            <v>3096</v>
          </cell>
          <cell r="S166">
            <v>0</v>
          </cell>
          <cell r="T166">
            <v>50.4</v>
          </cell>
        </row>
        <row r="167">
          <cell r="A167">
            <v>69</v>
          </cell>
          <cell r="B167">
            <v>422.1</v>
          </cell>
          <cell r="C167" t="str">
            <v>CAPA FILE PCT BOVINA CARA BRANCA KG</v>
          </cell>
          <cell r="D167">
            <v>30788.55</v>
          </cell>
          <cell r="E167">
            <v>0.2</v>
          </cell>
          <cell r="F167">
            <v>920.5</v>
          </cell>
          <cell r="G167">
            <v>0</v>
          </cell>
          <cell r="H167">
            <v>0</v>
          </cell>
          <cell r="I167">
            <v>0</v>
          </cell>
          <cell r="J167">
            <v>16546.14</v>
          </cell>
          <cell r="K167">
            <v>7.0000000000000007E-2</v>
          </cell>
          <cell r="L167">
            <v>0</v>
          </cell>
          <cell r="M167">
            <v>0</v>
          </cell>
          <cell r="N167">
            <v>0</v>
          </cell>
          <cell r="O167">
            <v>15</v>
          </cell>
          <cell r="P167">
            <v>0.2</v>
          </cell>
          <cell r="Q167">
            <v>920.5</v>
          </cell>
          <cell r="R167">
            <v>422.1</v>
          </cell>
          <cell r="S167">
            <v>0</v>
          </cell>
          <cell r="T167">
            <v>0</v>
          </cell>
        </row>
        <row r="168">
          <cell r="A168">
            <v>1677</v>
          </cell>
          <cell r="B168">
            <v>422</v>
          </cell>
          <cell r="C168" t="str">
            <v>ASA FRANGO PCT FREDINI CX\20KG</v>
          </cell>
          <cell r="D168">
            <v>110043.48</v>
          </cell>
          <cell r="E168">
            <v>0.7</v>
          </cell>
          <cell r="F168">
            <v>550</v>
          </cell>
          <cell r="G168">
            <v>0</v>
          </cell>
          <cell r="H168">
            <v>0</v>
          </cell>
          <cell r="I168">
            <v>0</v>
          </cell>
          <cell r="J168">
            <v>102958.84</v>
          </cell>
          <cell r="K168">
            <v>0.45</v>
          </cell>
          <cell r="L168">
            <v>243.87</v>
          </cell>
          <cell r="M168">
            <v>0.14000000000000001</v>
          </cell>
          <cell r="N168">
            <v>1</v>
          </cell>
          <cell r="O168">
            <v>296</v>
          </cell>
          <cell r="P168">
            <v>3.99</v>
          </cell>
          <cell r="Q168">
            <v>11000</v>
          </cell>
          <cell r="R168">
            <v>8440</v>
          </cell>
          <cell r="S168">
            <v>0</v>
          </cell>
          <cell r="T168">
            <v>20</v>
          </cell>
        </row>
        <row r="169">
          <cell r="A169">
            <v>3757</v>
          </cell>
          <cell r="B169">
            <v>412</v>
          </cell>
          <cell r="C169" t="str">
            <v>VITAMINA FRUTAS DAMARE KIDS  24X200GR</v>
          </cell>
          <cell r="D169">
            <v>19782.09</v>
          </cell>
          <cell r="E169">
            <v>0.13</v>
          </cell>
          <cell r="F169">
            <v>1170</v>
          </cell>
          <cell r="G169">
            <v>0</v>
          </cell>
          <cell r="H169">
            <v>0</v>
          </cell>
          <cell r="I169">
            <v>0</v>
          </cell>
          <cell r="J169">
            <v>8224.7199999999993</v>
          </cell>
          <cell r="K169">
            <v>0.04</v>
          </cell>
          <cell r="L169">
            <v>159.12</v>
          </cell>
          <cell r="M169">
            <v>0.09</v>
          </cell>
          <cell r="N169">
            <v>8</v>
          </cell>
          <cell r="O169">
            <v>90</v>
          </cell>
          <cell r="P169">
            <v>1.21</v>
          </cell>
          <cell r="Q169">
            <v>5616</v>
          </cell>
          <cell r="R169">
            <v>1977.6</v>
          </cell>
          <cell r="S169">
            <v>0</v>
          </cell>
          <cell r="T169">
            <v>38.4</v>
          </cell>
        </row>
        <row r="170">
          <cell r="A170">
            <v>3194</v>
          </cell>
          <cell r="B170">
            <v>405.79</v>
          </cell>
          <cell r="C170" t="str">
            <v>PERNIL SUINO S/OSSO SEARA KG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6178.21</v>
          </cell>
          <cell r="K170">
            <v>0.03</v>
          </cell>
          <cell r="L170">
            <v>0</v>
          </cell>
          <cell r="M170">
            <v>0</v>
          </cell>
          <cell r="N170">
            <v>0</v>
          </cell>
          <cell r="O170">
            <v>12</v>
          </cell>
          <cell r="P170">
            <v>0.16</v>
          </cell>
          <cell r="Q170">
            <v>0</v>
          </cell>
          <cell r="R170">
            <v>405.79</v>
          </cell>
          <cell r="S170">
            <v>0</v>
          </cell>
          <cell r="T170">
            <v>0</v>
          </cell>
        </row>
        <row r="171">
          <cell r="A171">
            <v>48</v>
          </cell>
          <cell r="B171">
            <v>398</v>
          </cell>
          <cell r="C171" t="str">
            <v>FILEZINHO SASSAMI INTERFOLHADO LAR 18KG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93126.15</v>
          </cell>
          <cell r="K171">
            <v>0.41</v>
          </cell>
          <cell r="L171">
            <v>701.49</v>
          </cell>
          <cell r="M171">
            <v>0.4</v>
          </cell>
          <cell r="N171">
            <v>3</v>
          </cell>
          <cell r="O171">
            <v>72</v>
          </cell>
          <cell r="P171">
            <v>0.97</v>
          </cell>
          <cell r="Q171">
            <v>0</v>
          </cell>
          <cell r="R171">
            <v>7164</v>
          </cell>
          <cell r="S171">
            <v>0</v>
          </cell>
          <cell r="T171">
            <v>54</v>
          </cell>
        </row>
        <row r="172">
          <cell r="A172">
            <v>566</v>
          </cell>
          <cell r="B172">
            <v>396</v>
          </cell>
          <cell r="C172" t="str">
            <v>HAMBURGUER SEARA TEXAS ENVELOPADO 36X56G</v>
          </cell>
          <cell r="D172">
            <v>16724.21</v>
          </cell>
          <cell r="E172">
            <v>0.11</v>
          </cell>
          <cell r="F172">
            <v>450</v>
          </cell>
          <cell r="G172">
            <v>0</v>
          </cell>
          <cell r="H172">
            <v>0</v>
          </cell>
          <cell r="I172">
            <v>0</v>
          </cell>
          <cell r="J172">
            <v>18511.63</v>
          </cell>
          <cell r="K172">
            <v>0.08</v>
          </cell>
          <cell r="L172">
            <v>0</v>
          </cell>
          <cell r="M172">
            <v>0</v>
          </cell>
          <cell r="N172">
            <v>0</v>
          </cell>
          <cell r="O172">
            <v>99</v>
          </cell>
          <cell r="P172">
            <v>1.33</v>
          </cell>
          <cell r="Q172">
            <v>907.2</v>
          </cell>
          <cell r="R172">
            <v>798.34</v>
          </cell>
          <cell r="S172">
            <v>0</v>
          </cell>
          <cell r="T172">
            <v>0</v>
          </cell>
        </row>
        <row r="173">
          <cell r="A173">
            <v>370</v>
          </cell>
          <cell r="B173">
            <v>394</v>
          </cell>
          <cell r="C173" t="str">
            <v>MANTEIGA CRISTAULAT CX\24X200GR</v>
          </cell>
          <cell r="D173">
            <v>70801.19</v>
          </cell>
          <cell r="E173">
            <v>0.45</v>
          </cell>
          <cell r="F173">
            <v>443</v>
          </cell>
          <cell r="G173">
            <v>0</v>
          </cell>
          <cell r="H173">
            <v>0</v>
          </cell>
          <cell r="I173">
            <v>0</v>
          </cell>
          <cell r="J173">
            <v>75804.740000000005</v>
          </cell>
          <cell r="K173">
            <v>0.33</v>
          </cell>
          <cell r="L173">
            <v>0</v>
          </cell>
          <cell r="M173">
            <v>0</v>
          </cell>
          <cell r="N173">
            <v>0</v>
          </cell>
          <cell r="O173">
            <v>246</v>
          </cell>
          <cell r="P173">
            <v>3.31</v>
          </cell>
          <cell r="Q173">
            <v>2126.4</v>
          </cell>
          <cell r="R173">
            <v>1891.2</v>
          </cell>
          <cell r="S173">
            <v>0</v>
          </cell>
          <cell r="T173">
            <v>0</v>
          </cell>
        </row>
        <row r="174">
          <cell r="A174">
            <v>15</v>
          </cell>
          <cell r="B174">
            <v>390</v>
          </cell>
          <cell r="C174" t="str">
            <v>BEB.LACTEA CAPPUCCINO CEMIL CX\27X190ML</v>
          </cell>
          <cell r="D174">
            <v>11826.24</v>
          </cell>
          <cell r="E174">
            <v>0.08</v>
          </cell>
          <cell r="F174">
            <v>330</v>
          </cell>
          <cell r="G174">
            <v>0</v>
          </cell>
          <cell r="H174">
            <v>0</v>
          </cell>
          <cell r="I174">
            <v>0</v>
          </cell>
          <cell r="J174">
            <v>17305.650000000001</v>
          </cell>
          <cell r="K174">
            <v>0.08</v>
          </cell>
          <cell r="L174">
            <v>176.4</v>
          </cell>
          <cell r="M174">
            <v>0.1</v>
          </cell>
          <cell r="N174">
            <v>4</v>
          </cell>
          <cell r="O174">
            <v>183</v>
          </cell>
          <cell r="P174">
            <v>2.46</v>
          </cell>
          <cell r="Q174">
            <v>1980</v>
          </cell>
          <cell r="R174">
            <v>2340</v>
          </cell>
          <cell r="S174">
            <v>0</v>
          </cell>
          <cell r="T174">
            <v>24</v>
          </cell>
        </row>
        <row r="175">
          <cell r="A175">
            <v>1486</v>
          </cell>
          <cell r="B175">
            <v>386</v>
          </cell>
          <cell r="C175" t="str">
            <v>MAIONESE SACHE LANCHEIRO 150X5GR</v>
          </cell>
          <cell r="D175">
            <v>3444.28</v>
          </cell>
          <cell r="E175">
            <v>0.02</v>
          </cell>
          <cell r="F175">
            <v>540</v>
          </cell>
          <cell r="G175">
            <v>0</v>
          </cell>
          <cell r="H175">
            <v>0</v>
          </cell>
          <cell r="I175">
            <v>0</v>
          </cell>
          <cell r="J175">
            <v>3344.62</v>
          </cell>
          <cell r="K175">
            <v>0.01</v>
          </cell>
          <cell r="L175">
            <v>0</v>
          </cell>
          <cell r="M175">
            <v>0</v>
          </cell>
          <cell r="N175">
            <v>0</v>
          </cell>
          <cell r="O175">
            <v>67</v>
          </cell>
          <cell r="P175">
            <v>0.9</v>
          </cell>
          <cell r="Q175">
            <v>810</v>
          </cell>
          <cell r="R175">
            <v>579</v>
          </cell>
          <cell r="S175">
            <v>0</v>
          </cell>
          <cell r="T175">
            <v>0</v>
          </cell>
        </row>
        <row r="176">
          <cell r="A176">
            <v>190</v>
          </cell>
          <cell r="B176">
            <v>382</v>
          </cell>
          <cell r="C176" t="str">
            <v>EXTRATO TOMATE COPO OLE CX\12X190G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12756.78</v>
          </cell>
          <cell r="K176">
            <v>0.06</v>
          </cell>
          <cell r="L176">
            <v>0</v>
          </cell>
          <cell r="M176">
            <v>0</v>
          </cell>
          <cell r="N176">
            <v>0</v>
          </cell>
          <cell r="O176">
            <v>225</v>
          </cell>
          <cell r="P176">
            <v>3.03</v>
          </cell>
          <cell r="Q176">
            <v>0</v>
          </cell>
          <cell r="R176">
            <v>1337</v>
          </cell>
          <cell r="S176">
            <v>0</v>
          </cell>
          <cell r="T176">
            <v>0</v>
          </cell>
        </row>
        <row r="177">
          <cell r="A177">
            <v>3846</v>
          </cell>
          <cell r="B177">
            <v>382</v>
          </cell>
          <cell r="C177" t="str">
            <v>LEITE CONDENSADO DAMARE CX\27X395GR</v>
          </cell>
          <cell r="D177">
            <v>127888.44</v>
          </cell>
          <cell r="E177">
            <v>0.82</v>
          </cell>
          <cell r="F177">
            <v>1008</v>
          </cell>
          <cell r="G177">
            <v>0</v>
          </cell>
          <cell r="H177">
            <v>0</v>
          </cell>
          <cell r="I177">
            <v>0</v>
          </cell>
          <cell r="J177">
            <v>55538.87</v>
          </cell>
          <cell r="K177">
            <v>0.24</v>
          </cell>
          <cell r="L177">
            <v>294.23</v>
          </cell>
          <cell r="M177">
            <v>0.17</v>
          </cell>
          <cell r="N177">
            <v>2</v>
          </cell>
          <cell r="O177">
            <v>152</v>
          </cell>
          <cell r="P177">
            <v>2.0499999999999998</v>
          </cell>
          <cell r="Q177">
            <v>10750.32</v>
          </cell>
          <cell r="R177">
            <v>4074.03</v>
          </cell>
          <cell r="S177">
            <v>0</v>
          </cell>
          <cell r="T177">
            <v>21.33</v>
          </cell>
        </row>
        <row r="178">
          <cell r="A178">
            <v>4243</v>
          </cell>
          <cell r="B178">
            <v>378</v>
          </cell>
          <cell r="C178" t="str">
            <v>ERVILHA LATAO PREDILECTA  1,5KG</v>
          </cell>
          <cell r="D178">
            <v>5976.35</v>
          </cell>
          <cell r="E178">
            <v>0.04</v>
          </cell>
          <cell r="F178">
            <v>378</v>
          </cell>
          <cell r="G178">
            <v>0</v>
          </cell>
          <cell r="H178">
            <v>0</v>
          </cell>
          <cell r="I178">
            <v>0</v>
          </cell>
          <cell r="J178">
            <v>7463.2</v>
          </cell>
          <cell r="K178">
            <v>0.03</v>
          </cell>
          <cell r="L178">
            <v>0</v>
          </cell>
          <cell r="M178">
            <v>0</v>
          </cell>
          <cell r="N178">
            <v>0</v>
          </cell>
          <cell r="O178">
            <v>18</v>
          </cell>
          <cell r="P178">
            <v>0.24</v>
          </cell>
          <cell r="Q178">
            <v>567</v>
          </cell>
          <cell r="R178">
            <v>567</v>
          </cell>
          <cell r="S178">
            <v>0</v>
          </cell>
          <cell r="T178">
            <v>0</v>
          </cell>
        </row>
        <row r="179">
          <cell r="A179">
            <v>671</v>
          </cell>
          <cell r="B179">
            <v>374</v>
          </cell>
          <cell r="C179" t="str">
            <v>MORTADELA CONFIANÇA 15X400GR</v>
          </cell>
          <cell r="D179">
            <v>12750</v>
          </cell>
          <cell r="E179">
            <v>0.08</v>
          </cell>
          <cell r="F179">
            <v>250</v>
          </cell>
          <cell r="G179">
            <v>0</v>
          </cell>
          <cell r="H179">
            <v>0</v>
          </cell>
          <cell r="I179">
            <v>0</v>
          </cell>
          <cell r="J179">
            <v>19183.14</v>
          </cell>
          <cell r="K179">
            <v>0.08</v>
          </cell>
          <cell r="L179">
            <v>264.68</v>
          </cell>
          <cell r="M179">
            <v>0.15</v>
          </cell>
          <cell r="N179">
            <v>5</v>
          </cell>
          <cell r="O179">
            <v>171</v>
          </cell>
          <cell r="P179">
            <v>2.2999999999999998</v>
          </cell>
          <cell r="Q179">
            <v>1500</v>
          </cell>
          <cell r="R179">
            <v>2244</v>
          </cell>
          <cell r="S179">
            <v>0</v>
          </cell>
          <cell r="T179">
            <v>30</v>
          </cell>
        </row>
        <row r="180">
          <cell r="A180">
            <v>118</v>
          </cell>
          <cell r="B180">
            <v>370</v>
          </cell>
          <cell r="C180" t="str">
            <v>PE SUINO CONG PIF PAF -  FRICASA CX\10KG</v>
          </cell>
          <cell r="D180">
            <v>20084</v>
          </cell>
          <cell r="E180">
            <v>0.13</v>
          </cell>
          <cell r="F180">
            <v>250</v>
          </cell>
          <cell r="G180">
            <v>0</v>
          </cell>
          <cell r="H180">
            <v>0</v>
          </cell>
          <cell r="I180">
            <v>0</v>
          </cell>
          <cell r="J180">
            <v>36239</v>
          </cell>
          <cell r="K180">
            <v>0.16</v>
          </cell>
          <cell r="L180">
            <v>196</v>
          </cell>
          <cell r="M180">
            <v>0.11</v>
          </cell>
          <cell r="N180">
            <v>2</v>
          </cell>
          <cell r="O180">
            <v>155</v>
          </cell>
          <cell r="P180">
            <v>2.09</v>
          </cell>
          <cell r="Q180">
            <v>2500</v>
          </cell>
          <cell r="R180">
            <v>3700</v>
          </cell>
          <cell r="S180">
            <v>0</v>
          </cell>
          <cell r="T180">
            <v>20</v>
          </cell>
        </row>
        <row r="181">
          <cell r="A181">
            <v>93</v>
          </cell>
          <cell r="B181">
            <v>367.93</v>
          </cell>
          <cell r="C181" t="str">
            <v>ALCATRA COMPLETA GRILL BOVINA FRIGODIAS KG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17649.38</v>
          </cell>
          <cell r="K181">
            <v>0.08</v>
          </cell>
          <cell r="L181">
            <v>0</v>
          </cell>
          <cell r="M181">
            <v>0</v>
          </cell>
          <cell r="N181">
            <v>0</v>
          </cell>
          <cell r="O181">
            <v>10</v>
          </cell>
          <cell r="P181">
            <v>0.13</v>
          </cell>
          <cell r="Q181">
            <v>0</v>
          </cell>
          <cell r="R181">
            <v>367.93</v>
          </cell>
          <cell r="S181">
            <v>0</v>
          </cell>
          <cell r="T181">
            <v>0</v>
          </cell>
        </row>
        <row r="182">
          <cell r="A182">
            <v>1153</v>
          </cell>
          <cell r="B182">
            <v>367</v>
          </cell>
          <cell r="C182" t="str">
            <v>KETCHUP SACHÊ SALSARETTI 144X7GR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4536.25</v>
          </cell>
          <cell r="K182">
            <v>0.02</v>
          </cell>
          <cell r="L182">
            <v>0</v>
          </cell>
          <cell r="M182">
            <v>0</v>
          </cell>
          <cell r="N182">
            <v>0</v>
          </cell>
          <cell r="O182">
            <v>43</v>
          </cell>
          <cell r="P182">
            <v>0.57999999999999996</v>
          </cell>
          <cell r="Q182">
            <v>0</v>
          </cell>
          <cell r="R182">
            <v>734</v>
          </cell>
          <cell r="S182">
            <v>0</v>
          </cell>
          <cell r="T182">
            <v>0</v>
          </cell>
        </row>
        <row r="183">
          <cell r="A183">
            <v>4137</v>
          </cell>
          <cell r="B183">
            <v>355</v>
          </cell>
          <cell r="C183" t="str">
            <v>FARINHA TRIGO SALGADOS SUPREMA 5KG</v>
          </cell>
          <cell r="D183">
            <v>6207.6</v>
          </cell>
          <cell r="E183">
            <v>0.04</v>
          </cell>
          <cell r="F183">
            <v>420</v>
          </cell>
          <cell r="G183">
            <v>0</v>
          </cell>
          <cell r="H183">
            <v>0</v>
          </cell>
          <cell r="I183">
            <v>0</v>
          </cell>
          <cell r="J183">
            <v>7010.59</v>
          </cell>
          <cell r="K183">
            <v>0.03</v>
          </cell>
          <cell r="L183">
            <v>0</v>
          </cell>
          <cell r="M183">
            <v>0</v>
          </cell>
          <cell r="N183">
            <v>0</v>
          </cell>
          <cell r="O183">
            <v>26</v>
          </cell>
          <cell r="P183">
            <v>0.35</v>
          </cell>
          <cell r="Q183">
            <v>2100</v>
          </cell>
          <cell r="R183">
            <v>1775</v>
          </cell>
          <cell r="S183">
            <v>0</v>
          </cell>
          <cell r="T183">
            <v>0</v>
          </cell>
        </row>
        <row r="184">
          <cell r="A184">
            <v>1054</v>
          </cell>
          <cell r="B184">
            <v>354</v>
          </cell>
          <cell r="C184" t="str">
            <v>AGUA COCO DUCOCO CX/27X200ML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20638.47</v>
          </cell>
          <cell r="K184">
            <v>0.09</v>
          </cell>
          <cell r="L184">
            <v>232.44</v>
          </cell>
          <cell r="M184">
            <v>0.13</v>
          </cell>
          <cell r="N184">
            <v>4</v>
          </cell>
          <cell r="O184">
            <v>202</v>
          </cell>
          <cell r="P184">
            <v>2.72</v>
          </cell>
          <cell r="Q184">
            <v>0</v>
          </cell>
          <cell r="R184">
            <v>1699.2</v>
          </cell>
          <cell r="S184">
            <v>0</v>
          </cell>
          <cell r="T184">
            <v>19.2</v>
          </cell>
        </row>
        <row r="185">
          <cell r="A185">
            <v>3930</v>
          </cell>
          <cell r="B185">
            <v>351</v>
          </cell>
          <cell r="C185" t="str">
            <v>BISTECA SUINA IQF SADIA CX10/800GR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45084.32</v>
          </cell>
          <cell r="K185">
            <v>0.2</v>
          </cell>
          <cell r="L185">
            <v>127.94</v>
          </cell>
          <cell r="M185">
            <v>7.0000000000000007E-2</v>
          </cell>
          <cell r="N185">
            <v>1</v>
          </cell>
          <cell r="O185">
            <v>181</v>
          </cell>
          <cell r="P185">
            <v>2.44</v>
          </cell>
          <cell r="Q185">
            <v>0</v>
          </cell>
          <cell r="R185">
            <v>2808</v>
          </cell>
          <cell r="S185">
            <v>0</v>
          </cell>
          <cell r="T185">
            <v>8</v>
          </cell>
        </row>
        <row r="186">
          <cell r="A186">
            <v>433</v>
          </cell>
          <cell r="B186">
            <v>325</v>
          </cell>
          <cell r="C186" t="str">
            <v>ASA FRANGO BANDEJA RIVELLI CX.12X1KG</v>
          </cell>
          <cell r="D186">
            <v>9269.1200000000008</v>
          </cell>
          <cell r="E186">
            <v>0.06</v>
          </cell>
          <cell r="F186">
            <v>52</v>
          </cell>
          <cell r="G186">
            <v>0</v>
          </cell>
          <cell r="H186">
            <v>0</v>
          </cell>
          <cell r="I186">
            <v>0</v>
          </cell>
          <cell r="J186">
            <v>62533.48</v>
          </cell>
          <cell r="K186">
            <v>0.27</v>
          </cell>
          <cell r="L186">
            <v>0</v>
          </cell>
          <cell r="M186">
            <v>0</v>
          </cell>
          <cell r="N186">
            <v>0</v>
          </cell>
          <cell r="O186">
            <v>204</v>
          </cell>
          <cell r="P186">
            <v>2.75</v>
          </cell>
          <cell r="Q186">
            <v>624</v>
          </cell>
          <cell r="R186">
            <v>3900</v>
          </cell>
          <cell r="S186">
            <v>0</v>
          </cell>
          <cell r="T186">
            <v>0</v>
          </cell>
        </row>
        <row r="187">
          <cell r="A187">
            <v>260</v>
          </cell>
          <cell r="B187">
            <v>321</v>
          </cell>
          <cell r="C187" t="str">
            <v>SALAME ITALIANO PEQUENO SEARA</v>
          </cell>
          <cell r="D187">
            <v>3572.07</v>
          </cell>
          <cell r="E187">
            <v>0.02</v>
          </cell>
          <cell r="F187">
            <v>300</v>
          </cell>
          <cell r="G187">
            <v>0</v>
          </cell>
          <cell r="H187">
            <v>0</v>
          </cell>
          <cell r="I187">
            <v>0</v>
          </cell>
          <cell r="J187">
            <v>4343.91</v>
          </cell>
          <cell r="K187">
            <v>0.02</v>
          </cell>
          <cell r="L187">
            <v>14.21</v>
          </cell>
          <cell r="M187">
            <v>0.01</v>
          </cell>
          <cell r="N187">
            <v>1</v>
          </cell>
          <cell r="O187">
            <v>53</v>
          </cell>
          <cell r="P187">
            <v>0.71</v>
          </cell>
          <cell r="Q187">
            <v>54</v>
          </cell>
          <cell r="R187">
            <v>57.78</v>
          </cell>
          <cell r="S187">
            <v>0</v>
          </cell>
          <cell r="T187">
            <v>0.18</v>
          </cell>
        </row>
        <row r="188">
          <cell r="A188">
            <v>229</v>
          </cell>
          <cell r="B188">
            <v>320</v>
          </cell>
          <cell r="C188" t="str">
            <v>LING CHURRASCO RIVELLI CX\20X1KG</v>
          </cell>
          <cell r="D188">
            <v>4726.5200000000004</v>
          </cell>
          <cell r="E188">
            <v>0.03</v>
          </cell>
          <cell r="F188">
            <v>21</v>
          </cell>
          <cell r="G188">
            <v>0</v>
          </cell>
          <cell r="H188">
            <v>0</v>
          </cell>
          <cell r="I188">
            <v>0</v>
          </cell>
          <cell r="J188">
            <v>85149.23</v>
          </cell>
          <cell r="K188">
            <v>0.37</v>
          </cell>
          <cell r="L188">
            <v>1074.5999999999999</v>
          </cell>
          <cell r="M188">
            <v>0.62</v>
          </cell>
          <cell r="N188">
            <v>4</v>
          </cell>
          <cell r="O188">
            <v>229</v>
          </cell>
          <cell r="P188">
            <v>3.08</v>
          </cell>
          <cell r="Q188">
            <v>420</v>
          </cell>
          <cell r="R188">
            <v>6400</v>
          </cell>
          <cell r="S188">
            <v>0</v>
          </cell>
          <cell r="T188">
            <v>80</v>
          </cell>
        </row>
        <row r="189">
          <cell r="A189">
            <v>652</v>
          </cell>
          <cell r="B189">
            <v>320</v>
          </cell>
          <cell r="C189" t="str">
            <v>MARGARINA DORIANA C\SAL CX\12X500GR 5719</v>
          </cell>
          <cell r="D189">
            <v>53638.2</v>
          </cell>
          <cell r="E189">
            <v>0.34</v>
          </cell>
          <cell r="F189">
            <v>770</v>
          </cell>
          <cell r="G189">
            <v>0</v>
          </cell>
          <cell r="H189">
            <v>0</v>
          </cell>
          <cell r="I189">
            <v>0</v>
          </cell>
          <cell r="J189">
            <v>19940.39</v>
          </cell>
          <cell r="K189">
            <v>0.09</v>
          </cell>
          <cell r="L189">
            <v>81.540000000000006</v>
          </cell>
          <cell r="M189">
            <v>0.05</v>
          </cell>
          <cell r="N189">
            <v>1</v>
          </cell>
          <cell r="O189">
            <v>117</v>
          </cell>
          <cell r="P189">
            <v>1.58</v>
          </cell>
          <cell r="Q189">
            <v>4620</v>
          </cell>
          <cell r="R189">
            <v>1920</v>
          </cell>
          <cell r="S189">
            <v>0</v>
          </cell>
          <cell r="T189">
            <v>6</v>
          </cell>
        </row>
        <row r="190">
          <cell r="A190">
            <v>478</v>
          </cell>
          <cell r="B190">
            <v>318</v>
          </cell>
          <cell r="C190" t="str">
            <v>BEB.LACTEA MORANGO IBITURUNA 27X200ML</v>
          </cell>
          <cell r="D190">
            <v>8435.5</v>
          </cell>
          <cell r="E190">
            <v>0.05</v>
          </cell>
          <cell r="F190">
            <v>360</v>
          </cell>
          <cell r="G190">
            <v>0</v>
          </cell>
          <cell r="H190">
            <v>0</v>
          </cell>
          <cell r="I190">
            <v>0</v>
          </cell>
          <cell r="J190">
            <v>8932.4500000000007</v>
          </cell>
          <cell r="K190">
            <v>0.04</v>
          </cell>
          <cell r="L190">
            <v>139.65</v>
          </cell>
          <cell r="M190">
            <v>0.08</v>
          </cell>
          <cell r="N190">
            <v>5</v>
          </cell>
          <cell r="O190">
            <v>168</v>
          </cell>
          <cell r="P190">
            <v>2.2599999999999998</v>
          </cell>
          <cell r="Q190">
            <v>1944</v>
          </cell>
          <cell r="R190">
            <v>1717.2</v>
          </cell>
          <cell r="S190">
            <v>0</v>
          </cell>
          <cell r="T190">
            <v>27</v>
          </cell>
        </row>
        <row r="191">
          <cell r="A191">
            <v>365</v>
          </cell>
          <cell r="B191">
            <v>311</v>
          </cell>
          <cell r="C191" t="str">
            <v>MARGARINA QUALY CX\12X500GR 500732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32803.85</v>
          </cell>
          <cell r="K191">
            <v>0.14000000000000001</v>
          </cell>
          <cell r="L191">
            <v>105.54</v>
          </cell>
          <cell r="M191">
            <v>0.06</v>
          </cell>
          <cell r="N191">
            <v>1</v>
          </cell>
          <cell r="O191">
            <v>205</v>
          </cell>
          <cell r="P191">
            <v>2.76</v>
          </cell>
          <cell r="Q191">
            <v>0</v>
          </cell>
          <cell r="R191">
            <v>1866</v>
          </cell>
          <cell r="S191">
            <v>0</v>
          </cell>
          <cell r="T191">
            <v>6</v>
          </cell>
        </row>
        <row r="192">
          <cell r="A192">
            <v>683</v>
          </cell>
          <cell r="B192">
            <v>310.13</v>
          </cell>
          <cell r="C192" t="str">
            <v>MUSCULO BOVINO CARA BRANCA KG</v>
          </cell>
          <cell r="D192">
            <v>20680.73</v>
          </cell>
          <cell r="E192">
            <v>0.13</v>
          </cell>
          <cell r="F192">
            <v>790.19</v>
          </cell>
          <cell r="G192">
            <v>0</v>
          </cell>
          <cell r="H192">
            <v>0</v>
          </cell>
          <cell r="I192">
            <v>0</v>
          </cell>
          <cell r="J192">
            <v>9877.7800000000007</v>
          </cell>
          <cell r="K192">
            <v>0.04</v>
          </cell>
          <cell r="L192">
            <v>0</v>
          </cell>
          <cell r="M192">
            <v>0</v>
          </cell>
          <cell r="N192">
            <v>0</v>
          </cell>
          <cell r="O192">
            <v>6</v>
          </cell>
          <cell r="P192">
            <v>0.08</v>
          </cell>
          <cell r="Q192">
            <v>790.19</v>
          </cell>
          <cell r="R192">
            <v>310.13</v>
          </cell>
          <cell r="S192">
            <v>0</v>
          </cell>
          <cell r="T192">
            <v>0</v>
          </cell>
        </row>
        <row r="193">
          <cell r="A193">
            <v>1476</v>
          </cell>
          <cell r="B193">
            <v>310</v>
          </cell>
          <cell r="C193" t="str">
            <v>BACON CUBOS IMPERATRIZ  CX/10X1KG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73511.95</v>
          </cell>
          <cell r="K193">
            <v>0.32</v>
          </cell>
          <cell r="L193">
            <v>235.93</v>
          </cell>
          <cell r="M193">
            <v>0.14000000000000001</v>
          </cell>
          <cell r="N193">
            <v>1</v>
          </cell>
          <cell r="O193">
            <v>127</v>
          </cell>
          <cell r="P193">
            <v>1.71</v>
          </cell>
          <cell r="Q193">
            <v>0</v>
          </cell>
          <cell r="R193">
            <v>3100</v>
          </cell>
          <cell r="S193">
            <v>0</v>
          </cell>
          <cell r="T193">
            <v>10</v>
          </cell>
        </row>
        <row r="194">
          <cell r="A194">
            <v>17</v>
          </cell>
          <cell r="B194">
            <v>309</v>
          </cell>
          <cell r="C194" t="str">
            <v>BEB.LACTEA BLACK CEMIL CX\27X200ML</v>
          </cell>
          <cell r="D194">
            <v>10044.27</v>
          </cell>
          <cell r="E194">
            <v>0.06</v>
          </cell>
          <cell r="F194">
            <v>330</v>
          </cell>
          <cell r="G194">
            <v>0</v>
          </cell>
          <cell r="H194">
            <v>0</v>
          </cell>
          <cell r="I194">
            <v>0</v>
          </cell>
          <cell r="J194">
            <v>13381.62</v>
          </cell>
          <cell r="K194">
            <v>0.06</v>
          </cell>
          <cell r="L194">
            <v>173.84</v>
          </cell>
          <cell r="M194">
            <v>0.1</v>
          </cell>
          <cell r="N194">
            <v>4</v>
          </cell>
          <cell r="O194">
            <v>159</v>
          </cell>
          <cell r="P194">
            <v>2.14</v>
          </cell>
          <cell r="Q194">
            <v>1980</v>
          </cell>
          <cell r="R194">
            <v>1854</v>
          </cell>
          <cell r="S194">
            <v>0</v>
          </cell>
          <cell r="T194">
            <v>24</v>
          </cell>
        </row>
        <row r="195">
          <cell r="A195">
            <v>3315</v>
          </cell>
          <cell r="B195">
            <v>308</v>
          </cell>
          <cell r="C195" t="str">
            <v>FRANGO CONG COGRAN CX\20KG</v>
          </cell>
          <cell r="D195">
            <v>183911.06</v>
          </cell>
          <cell r="E195">
            <v>1.18</v>
          </cell>
          <cell r="F195">
            <v>1400</v>
          </cell>
          <cell r="G195">
            <v>0</v>
          </cell>
          <cell r="H195">
            <v>0</v>
          </cell>
          <cell r="I195">
            <v>0</v>
          </cell>
          <cell r="J195">
            <v>47412.28</v>
          </cell>
          <cell r="K195">
            <v>0.21</v>
          </cell>
          <cell r="L195">
            <v>155.08000000000001</v>
          </cell>
          <cell r="M195">
            <v>0.09</v>
          </cell>
          <cell r="N195">
            <v>1</v>
          </cell>
          <cell r="O195">
            <v>90</v>
          </cell>
          <cell r="P195">
            <v>1.21</v>
          </cell>
          <cell r="Q195">
            <v>28000</v>
          </cell>
          <cell r="R195">
            <v>6160</v>
          </cell>
          <cell r="S195">
            <v>0</v>
          </cell>
          <cell r="T195">
            <v>20</v>
          </cell>
        </row>
        <row r="196">
          <cell r="A196">
            <v>406</v>
          </cell>
          <cell r="B196">
            <v>301</v>
          </cell>
          <cell r="C196" t="str">
            <v>IOGURTE BANDEJA TURMA MILK  CX\12</v>
          </cell>
          <cell r="D196">
            <v>7351.2</v>
          </cell>
          <cell r="E196">
            <v>0.05</v>
          </cell>
          <cell r="F196">
            <v>300</v>
          </cell>
          <cell r="G196">
            <v>0</v>
          </cell>
          <cell r="H196">
            <v>0</v>
          </cell>
          <cell r="I196">
            <v>0</v>
          </cell>
          <cell r="J196">
            <v>9068.3700000000008</v>
          </cell>
          <cell r="K196">
            <v>0.04</v>
          </cell>
          <cell r="L196">
            <v>299.51</v>
          </cell>
          <cell r="M196">
            <v>0.17</v>
          </cell>
          <cell r="N196">
            <v>10</v>
          </cell>
          <cell r="O196">
            <v>140</v>
          </cell>
          <cell r="P196">
            <v>1.89</v>
          </cell>
          <cell r="Q196">
            <v>1620</v>
          </cell>
          <cell r="R196">
            <v>1625.4</v>
          </cell>
          <cell r="S196">
            <v>0</v>
          </cell>
          <cell r="T196">
            <v>54</v>
          </cell>
        </row>
        <row r="197">
          <cell r="A197">
            <v>837</v>
          </cell>
          <cell r="B197">
            <v>296</v>
          </cell>
          <cell r="C197" t="str">
            <v>MOLHO TOMATE STELLA DORO SACHE 8X1,7KG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2691.66</v>
          </cell>
          <cell r="K197">
            <v>0.01</v>
          </cell>
          <cell r="L197">
            <v>0</v>
          </cell>
          <cell r="M197">
            <v>0</v>
          </cell>
          <cell r="N197">
            <v>0</v>
          </cell>
          <cell r="O197">
            <v>24</v>
          </cell>
          <cell r="P197">
            <v>0.32</v>
          </cell>
          <cell r="Q197">
            <v>0</v>
          </cell>
          <cell r="R197">
            <v>503.2</v>
          </cell>
          <cell r="S197">
            <v>0</v>
          </cell>
          <cell r="T197">
            <v>0</v>
          </cell>
        </row>
        <row r="198">
          <cell r="A198">
            <v>3311</v>
          </cell>
          <cell r="B198">
            <v>295.54000000000002</v>
          </cell>
          <cell r="C198" t="str">
            <v>COXAO MOLE BOVINO CARA BRANCA KG</v>
          </cell>
          <cell r="D198">
            <v>23578.37</v>
          </cell>
          <cell r="E198">
            <v>0.15</v>
          </cell>
          <cell r="F198">
            <v>639.27</v>
          </cell>
          <cell r="G198">
            <v>0</v>
          </cell>
          <cell r="H198">
            <v>0</v>
          </cell>
          <cell r="I198">
            <v>0</v>
          </cell>
          <cell r="J198">
            <v>12349.26</v>
          </cell>
          <cell r="K198">
            <v>0.05</v>
          </cell>
          <cell r="L198">
            <v>0</v>
          </cell>
          <cell r="M198">
            <v>0</v>
          </cell>
          <cell r="N198">
            <v>0</v>
          </cell>
          <cell r="O198">
            <v>10</v>
          </cell>
          <cell r="P198">
            <v>0.13</v>
          </cell>
          <cell r="Q198">
            <v>639.27</v>
          </cell>
          <cell r="R198">
            <v>295.54000000000002</v>
          </cell>
          <cell r="S198">
            <v>0</v>
          </cell>
          <cell r="T198">
            <v>0</v>
          </cell>
        </row>
        <row r="199">
          <cell r="A199">
            <v>40</v>
          </cell>
          <cell r="B199">
            <v>295</v>
          </cell>
          <cell r="C199" t="str">
            <v>COXINHA DA ASA IQF SEARA CX 12X1KG</v>
          </cell>
          <cell r="D199">
            <v>38880</v>
          </cell>
          <cell r="E199">
            <v>0.25</v>
          </cell>
          <cell r="F199">
            <v>300</v>
          </cell>
          <cell r="G199">
            <v>0</v>
          </cell>
          <cell r="H199">
            <v>0</v>
          </cell>
          <cell r="I199">
            <v>0</v>
          </cell>
          <cell r="J199">
            <v>44286.84</v>
          </cell>
          <cell r="K199">
            <v>0.19</v>
          </cell>
          <cell r="L199">
            <v>0</v>
          </cell>
          <cell r="M199">
            <v>0</v>
          </cell>
          <cell r="N199">
            <v>0</v>
          </cell>
          <cell r="O199">
            <v>195</v>
          </cell>
          <cell r="P199">
            <v>2.63</v>
          </cell>
          <cell r="Q199">
            <v>3600</v>
          </cell>
          <cell r="R199">
            <v>3540</v>
          </cell>
          <cell r="S199">
            <v>0</v>
          </cell>
          <cell r="T199">
            <v>0</v>
          </cell>
        </row>
        <row r="200">
          <cell r="A200">
            <v>2632</v>
          </cell>
          <cell r="B200">
            <v>293</v>
          </cell>
          <cell r="C200" t="str">
            <v>MUSSARELA FATIADA CRISTAULAT CX\30X150GR</v>
          </cell>
          <cell r="D200">
            <v>32630.51</v>
          </cell>
          <cell r="E200">
            <v>0.21</v>
          </cell>
          <cell r="F200">
            <v>163</v>
          </cell>
          <cell r="G200">
            <v>0</v>
          </cell>
          <cell r="H200">
            <v>0</v>
          </cell>
          <cell r="I200">
            <v>0</v>
          </cell>
          <cell r="J200">
            <v>73877.22</v>
          </cell>
          <cell r="K200">
            <v>0.32</v>
          </cell>
          <cell r="L200">
            <v>1012.58</v>
          </cell>
          <cell r="M200">
            <v>0.57999999999999996</v>
          </cell>
          <cell r="N200">
            <v>4</v>
          </cell>
          <cell r="O200">
            <v>190</v>
          </cell>
          <cell r="P200">
            <v>2.56</v>
          </cell>
          <cell r="Q200">
            <v>733.5</v>
          </cell>
          <cell r="R200">
            <v>1318.5</v>
          </cell>
          <cell r="S200">
            <v>0</v>
          </cell>
          <cell r="T200">
            <v>18</v>
          </cell>
        </row>
        <row r="201">
          <cell r="A201">
            <v>42</v>
          </cell>
          <cell r="B201">
            <v>291</v>
          </cell>
          <cell r="C201" t="str">
            <v>COXINHA DA ASA ENVEL  RIVELLI CX 20KG</v>
          </cell>
          <cell r="D201">
            <v>124291.54</v>
          </cell>
          <cell r="E201">
            <v>0.79</v>
          </cell>
          <cell r="F201">
            <v>750</v>
          </cell>
          <cell r="G201">
            <v>0</v>
          </cell>
          <cell r="H201">
            <v>0</v>
          </cell>
          <cell r="I201">
            <v>0</v>
          </cell>
          <cell r="J201">
            <v>58764.94</v>
          </cell>
          <cell r="K201">
            <v>0.26</v>
          </cell>
          <cell r="L201">
            <v>209.72</v>
          </cell>
          <cell r="M201">
            <v>0.12</v>
          </cell>
          <cell r="N201">
            <v>1</v>
          </cell>
          <cell r="O201">
            <v>144</v>
          </cell>
          <cell r="P201">
            <v>1.94</v>
          </cell>
          <cell r="Q201">
            <v>15000</v>
          </cell>
          <cell r="R201">
            <v>5820</v>
          </cell>
          <cell r="S201">
            <v>0</v>
          </cell>
          <cell r="T201">
            <v>20</v>
          </cell>
        </row>
        <row r="202">
          <cell r="A202">
            <v>891</v>
          </cell>
          <cell r="B202">
            <v>289</v>
          </cell>
          <cell r="C202" t="str">
            <v>LING FRANGO SEARA CX\4X5KG</v>
          </cell>
          <cell r="D202">
            <v>4996</v>
          </cell>
          <cell r="E202">
            <v>0.03</v>
          </cell>
          <cell r="F202">
            <v>80</v>
          </cell>
          <cell r="G202">
            <v>0</v>
          </cell>
          <cell r="H202">
            <v>0</v>
          </cell>
          <cell r="I202">
            <v>0</v>
          </cell>
          <cell r="J202">
            <v>21286.5</v>
          </cell>
          <cell r="K202">
            <v>0.09</v>
          </cell>
          <cell r="L202">
            <v>294</v>
          </cell>
          <cell r="M202">
            <v>0.17</v>
          </cell>
          <cell r="N202">
            <v>4</v>
          </cell>
          <cell r="O202">
            <v>52</v>
          </cell>
          <cell r="P202">
            <v>0.7</v>
          </cell>
          <cell r="Q202">
            <v>400</v>
          </cell>
          <cell r="R202">
            <v>1445</v>
          </cell>
          <cell r="S202">
            <v>0</v>
          </cell>
          <cell r="T202">
            <v>20</v>
          </cell>
        </row>
        <row r="203">
          <cell r="A203">
            <v>4111</v>
          </cell>
          <cell r="B203">
            <v>289</v>
          </cell>
          <cell r="C203" t="str">
            <v>MILHO VERDE LATA RAMY CX\30X170GR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24934.799999999999</v>
          </cell>
          <cell r="K203">
            <v>0.11</v>
          </cell>
          <cell r="L203">
            <v>172.48</v>
          </cell>
          <cell r="M203">
            <v>0.1</v>
          </cell>
          <cell r="N203">
            <v>2</v>
          </cell>
          <cell r="O203">
            <v>207</v>
          </cell>
          <cell r="P203">
            <v>2.79</v>
          </cell>
          <cell r="Q203">
            <v>0</v>
          </cell>
          <cell r="R203">
            <v>1473.9</v>
          </cell>
          <cell r="S203">
            <v>0</v>
          </cell>
          <cell r="T203">
            <v>10.199999999999999</v>
          </cell>
        </row>
        <row r="204">
          <cell r="A204">
            <v>207</v>
          </cell>
          <cell r="B204">
            <v>284</v>
          </cell>
          <cell r="C204" t="str">
            <v>BANHA ALIBEM CX\18KG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65114.82</v>
          </cell>
          <cell r="K204">
            <v>0.28000000000000003</v>
          </cell>
          <cell r="L204">
            <v>0</v>
          </cell>
          <cell r="M204">
            <v>0</v>
          </cell>
          <cell r="N204">
            <v>0</v>
          </cell>
          <cell r="O204">
            <v>144</v>
          </cell>
          <cell r="P204">
            <v>1.94</v>
          </cell>
          <cell r="Q204">
            <v>0</v>
          </cell>
          <cell r="R204">
            <v>5112</v>
          </cell>
          <cell r="S204">
            <v>0</v>
          </cell>
          <cell r="T204">
            <v>0</v>
          </cell>
        </row>
        <row r="205">
          <cell r="A205">
            <v>833</v>
          </cell>
          <cell r="B205">
            <v>282</v>
          </cell>
          <cell r="C205" t="str">
            <v>MILHO VERDE COPO OLE CX\12X120G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10598.56</v>
          </cell>
          <cell r="K205">
            <v>0.05</v>
          </cell>
          <cell r="L205">
            <v>0</v>
          </cell>
          <cell r="M205">
            <v>0</v>
          </cell>
          <cell r="N205">
            <v>0</v>
          </cell>
          <cell r="O205">
            <v>144</v>
          </cell>
          <cell r="P205">
            <v>1.94</v>
          </cell>
          <cell r="Q205">
            <v>0</v>
          </cell>
          <cell r="R205">
            <v>846</v>
          </cell>
          <cell r="S205">
            <v>0</v>
          </cell>
          <cell r="T205">
            <v>0</v>
          </cell>
        </row>
        <row r="206">
          <cell r="A206">
            <v>3624</v>
          </cell>
          <cell r="B206">
            <v>277.94</v>
          </cell>
          <cell r="C206" t="str">
            <v>PICANHA TEMPERADA CONGELADA DIMELHOR KG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6167.25</v>
          </cell>
          <cell r="K206">
            <v>0.03</v>
          </cell>
          <cell r="L206">
            <v>1267.43</v>
          </cell>
          <cell r="M206">
            <v>0.73</v>
          </cell>
          <cell r="N206">
            <v>57.48</v>
          </cell>
          <cell r="O206">
            <v>11</v>
          </cell>
          <cell r="P206">
            <v>0.15</v>
          </cell>
          <cell r="Q206">
            <v>0</v>
          </cell>
          <cell r="R206">
            <v>277.94</v>
          </cell>
          <cell r="S206">
            <v>0</v>
          </cell>
          <cell r="T206">
            <v>57.48</v>
          </cell>
        </row>
        <row r="207">
          <cell r="A207">
            <v>249</v>
          </cell>
          <cell r="B207">
            <v>270</v>
          </cell>
          <cell r="C207" t="str">
            <v>TEKITOS SEARA CX\16X300GR</v>
          </cell>
          <cell r="D207">
            <v>20321.28</v>
          </cell>
          <cell r="E207">
            <v>0.13</v>
          </cell>
          <cell r="F207">
            <v>210</v>
          </cell>
          <cell r="G207">
            <v>0</v>
          </cell>
          <cell r="H207">
            <v>0</v>
          </cell>
          <cell r="I207">
            <v>0</v>
          </cell>
          <cell r="J207">
            <v>30968.77</v>
          </cell>
          <cell r="K207">
            <v>0.14000000000000001</v>
          </cell>
          <cell r="L207">
            <v>577.6</v>
          </cell>
          <cell r="M207">
            <v>0.33</v>
          </cell>
          <cell r="N207">
            <v>5</v>
          </cell>
          <cell r="O207">
            <v>211</v>
          </cell>
          <cell r="P207">
            <v>2.84</v>
          </cell>
          <cell r="Q207">
            <v>1008</v>
          </cell>
          <cell r="R207">
            <v>1296</v>
          </cell>
          <cell r="S207">
            <v>0</v>
          </cell>
          <cell r="T207">
            <v>24</v>
          </cell>
        </row>
        <row r="208">
          <cell r="A208">
            <v>166</v>
          </cell>
          <cell r="B208">
            <v>269</v>
          </cell>
          <cell r="C208" t="str">
            <v>SARDINHA NAUTIQUE OLEO CX/25X125GR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29649.759999999998</v>
          </cell>
          <cell r="K208">
            <v>0.13</v>
          </cell>
          <cell r="L208">
            <v>333.76</v>
          </cell>
          <cell r="M208">
            <v>0.19</v>
          </cell>
          <cell r="N208">
            <v>3</v>
          </cell>
          <cell r="O208">
            <v>197</v>
          </cell>
          <cell r="P208">
            <v>2.65</v>
          </cell>
          <cell r="Q208">
            <v>0</v>
          </cell>
          <cell r="R208">
            <v>1748.5</v>
          </cell>
          <cell r="S208">
            <v>0</v>
          </cell>
          <cell r="T208">
            <v>19.5</v>
          </cell>
        </row>
        <row r="209">
          <cell r="A209">
            <v>899</v>
          </cell>
          <cell r="B209">
            <v>267</v>
          </cell>
          <cell r="C209" t="str">
            <v>MORTADELA LEBON  CX\4X3,250KG</v>
          </cell>
          <cell r="D209">
            <v>2979.6</v>
          </cell>
          <cell r="E209">
            <v>0.02</v>
          </cell>
          <cell r="F209">
            <v>120</v>
          </cell>
          <cell r="G209">
            <v>0</v>
          </cell>
          <cell r="H209">
            <v>0</v>
          </cell>
          <cell r="I209">
            <v>0</v>
          </cell>
          <cell r="J209">
            <v>3559.46</v>
          </cell>
          <cell r="K209">
            <v>0.02</v>
          </cell>
          <cell r="L209">
            <v>0</v>
          </cell>
          <cell r="M209">
            <v>0</v>
          </cell>
          <cell r="N209">
            <v>0</v>
          </cell>
          <cell r="O209">
            <v>26</v>
          </cell>
          <cell r="P209">
            <v>0.35</v>
          </cell>
          <cell r="Q209">
            <v>390</v>
          </cell>
          <cell r="R209">
            <v>867.75</v>
          </cell>
          <cell r="S209">
            <v>0</v>
          </cell>
          <cell r="T209">
            <v>0</v>
          </cell>
        </row>
        <row r="210">
          <cell r="A210">
            <v>528</v>
          </cell>
          <cell r="B210">
            <v>264</v>
          </cell>
          <cell r="C210" t="str">
            <v>CREME DE LEITE CEMIL CX\27X200GR</v>
          </cell>
          <cell r="D210">
            <v>23722.400000000001</v>
          </cell>
          <cell r="E210">
            <v>0.15</v>
          </cell>
          <cell r="F210">
            <v>330</v>
          </cell>
          <cell r="G210">
            <v>0</v>
          </cell>
          <cell r="H210">
            <v>0</v>
          </cell>
          <cell r="I210">
            <v>0</v>
          </cell>
          <cell r="J210">
            <v>23490.5</v>
          </cell>
          <cell r="K210">
            <v>0.1</v>
          </cell>
          <cell r="L210">
            <v>177.78</v>
          </cell>
          <cell r="M210">
            <v>0.1</v>
          </cell>
          <cell r="N210">
            <v>2</v>
          </cell>
          <cell r="O210">
            <v>126</v>
          </cell>
          <cell r="P210">
            <v>1.7</v>
          </cell>
          <cell r="Q210">
            <v>1782</v>
          </cell>
          <cell r="R210">
            <v>1425.6</v>
          </cell>
          <cell r="S210">
            <v>0</v>
          </cell>
          <cell r="T210">
            <v>10.8</v>
          </cell>
        </row>
        <row r="211">
          <cell r="A211">
            <v>435</v>
          </cell>
          <cell r="B211">
            <v>262</v>
          </cell>
          <cell r="C211" t="str">
            <v>ASA FRANGO ENVELOPADA REAL CX\20KG</v>
          </cell>
          <cell r="D211">
            <v>50525.02</v>
          </cell>
          <cell r="E211">
            <v>0.32</v>
          </cell>
          <cell r="F211">
            <v>250</v>
          </cell>
          <cell r="G211">
            <v>0</v>
          </cell>
          <cell r="H211">
            <v>0</v>
          </cell>
          <cell r="I211">
            <v>0</v>
          </cell>
          <cell r="J211">
            <v>64257.2</v>
          </cell>
          <cell r="K211">
            <v>0.28000000000000003</v>
          </cell>
          <cell r="L211">
            <v>0</v>
          </cell>
          <cell r="M211">
            <v>0</v>
          </cell>
          <cell r="N211">
            <v>0</v>
          </cell>
          <cell r="O211">
            <v>113</v>
          </cell>
          <cell r="P211">
            <v>1.52</v>
          </cell>
          <cell r="Q211">
            <v>5000</v>
          </cell>
          <cell r="R211">
            <v>5240</v>
          </cell>
          <cell r="S211">
            <v>0</v>
          </cell>
          <cell r="T211">
            <v>0</v>
          </cell>
        </row>
        <row r="212">
          <cell r="A212">
            <v>521</v>
          </cell>
          <cell r="B212">
            <v>261</v>
          </cell>
          <cell r="C212" t="str">
            <v>COXA SOBRECOXA INTERF FREDINI CX 20KG</v>
          </cell>
          <cell r="D212">
            <v>78819.02</v>
          </cell>
          <cell r="E212">
            <v>0.5</v>
          </cell>
          <cell r="F212">
            <v>650</v>
          </cell>
          <cell r="G212">
            <v>0</v>
          </cell>
          <cell r="H212">
            <v>0</v>
          </cell>
          <cell r="I212">
            <v>0</v>
          </cell>
          <cell r="J212">
            <v>37869.599999999999</v>
          </cell>
          <cell r="K212">
            <v>0.17</v>
          </cell>
          <cell r="L212">
            <v>0</v>
          </cell>
          <cell r="M212">
            <v>0</v>
          </cell>
          <cell r="N212">
            <v>0</v>
          </cell>
          <cell r="O212">
            <v>52</v>
          </cell>
          <cell r="P212">
            <v>0.7</v>
          </cell>
          <cell r="Q212">
            <v>13000</v>
          </cell>
          <cell r="R212">
            <v>5220</v>
          </cell>
          <cell r="S212">
            <v>0</v>
          </cell>
          <cell r="T212">
            <v>0</v>
          </cell>
        </row>
        <row r="213">
          <cell r="A213">
            <v>1605</v>
          </cell>
          <cell r="B213">
            <v>260</v>
          </cell>
          <cell r="C213" t="str">
            <v>GALO GORDO NOROESTE CX/20KG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34385.64</v>
          </cell>
          <cell r="K213">
            <v>0.15</v>
          </cell>
          <cell r="L213">
            <v>0</v>
          </cell>
          <cell r="M213">
            <v>0</v>
          </cell>
          <cell r="N213">
            <v>0</v>
          </cell>
          <cell r="O213">
            <v>136</v>
          </cell>
          <cell r="P213">
            <v>1.83</v>
          </cell>
          <cell r="Q213">
            <v>0</v>
          </cell>
          <cell r="R213">
            <v>5200</v>
          </cell>
          <cell r="S213">
            <v>0</v>
          </cell>
          <cell r="T213">
            <v>0</v>
          </cell>
        </row>
        <row r="214">
          <cell r="A214">
            <v>3169</v>
          </cell>
          <cell r="B214">
            <v>257.72000000000003</v>
          </cell>
          <cell r="C214" t="str">
            <v>MACA PEITO BOVINA CARA BRANCA KG</v>
          </cell>
          <cell r="D214">
            <v>39300.18</v>
          </cell>
          <cell r="E214">
            <v>0.25</v>
          </cell>
          <cell r="F214">
            <v>1150.6500000000001</v>
          </cell>
          <cell r="G214">
            <v>0</v>
          </cell>
          <cell r="H214">
            <v>0</v>
          </cell>
          <cell r="I214">
            <v>0</v>
          </cell>
          <cell r="J214">
            <v>10607.7</v>
          </cell>
          <cell r="K214">
            <v>0.05</v>
          </cell>
          <cell r="L214">
            <v>0</v>
          </cell>
          <cell r="M214">
            <v>0</v>
          </cell>
          <cell r="N214">
            <v>0</v>
          </cell>
          <cell r="O214">
            <v>7</v>
          </cell>
          <cell r="P214">
            <v>0.09</v>
          </cell>
          <cell r="Q214">
            <v>1150.6500000000001</v>
          </cell>
          <cell r="R214">
            <v>257.72000000000003</v>
          </cell>
          <cell r="S214">
            <v>0</v>
          </cell>
          <cell r="T214">
            <v>0</v>
          </cell>
        </row>
        <row r="215">
          <cell r="A215">
            <v>445</v>
          </cell>
          <cell r="B215">
            <v>255</v>
          </cell>
          <cell r="C215" t="str">
            <v>BACON FATIAS REZENDE CX/12X650GR</v>
          </cell>
          <cell r="D215">
            <v>70776.570000000007</v>
          </cell>
          <cell r="E215">
            <v>0.45</v>
          </cell>
          <cell r="F215">
            <v>272</v>
          </cell>
          <cell r="G215">
            <v>0</v>
          </cell>
          <cell r="H215">
            <v>0</v>
          </cell>
          <cell r="I215">
            <v>0</v>
          </cell>
          <cell r="J215">
            <v>82725</v>
          </cell>
          <cell r="K215">
            <v>0.36</v>
          </cell>
          <cell r="L215">
            <v>646.79999999999995</v>
          </cell>
          <cell r="M215">
            <v>0.37</v>
          </cell>
          <cell r="N215">
            <v>2</v>
          </cell>
          <cell r="O215">
            <v>98</v>
          </cell>
          <cell r="P215">
            <v>1.32</v>
          </cell>
          <cell r="Q215">
            <v>2121.6</v>
          </cell>
          <cell r="R215">
            <v>1989</v>
          </cell>
          <cell r="S215">
            <v>0</v>
          </cell>
          <cell r="T215">
            <v>15.6</v>
          </cell>
        </row>
        <row r="216">
          <cell r="A216">
            <v>898</v>
          </cell>
          <cell r="B216">
            <v>255</v>
          </cell>
          <cell r="C216" t="str">
            <v>LING T.CALABRESA LEBON  CX\6X2,5KG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12240.46</v>
          </cell>
          <cell r="K216">
            <v>0.05</v>
          </cell>
          <cell r="L216">
            <v>0</v>
          </cell>
          <cell r="M216">
            <v>0</v>
          </cell>
          <cell r="N216">
            <v>0</v>
          </cell>
          <cell r="O216">
            <v>69</v>
          </cell>
          <cell r="P216">
            <v>0.93</v>
          </cell>
          <cell r="Q216">
            <v>0</v>
          </cell>
          <cell r="R216">
            <v>637.5</v>
          </cell>
          <cell r="S216">
            <v>0</v>
          </cell>
          <cell r="T216">
            <v>0</v>
          </cell>
        </row>
        <row r="217">
          <cell r="A217">
            <v>632</v>
          </cell>
          <cell r="B217">
            <v>255</v>
          </cell>
          <cell r="C217" t="str">
            <v>LOMBO T.CANADENSE GOURMET SEARA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13030.48</v>
          </cell>
          <cell r="K217">
            <v>0.06</v>
          </cell>
          <cell r="L217">
            <v>153.91999999999999</v>
          </cell>
          <cell r="M217">
            <v>0.09</v>
          </cell>
          <cell r="N217">
            <v>3</v>
          </cell>
          <cell r="O217">
            <v>74</v>
          </cell>
          <cell r="P217">
            <v>1</v>
          </cell>
          <cell r="Q217">
            <v>0</v>
          </cell>
          <cell r="R217">
            <v>255</v>
          </cell>
          <cell r="S217">
            <v>0</v>
          </cell>
          <cell r="T217">
            <v>3</v>
          </cell>
        </row>
        <row r="218">
          <cell r="A218">
            <v>3191</v>
          </cell>
          <cell r="B218">
            <v>255</v>
          </cell>
          <cell r="C218" t="str">
            <v>MAIONESE SACHE SALADA 1KG</v>
          </cell>
          <cell r="D218">
            <v>6754.8</v>
          </cell>
          <cell r="E218">
            <v>0.04</v>
          </cell>
          <cell r="F218">
            <v>840</v>
          </cell>
          <cell r="G218">
            <v>0</v>
          </cell>
          <cell r="H218">
            <v>0</v>
          </cell>
          <cell r="I218">
            <v>0</v>
          </cell>
          <cell r="J218">
            <v>2325.6</v>
          </cell>
          <cell r="K218">
            <v>0.01</v>
          </cell>
          <cell r="L218">
            <v>61.2</v>
          </cell>
          <cell r="M218">
            <v>0.04</v>
          </cell>
          <cell r="N218">
            <v>6</v>
          </cell>
          <cell r="O218">
            <v>30</v>
          </cell>
          <cell r="P218">
            <v>0.4</v>
          </cell>
          <cell r="Q218">
            <v>840</v>
          </cell>
          <cell r="R218">
            <v>255</v>
          </cell>
          <cell r="S218">
            <v>0</v>
          </cell>
          <cell r="T218">
            <v>6</v>
          </cell>
        </row>
        <row r="219">
          <cell r="A219">
            <v>653</v>
          </cell>
          <cell r="B219">
            <v>254</v>
          </cell>
          <cell r="C219" t="str">
            <v>MARGARINA DORIANA C\SAL CX\24X250GR 5747</v>
          </cell>
          <cell r="D219">
            <v>25428.48</v>
          </cell>
          <cell r="E219">
            <v>0.16</v>
          </cell>
          <cell r="F219">
            <v>308</v>
          </cell>
          <cell r="G219">
            <v>0</v>
          </cell>
          <cell r="H219">
            <v>0</v>
          </cell>
          <cell r="I219">
            <v>0</v>
          </cell>
          <cell r="J219">
            <v>14943.49</v>
          </cell>
          <cell r="K219">
            <v>7.0000000000000007E-2</v>
          </cell>
          <cell r="L219">
            <v>286.52</v>
          </cell>
          <cell r="M219">
            <v>0.16</v>
          </cell>
          <cell r="N219">
            <v>4</v>
          </cell>
          <cell r="O219">
            <v>144</v>
          </cell>
          <cell r="P219">
            <v>1.94</v>
          </cell>
          <cell r="Q219">
            <v>1848</v>
          </cell>
          <cell r="R219">
            <v>1524</v>
          </cell>
          <cell r="S219">
            <v>0</v>
          </cell>
          <cell r="T219">
            <v>24</v>
          </cell>
        </row>
        <row r="220">
          <cell r="A220">
            <v>476</v>
          </cell>
          <cell r="B220">
            <v>253</v>
          </cell>
          <cell r="C220" t="str">
            <v>BEB.LACTEA MORANGO CEMIL 27X200GR</v>
          </cell>
          <cell r="D220">
            <v>8187.39</v>
          </cell>
          <cell r="E220">
            <v>0.05</v>
          </cell>
          <cell r="F220">
            <v>330</v>
          </cell>
          <cell r="G220">
            <v>0</v>
          </cell>
          <cell r="H220">
            <v>0</v>
          </cell>
          <cell r="I220">
            <v>0</v>
          </cell>
          <cell r="J220">
            <v>7444.1</v>
          </cell>
          <cell r="K220">
            <v>0.03</v>
          </cell>
          <cell r="L220">
            <v>0</v>
          </cell>
          <cell r="M220">
            <v>0</v>
          </cell>
          <cell r="N220">
            <v>0</v>
          </cell>
          <cell r="O220">
            <v>134</v>
          </cell>
          <cell r="P220">
            <v>1.8</v>
          </cell>
          <cell r="Q220">
            <v>1782</v>
          </cell>
          <cell r="R220">
            <v>1366.2</v>
          </cell>
          <cell r="S220">
            <v>0</v>
          </cell>
          <cell r="T220">
            <v>0</v>
          </cell>
        </row>
        <row r="221">
          <cell r="A221">
            <v>571</v>
          </cell>
          <cell r="B221">
            <v>252</v>
          </cell>
          <cell r="C221" t="str">
            <v>IOGURTE TURMA MILK FD/6X850GR</v>
          </cell>
          <cell r="D221">
            <v>8380.3799999999992</v>
          </cell>
          <cell r="E221">
            <v>0.05</v>
          </cell>
          <cell r="F221">
            <v>342</v>
          </cell>
          <cell r="G221">
            <v>0</v>
          </cell>
          <cell r="H221">
            <v>0</v>
          </cell>
          <cell r="I221">
            <v>0</v>
          </cell>
          <cell r="J221">
            <v>7731.71</v>
          </cell>
          <cell r="K221">
            <v>0.03</v>
          </cell>
          <cell r="L221">
            <v>30.38</v>
          </cell>
          <cell r="M221">
            <v>0.02</v>
          </cell>
          <cell r="N221">
            <v>1</v>
          </cell>
          <cell r="O221">
            <v>125</v>
          </cell>
          <cell r="P221">
            <v>1.68</v>
          </cell>
          <cell r="Q221">
            <v>1846.8</v>
          </cell>
          <cell r="R221">
            <v>1360.8</v>
          </cell>
          <cell r="S221">
            <v>0</v>
          </cell>
          <cell r="T221">
            <v>5.4</v>
          </cell>
        </row>
        <row r="222">
          <cell r="A222">
            <v>621</v>
          </cell>
          <cell r="B222">
            <v>251</v>
          </cell>
          <cell r="C222" t="str">
            <v>LING T.CALABRESA RETA REZENDE CX 6X2,5KG</v>
          </cell>
          <cell r="D222">
            <v>7204.5</v>
          </cell>
          <cell r="E222">
            <v>0.05</v>
          </cell>
          <cell r="F222">
            <v>180</v>
          </cell>
          <cell r="G222">
            <v>480.3</v>
          </cell>
          <cell r="H222">
            <v>60.47</v>
          </cell>
          <cell r="I222">
            <v>12</v>
          </cell>
          <cell r="J222">
            <v>10783.68</v>
          </cell>
          <cell r="K222">
            <v>0.05</v>
          </cell>
          <cell r="L222">
            <v>131.22999999999999</v>
          </cell>
          <cell r="M222">
            <v>0.08</v>
          </cell>
          <cell r="N222">
            <v>3</v>
          </cell>
          <cell r="O222">
            <v>141</v>
          </cell>
          <cell r="P222">
            <v>1.9</v>
          </cell>
          <cell r="Q222">
            <v>450</v>
          </cell>
          <cell r="R222">
            <v>627.5</v>
          </cell>
          <cell r="S222">
            <v>30</v>
          </cell>
          <cell r="T222">
            <v>7.5</v>
          </cell>
        </row>
        <row r="223">
          <cell r="A223">
            <v>83</v>
          </cell>
          <cell r="B223">
            <v>248</v>
          </cell>
          <cell r="C223" t="str">
            <v>CARNE BOVINA MOIDA TUDBOM PLENA 24X500G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81525.45</v>
          </cell>
          <cell r="K223">
            <v>0.36</v>
          </cell>
          <cell r="L223">
            <v>984.9</v>
          </cell>
          <cell r="M223">
            <v>0.56999999999999995</v>
          </cell>
          <cell r="N223">
            <v>3</v>
          </cell>
          <cell r="O223">
            <v>200</v>
          </cell>
          <cell r="P223">
            <v>2.69</v>
          </cell>
          <cell r="Q223">
            <v>0</v>
          </cell>
          <cell r="R223">
            <v>2976</v>
          </cell>
          <cell r="S223">
            <v>0</v>
          </cell>
          <cell r="T223">
            <v>36</v>
          </cell>
        </row>
        <row r="224">
          <cell r="A224">
            <v>47</v>
          </cell>
          <cell r="B224">
            <v>247</v>
          </cell>
          <cell r="C224" t="str">
            <v>FILE PEITO BANDEJA AURORA CX12X1KG</v>
          </cell>
          <cell r="D224">
            <v>206640</v>
          </cell>
          <cell r="E224">
            <v>1.32</v>
          </cell>
          <cell r="F224">
            <v>1200</v>
          </cell>
          <cell r="G224">
            <v>0</v>
          </cell>
          <cell r="H224">
            <v>0</v>
          </cell>
          <cell r="I224">
            <v>0</v>
          </cell>
          <cell r="J224">
            <v>50528.37</v>
          </cell>
          <cell r="K224">
            <v>0.22</v>
          </cell>
          <cell r="L224">
            <v>203.94</v>
          </cell>
          <cell r="M224">
            <v>0.12</v>
          </cell>
          <cell r="N224">
            <v>1</v>
          </cell>
          <cell r="O224">
            <v>167</v>
          </cell>
          <cell r="P224">
            <v>2.25</v>
          </cell>
          <cell r="Q224">
            <v>14400</v>
          </cell>
          <cell r="R224">
            <v>2964</v>
          </cell>
          <cell r="S224">
            <v>0</v>
          </cell>
          <cell r="T224">
            <v>12</v>
          </cell>
        </row>
        <row r="225">
          <cell r="A225">
            <v>3124</v>
          </cell>
          <cell r="B225">
            <v>247</v>
          </cell>
          <cell r="C225" t="str">
            <v>REQUEIJAO CHEDDAR BISNAGA SCALA 1,5KG</v>
          </cell>
          <cell r="D225">
            <v>3201.88</v>
          </cell>
          <cell r="E225">
            <v>0.02</v>
          </cell>
          <cell r="F225">
            <v>60</v>
          </cell>
          <cell r="G225">
            <v>0</v>
          </cell>
          <cell r="H225">
            <v>0</v>
          </cell>
          <cell r="I225">
            <v>0</v>
          </cell>
          <cell r="J225">
            <v>15609.44</v>
          </cell>
          <cell r="K225">
            <v>7.0000000000000007E-2</v>
          </cell>
          <cell r="L225">
            <v>378.88</v>
          </cell>
          <cell r="M225">
            <v>0.22</v>
          </cell>
          <cell r="N225">
            <v>6</v>
          </cell>
          <cell r="O225">
            <v>75</v>
          </cell>
          <cell r="P225">
            <v>1.01</v>
          </cell>
          <cell r="Q225">
            <v>90</v>
          </cell>
          <cell r="R225">
            <v>370.5</v>
          </cell>
          <cell r="S225">
            <v>0</v>
          </cell>
          <cell r="T225">
            <v>9</v>
          </cell>
        </row>
        <row r="226">
          <cell r="A226">
            <v>1776</v>
          </cell>
          <cell r="B226">
            <v>245</v>
          </cell>
          <cell r="C226" t="str">
            <v>ASA FRANGO ENVELOPADA ATALAIA CX\20KG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60720.9</v>
          </cell>
          <cell r="K226">
            <v>0.26</v>
          </cell>
          <cell r="L226">
            <v>249.9</v>
          </cell>
          <cell r="M226">
            <v>0.14000000000000001</v>
          </cell>
          <cell r="N226">
            <v>1</v>
          </cell>
          <cell r="O226">
            <v>91</v>
          </cell>
          <cell r="P226">
            <v>1.23</v>
          </cell>
          <cell r="Q226">
            <v>0</v>
          </cell>
          <cell r="R226">
            <v>4900</v>
          </cell>
          <cell r="S226">
            <v>0</v>
          </cell>
          <cell r="T226">
            <v>20</v>
          </cell>
        </row>
        <row r="227">
          <cell r="A227">
            <v>372</v>
          </cell>
          <cell r="B227">
            <v>245</v>
          </cell>
          <cell r="C227" t="str">
            <v>LING FRANGO RIVELLI CX\20X1KG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62290.8</v>
          </cell>
          <cell r="K227">
            <v>0.27</v>
          </cell>
          <cell r="L227">
            <v>769.6</v>
          </cell>
          <cell r="M227">
            <v>0.44</v>
          </cell>
          <cell r="N227">
            <v>3</v>
          </cell>
          <cell r="O227">
            <v>169</v>
          </cell>
          <cell r="P227">
            <v>2.2799999999999998</v>
          </cell>
          <cell r="Q227">
            <v>0</v>
          </cell>
          <cell r="R227">
            <v>4900</v>
          </cell>
          <cell r="S227">
            <v>0</v>
          </cell>
          <cell r="T227">
            <v>60</v>
          </cell>
        </row>
        <row r="228">
          <cell r="A228">
            <v>240</v>
          </cell>
          <cell r="B228">
            <v>244</v>
          </cell>
          <cell r="C228" t="str">
            <v>LING SUINA PIF PAF CX\12X1KG</v>
          </cell>
          <cell r="D228">
            <v>34973.760000000002</v>
          </cell>
          <cell r="E228">
            <v>0.22</v>
          </cell>
          <cell r="F228">
            <v>200</v>
          </cell>
          <cell r="G228">
            <v>0</v>
          </cell>
          <cell r="H228">
            <v>0</v>
          </cell>
          <cell r="I228">
            <v>0</v>
          </cell>
          <cell r="J228">
            <v>53101.62</v>
          </cell>
          <cell r="K228">
            <v>0.23</v>
          </cell>
          <cell r="L228">
            <v>655.62</v>
          </cell>
          <cell r="M228">
            <v>0.38</v>
          </cell>
          <cell r="N228">
            <v>3</v>
          </cell>
          <cell r="O228">
            <v>131</v>
          </cell>
          <cell r="P228">
            <v>1.76</v>
          </cell>
          <cell r="Q228">
            <v>2400</v>
          </cell>
          <cell r="R228">
            <v>2928</v>
          </cell>
          <cell r="S228">
            <v>0</v>
          </cell>
          <cell r="T228">
            <v>36</v>
          </cell>
        </row>
        <row r="229">
          <cell r="A229">
            <v>4191</v>
          </cell>
          <cell r="B229">
            <v>242</v>
          </cell>
          <cell r="C229" t="str">
            <v>LING CHURRASCO LEBON 32X600GR</v>
          </cell>
          <cell r="D229">
            <v>168892.79999999999</v>
          </cell>
          <cell r="E229">
            <v>1.08</v>
          </cell>
          <cell r="F229">
            <v>730</v>
          </cell>
          <cell r="G229">
            <v>0</v>
          </cell>
          <cell r="H229">
            <v>0</v>
          </cell>
          <cell r="I229">
            <v>0</v>
          </cell>
          <cell r="J229">
            <v>64737.55</v>
          </cell>
          <cell r="K229">
            <v>0.28000000000000003</v>
          </cell>
          <cell r="L229">
            <v>271.75</v>
          </cell>
          <cell r="M229">
            <v>0.16</v>
          </cell>
          <cell r="N229">
            <v>1</v>
          </cell>
          <cell r="O229">
            <v>173</v>
          </cell>
          <cell r="P229">
            <v>2.33</v>
          </cell>
          <cell r="Q229">
            <v>14016</v>
          </cell>
          <cell r="R229">
            <v>4646.3999999999996</v>
          </cell>
          <cell r="S229">
            <v>0</v>
          </cell>
          <cell r="T229">
            <v>19.2</v>
          </cell>
        </row>
        <row r="230">
          <cell r="A230">
            <v>747</v>
          </cell>
          <cell r="B230">
            <v>234</v>
          </cell>
          <cell r="C230" t="str">
            <v>SUCO NECTAR UVA TIAL CX\24X200ML</v>
          </cell>
          <cell r="D230">
            <v>24131.52</v>
          </cell>
          <cell r="E230">
            <v>0.15</v>
          </cell>
          <cell r="F230">
            <v>756</v>
          </cell>
          <cell r="G230">
            <v>0</v>
          </cell>
          <cell r="H230">
            <v>0</v>
          </cell>
          <cell r="I230">
            <v>0</v>
          </cell>
          <cell r="J230">
            <v>8974.68</v>
          </cell>
          <cell r="K230">
            <v>0.04</v>
          </cell>
          <cell r="L230">
            <v>76.44</v>
          </cell>
          <cell r="M230">
            <v>0.04</v>
          </cell>
          <cell r="N230">
            <v>2</v>
          </cell>
          <cell r="O230">
            <v>145</v>
          </cell>
          <cell r="P230">
            <v>1.95</v>
          </cell>
          <cell r="Q230">
            <v>3628.8</v>
          </cell>
          <cell r="R230">
            <v>1123.2</v>
          </cell>
          <cell r="S230">
            <v>0</v>
          </cell>
          <cell r="T230">
            <v>9.6</v>
          </cell>
        </row>
        <row r="231">
          <cell r="A231">
            <v>261</v>
          </cell>
          <cell r="B231">
            <v>232</v>
          </cell>
          <cell r="C231" t="str">
            <v>SALAME ITALIANO PEQUENO SEARA GOURMET</v>
          </cell>
          <cell r="D231">
            <v>2743.61</v>
          </cell>
          <cell r="E231">
            <v>0.02</v>
          </cell>
          <cell r="F231">
            <v>150</v>
          </cell>
          <cell r="G231">
            <v>0</v>
          </cell>
          <cell r="H231">
            <v>0</v>
          </cell>
          <cell r="I231">
            <v>0</v>
          </cell>
          <cell r="J231">
            <v>4589.8500000000004</v>
          </cell>
          <cell r="K231">
            <v>0.02</v>
          </cell>
          <cell r="L231">
            <v>98</v>
          </cell>
          <cell r="M231">
            <v>0.06</v>
          </cell>
          <cell r="N231">
            <v>4</v>
          </cell>
          <cell r="O231">
            <v>93</v>
          </cell>
          <cell r="P231">
            <v>1.25</v>
          </cell>
          <cell r="Q231">
            <v>60</v>
          </cell>
          <cell r="R231">
            <v>92.8</v>
          </cell>
          <cell r="S231">
            <v>0</v>
          </cell>
          <cell r="T231">
            <v>1.6</v>
          </cell>
        </row>
        <row r="232">
          <cell r="A232">
            <v>1480</v>
          </cell>
          <cell r="B232">
            <v>231</v>
          </cell>
          <cell r="C232" t="str">
            <v>FILE TILAPIA  INTER. PESCA NOBRE CX/5KG</v>
          </cell>
          <cell r="D232">
            <v>45756</v>
          </cell>
          <cell r="E232">
            <v>0.28999999999999998</v>
          </cell>
          <cell r="F232">
            <v>240</v>
          </cell>
          <cell r="G232">
            <v>0</v>
          </cell>
          <cell r="H232">
            <v>0</v>
          </cell>
          <cell r="I232">
            <v>0</v>
          </cell>
          <cell r="J232">
            <v>52117.440000000002</v>
          </cell>
          <cell r="K232">
            <v>0.23</v>
          </cell>
          <cell r="L232">
            <v>685.02</v>
          </cell>
          <cell r="M232">
            <v>0.39</v>
          </cell>
          <cell r="N232">
            <v>3</v>
          </cell>
          <cell r="O232">
            <v>61</v>
          </cell>
          <cell r="P232">
            <v>0.82</v>
          </cell>
          <cell r="Q232">
            <v>1200</v>
          </cell>
          <cell r="R232">
            <v>1155</v>
          </cell>
          <cell r="S232">
            <v>0</v>
          </cell>
          <cell r="T232">
            <v>15</v>
          </cell>
        </row>
        <row r="233">
          <cell r="A233">
            <v>646</v>
          </cell>
          <cell r="B233">
            <v>229</v>
          </cell>
          <cell r="C233" t="str">
            <v>MARGARINA DELICATA CS CX/12X500GR 998518</v>
          </cell>
          <cell r="D233">
            <v>25225.200000000001</v>
          </cell>
          <cell r="E233">
            <v>0.16</v>
          </cell>
          <cell r="F233">
            <v>462</v>
          </cell>
          <cell r="G233">
            <v>0</v>
          </cell>
          <cell r="H233">
            <v>0</v>
          </cell>
          <cell r="I233">
            <v>0</v>
          </cell>
          <cell r="J233">
            <v>13547.82</v>
          </cell>
          <cell r="K233">
            <v>0.06</v>
          </cell>
          <cell r="L233">
            <v>242.1</v>
          </cell>
          <cell r="M233">
            <v>0.14000000000000001</v>
          </cell>
          <cell r="N233">
            <v>4</v>
          </cell>
          <cell r="O233">
            <v>123</v>
          </cell>
          <cell r="P233">
            <v>1.66</v>
          </cell>
          <cell r="Q233">
            <v>2772</v>
          </cell>
          <cell r="R233">
            <v>1374</v>
          </cell>
          <cell r="S233">
            <v>0</v>
          </cell>
          <cell r="T233">
            <v>24</v>
          </cell>
        </row>
        <row r="234">
          <cell r="A234">
            <v>375</v>
          </cell>
          <cell r="B234">
            <v>228</v>
          </cell>
          <cell r="C234" t="str">
            <v>LING FRANGO FINA RIVELLI CX\15X1KG</v>
          </cell>
          <cell r="D234">
            <v>26783.62</v>
          </cell>
          <cell r="E234">
            <v>0.17</v>
          </cell>
          <cell r="F234">
            <v>153</v>
          </cell>
          <cell r="G234">
            <v>0</v>
          </cell>
          <cell r="H234">
            <v>0</v>
          </cell>
          <cell r="I234">
            <v>0</v>
          </cell>
          <cell r="J234">
            <v>48488.01</v>
          </cell>
          <cell r="K234">
            <v>0.21</v>
          </cell>
          <cell r="L234">
            <v>209.72</v>
          </cell>
          <cell r="M234">
            <v>0.12</v>
          </cell>
          <cell r="N234">
            <v>1</v>
          </cell>
          <cell r="O234">
            <v>161</v>
          </cell>
          <cell r="P234">
            <v>2.17</v>
          </cell>
          <cell r="Q234">
            <v>2295</v>
          </cell>
          <cell r="R234">
            <v>3420</v>
          </cell>
          <cell r="S234">
            <v>0</v>
          </cell>
          <cell r="T234">
            <v>15</v>
          </cell>
        </row>
        <row r="235">
          <cell r="A235">
            <v>3128</v>
          </cell>
          <cell r="B235">
            <v>227</v>
          </cell>
          <cell r="C235" t="str">
            <v>REQUEIJAO COPO SCALA CX/12X200GR</v>
          </cell>
          <cell r="D235">
            <v>6818.82</v>
          </cell>
          <cell r="E235">
            <v>0.04</v>
          </cell>
          <cell r="F235">
            <v>100</v>
          </cell>
          <cell r="G235">
            <v>0</v>
          </cell>
          <cell r="H235">
            <v>0</v>
          </cell>
          <cell r="I235">
            <v>0</v>
          </cell>
          <cell r="J235">
            <v>20403.29</v>
          </cell>
          <cell r="K235">
            <v>0.09</v>
          </cell>
          <cell r="L235">
            <v>276.89</v>
          </cell>
          <cell r="M235">
            <v>0.16</v>
          </cell>
          <cell r="N235">
            <v>3</v>
          </cell>
          <cell r="O235">
            <v>184</v>
          </cell>
          <cell r="P235">
            <v>2.48</v>
          </cell>
          <cell r="Q235">
            <v>240</v>
          </cell>
          <cell r="R235">
            <v>544.79999999999995</v>
          </cell>
          <cell r="S235">
            <v>0</v>
          </cell>
          <cell r="T235">
            <v>7.2</v>
          </cell>
        </row>
        <row r="236">
          <cell r="A236">
            <v>973</v>
          </cell>
          <cell r="B236">
            <v>224</v>
          </cell>
          <cell r="C236" t="str">
            <v>KETCHUP GALAO DAJUDA 3,5KG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6619</v>
          </cell>
          <cell r="K236">
            <v>0.03</v>
          </cell>
          <cell r="L236">
            <v>29.3</v>
          </cell>
          <cell r="M236">
            <v>0.02</v>
          </cell>
          <cell r="N236">
            <v>1</v>
          </cell>
          <cell r="O236">
            <v>73</v>
          </cell>
          <cell r="P236">
            <v>0.98</v>
          </cell>
          <cell r="Q236">
            <v>0</v>
          </cell>
          <cell r="R236">
            <v>672</v>
          </cell>
          <cell r="S236">
            <v>0</v>
          </cell>
          <cell r="T236">
            <v>3</v>
          </cell>
        </row>
        <row r="237">
          <cell r="A237">
            <v>171</v>
          </cell>
          <cell r="B237">
            <v>219</v>
          </cell>
          <cell r="C237" t="str">
            <v>MAIONESE HELLMANNS CX\12X500G</v>
          </cell>
          <cell r="D237">
            <v>47340</v>
          </cell>
          <cell r="E237">
            <v>0.3</v>
          </cell>
          <cell r="F237">
            <v>500</v>
          </cell>
          <cell r="G237">
            <v>0</v>
          </cell>
          <cell r="H237">
            <v>0</v>
          </cell>
          <cell r="I237">
            <v>0</v>
          </cell>
          <cell r="J237">
            <v>25020.53</v>
          </cell>
          <cell r="K237">
            <v>0.11</v>
          </cell>
          <cell r="L237">
            <v>230.26</v>
          </cell>
          <cell r="M237">
            <v>0.13</v>
          </cell>
          <cell r="N237">
            <v>2</v>
          </cell>
          <cell r="O237">
            <v>150</v>
          </cell>
          <cell r="P237">
            <v>2.02</v>
          </cell>
          <cell r="Q237">
            <v>3000</v>
          </cell>
          <cell r="R237">
            <v>1314</v>
          </cell>
          <cell r="S237">
            <v>0</v>
          </cell>
          <cell r="T237">
            <v>12</v>
          </cell>
        </row>
        <row r="238">
          <cell r="A238">
            <v>59</v>
          </cell>
          <cell r="B238">
            <v>219</v>
          </cell>
          <cell r="C238" t="str">
            <v>PEITO FRANGO INTERF.FREDINI CX/20KG</v>
          </cell>
          <cell r="D238">
            <v>35367.51</v>
          </cell>
          <cell r="E238">
            <v>0.23</v>
          </cell>
          <cell r="F238">
            <v>250</v>
          </cell>
          <cell r="G238">
            <v>0</v>
          </cell>
          <cell r="H238">
            <v>0</v>
          </cell>
          <cell r="I238">
            <v>0</v>
          </cell>
          <cell r="J238">
            <v>38329.4</v>
          </cell>
          <cell r="K238">
            <v>0.17</v>
          </cell>
          <cell r="L238">
            <v>521.54999999999995</v>
          </cell>
          <cell r="M238">
            <v>0.3</v>
          </cell>
          <cell r="N238">
            <v>3</v>
          </cell>
          <cell r="O238">
            <v>38</v>
          </cell>
          <cell r="P238">
            <v>0.51</v>
          </cell>
          <cell r="Q238">
            <v>5000</v>
          </cell>
          <cell r="R238">
            <v>4380</v>
          </cell>
          <cell r="S238">
            <v>0</v>
          </cell>
          <cell r="T238">
            <v>60</v>
          </cell>
        </row>
        <row r="239">
          <cell r="A239">
            <v>2006</v>
          </cell>
          <cell r="B239">
            <v>218.96</v>
          </cell>
          <cell r="C239" t="str">
            <v>PATINHO BOVINO FRIGODIAS KG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8516.67</v>
          </cell>
          <cell r="K239">
            <v>0.04</v>
          </cell>
          <cell r="L239">
            <v>0</v>
          </cell>
          <cell r="M239">
            <v>0</v>
          </cell>
          <cell r="N239">
            <v>0</v>
          </cell>
          <cell r="O239">
            <v>6</v>
          </cell>
          <cell r="P239">
            <v>0.08</v>
          </cell>
          <cell r="Q239">
            <v>0</v>
          </cell>
          <cell r="R239">
            <v>218.96</v>
          </cell>
          <cell r="S239">
            <v>0</v>
          </cell>
          <cell r="T239">
            <v>0</v>
          </cell>
        </row>
        <row r="240">
          <cell r="A240">
            <v>461</v>
          </cell>
          <cell r="B240">
            <v>217</v>
          </cell>
          <cell r="C240" t="str">
            <v>BATATA P.FRITA QUALITY FRIES CX\10X1,050KG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28242.87</v>
          </cell>
          <cell r="K240">
            <v>0.12</v>
          </cell>
          <cell r="L240">
            <v>0</v>
          </cell>
          <cell r="M240">
            <v>0</v>
          </cell>
          <cell r="N240">
            <v>0</v>
          </cell>
          <cell r="O240">
            <v>150</v>
          </cell>
          <cell r="P240">
            <v>2.02</v>
          </cell>
          <cell r="Q240">
            <v>0</v>
          </cell>
          <cell r="R240">
            <v>2278.5</v>
          </cell>
          <cell r="S240">
            <v>0</v>
          </cell>
          <cell r="T240">
            <v>0</v>
          </cell>
        </row>
        <row r="241">
          <cell r="A241">
            <v>364</v>
          </cell>
          <cell r="B241">
            <v>217</v>
          </cell>
          <cell r="C241" t="str">
            <v>MARGARINA QUALY CX\24X250GR 500731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24942.44</v>
          </cell>
          <cell r="K241">
            <v>0.11</v>
          </cell>
          <cell r="L241">
            <v>460.2</v>
          </cell>
          <cell r="M241">
            <v>0.26</v>
          </cell>
          <cell r="N241">
            <v>4</v>
          </cell>
          <cell r="O241">
            <v>177</v>
          </cell>
          <cell r="P241">
            <v>2.38</v>
          </cell>
          <cell r="Q241">
            <v>0</v>
          </cell>
          <cell r="R241">
            <v>1302</v>
          </cell>
          <cell r="S241">
            <v>0</v>
          </cell>
          <cell r="T241">
            <v>24</v>
          </cell>
        </row>
        <row r="242">
          <cell r="A242">
            <v>326</v>
          </cell>
          <cell r="B242">
            <v>217</v>
          </cell>
          <cell r="C242" t="str">
            <v>SACOLA RECICLADA BRANCA 50X60 PCT 5KG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14899.5</v>
          </cell>
          <cell r="K242">
            <v>0.06</v>
          </cell>
          <cell r="L242">
            <v>207.2</v>
          </cell>
          <cell r="M242">
            <v>0.12</v>
          </cell>
          <cell r="N242">
            <v>3</v>
          </cell>
          <cell r="O242">
            <v>98</v>
          </cell>
          <cell r="P242">
            <v>1.32</v>
          </cell>
          <cell r="Q242">
            <v>0</v>
          </cell>
          <cell r="R242">
            <v>1085</v>
          </cell>
          <cell r="S242">
            <v>0</v>
          </cell>
          <cell r="T242">
            <v>15</v>
          </cell>
        </row>
        <row r="243">
          <cell r="A243">
            <v>2920</v>
          </cell>
          <cell r="B243">
            <v>216</v>
          </cell>
          <cell r="C243" t="str">
            <v>MILHO VERDE LT PREDILECTA CX\24X170KG</v>
          </cell>
          <cell r="D243">
            <v>14903.36</v>
          </cell>
          <cell r="E243">
            <v>0.1</v>
          </cell>
          <cell r="F243">
            <v>270</v>
          </cell>
          <cell r="G243">
            <v>0</v>
          </cell>
          <cell r="H243">
            <v>0</v>
          </cell>
          <cell r="I243">
            <v>0</v>
          </cell>
          <cell r="J243">
            <v>14018.98</v>
          </cell>
          <cell r="K243">
            <v>0.06</v>
          </cell>
          <cell r="L243">
            <v>131.80000000000001</v>
          </cell>
          <cell r="M243">
            <v>0.08</v>
          </cell>
          <cell r="N243">
            <v>2</v>
          </cell>
          <cell r="O243">
            <v>123</v>
          </cell>
          <cell r="P243">
            <v>1.66</v>
          </cell>
          <cell r="Q243">
            <v>1890</v>
          </cell>
          <cell r="R243">
            <v>1512</v>
          </cell>
          <cell r="S243">
            <v>0</v>
          </cell>
          <cell r="T243">
            <v>14</v>
          </cell>
        </row>
        <row r="244">
          <cell r="A244">
            <v>1604</v>
          </cell>
          <cell r="B244">
            <v>213</v>
          </cell>
          <cell r="C244" t="str">
            <v>GALINHA GORDA NOROESTE CX/20KG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34377.93</v>
          </cell>
          <cell r="K244">
            <v>0.15</v>
          </cell>
          <cell r="L244">
            <v>0</v>
          </cell>
          <cell r="M244">
            <v>0</v>
          </cell>
          <cell r="N244">
            <v>0</v>
          </cell>
          <cell r="O244">
            <v>129</v>
          </cell>
          <cell r="P244">
            <v>1.74</v>
          </cell>
          <cell r="Q244">
            <v>0</v>
          </cell>
          <cell r="R244">
            <v>4260</v>
          </cell>
          <cell r="S244">
            <v>0</v>
          </cell>
          <cell r="T244">
            <v>0</v>
          </cell>
        </row>
        <row r="245">
          <cell r="A245">
            <v>731</v>
          </cell>
          <cell r="B245">
            <v>213</v>
          </cell>
          <cell r="C245" t="str">
            <v>SPETTIN FRANGO PIF PAF CX\3KG</v>
          </cell>
          <cell r="D245">
            <v>13050.62</v>
          </cell>
          <cell r="E245">
            <v>0.08</v>
          </cell>
          <cell r="F245">
            <v>200</v>
          </cell>
          <cell r="G245">
            <v>0</v>
          </cell>
          <cell r="H245">
            <v>0</v>
          </cell>
          <cell r="I245">
            <v>0</v>
          </cell>
          <cell r="J245">
            <v>16073.56</v>
          </cell>
          <cell r="K245">
            <v>7.0000000000000007E-2</v>
          </cell>
          <cell r="L245">
            <v>0</v>
          </cell>
          <cell r="M245">
            <v>0</v>
          </cell>
          <cell r="N245">
            <v>0</v>
          </cell>
          <cell r="O245">
            <v>46</v>
          </cell>
          <cell r="P245">
            <v>0.62</v>
          </cell>
          <cell r="Q245">
            <v>600</v>
          </cell>
          <cell r="R245">
            <v>639</v>
          </cell>
          <cell r="S245">
            <v>0</v>
          </cell>
          <cell r="T245">
            <v>0</v>
          </cell>
        </row>
        <row r="246">
          <cell r="A246">
            <v>907</v>
          </cell>
          <cell r="B246">
            <v>212</v>
          </cell>
          <cell r="C246" t="str">
            <v>PRESUNTO LEBON OVAL 3,400</v>
          </cell>
          <cell r="D246">
            <v>44654.67</v>
          </cell>
          <cell r="E246">
            <v>0.28999999999999998</v>
          </cell>
          <cell r="F246">
            <v>694</v>
          </cell>
          <cell r="G246">
            <v>0</v>
          </cell>
          <cell r="H246">
            <v>0</v>
          </cell>
          <cell r="I246">
            <v>0</v>
          </cell>
          <cell r="J246">
            <v>15695.59</v>
          </cell>
          <cell r="K246">
            <v>7.0000000000000007E-2</v>
          </cell>
          <cell r="L246">
            <v>74.48</v>
          </cell>
          <cell r="M246">
            <v>0.04</v>
          </cell>
          <cell r="N246">
            <v>1</v>
          </cell>
          <cell r="O246">
            <v>77</v>
          </cell>
          <cell r="P246">
            <v>1.04</v>
          </cell>
          <cell r="Q246">
            <v>2359.6</v>
          </cell>
          <cell r="R246">
            <v>720.8</v>
          </cell>
          <cell r="S246">
            <v>0</v>
          </cell>
          <cell r="T246">
            <v>3.4</v>
          </cell>
        </row>
        <row r="247">
          <cell r="A247">
            <v>585</v>
          </cell>
          <cell r="B247">
            <v>208</v>
          </cell>
          <cell r="C247" t="str">
            <v>LANCHE LEBON CX\6X2,5KG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6570.24</v>
          </cell>
          <cell r="K247">
            <v>0.03</v>
          </cell>
          <cell r="L247">
            <v>0</v>
          </cell>
          <cell r="M247">
            <v>0</v>
          </cell>
          <cell r="N247">
            <v>0</v>
          </cell>
          <cell r="O247">
            <v>37</v>
          </cell>
          <cell r="P247">
            <v>0.5</v>
          </cell>
          <cell r="Q247">
            <v>0</v>
          </cell>
          <cell r="R247">
            <v>520</v>
          </cell>
          <cell r="S247">
            <v>0</v>
          </cell>
          <cell r="T247">
            <v>0</v>
          </cell>
        </row>
        <row r="248">
          <cell r="A248">
            <v>570</v>
          </cell>
          <cell r="B248">
            <v>205</v>
          </cell>
          <cell r="C248" t="str">
            <v>IOGURTE TURMA MILK FD/12X450GR</v>
          </cell>
          <cell r="D248">
            <v>5822.16</v>
          </cell>
          <cell r="E248">
            <v>0.04</v>
          </cell>
          <cell r="F248">
            <v>216</v>
          </cell>
          <cell r="G248">
            <v>0</v>
          </cell>
          <cell r="H248">
            <v>0</v>
          </cell>
          <cell r="I248">
            <v>0</v>
          </cell>
          <cell r="J248">
            <v>6892.82</v>
          </cell>
          <cell r="K248">
            <v>0.03</v>
          </cell>
          <cell r="L248">
            <v>0</v>
          </cell>
          <cell r="M248">
            <v>0</v>
          </cell>
          <cell r="N248">
            <v>0</v>
          </cell>
          <cell r="O248">
            <v>126</v>
          </cell>
          <cell r="P248">
            <v>1.7</v>
          </cell>
          <cell r="Q248">
            <v>1166.4000000000001</v>
          </cell>
          <cell r="R248">
            <v>1107</v>
          </cell>
          <cell r="S248">
            <v>0</v>
          </cell>
          <cell r="T248">
            <v>0</v>
          </cell>
        </row>
        <row r="249">
          <cell r="A249">
            <v>724</v>
          </cell>
          <cell r="B249">
            <v>203</v>
          </cell>
          <cell r="C249" t="str">
            <v>SALSICHA DEFUMADA SEARA CX\6X3KG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4809.6000000000004</v>
          </cell>
          <cell r="K249">
            <v>0.02</v>
          </cell>
          <cell r="L249">
            <v>0</v>
          </cell>
          <cell r="M249">
            <v>0</v>
          </cell>
          <cell r="N249">
            <v>0</v>
          </cell>
          <cell r="O249">
            <v>20</v>
          </cell>
          <cell r="P249">
            <v>0.27</v>
          </cell>
          <cell r="Q249">
            <v>0</v>
          </cell>
          <cell r="R249">
            <v>609</v>
          </cell>
          <cell r="S249">
            <v>0</v>
          </cell>
          <cell r="T249">
            <v>0</v>
          </cell>
        </row>
        <row r="250">
          <cell r="A250">
            <v>715</v>
          </cell>
          <cell r="B250">
            <v>201</v>
          </cell>
          <cell r="C250" t="str">
            <v>PRESUNTO SEARA FATIADO CX/22X180GR</v>
          </cell>
          <cell r="D250">
            <v>13796.64</v>
          </cell>
          <cell r="E250">
            <v>0.09</v>
          </cell>
          <cell r="F250">
            <v>100</v>
          </cell>
          <cell r="G250">
            <v>0</v>
          </cell>
          <cell r="H250">
            <v>0</v>
          </cell>
          <cell r="I250">
            <v>0</v>
          </cell>
          <cell r="J250">
            <v>33019.24</v>
          </cell>
          <cell r="K250">
            <v>0.14000000000000001</v>
          </cell>
          <cell r="L250">
            <v>327.32</v>
          </cell>
          <cell r="M250">
            <v>0.19</v>
          </cell>
          <cell r="N250">
            <v>2</v>
          </cell>
          <cell r="O250">
            <v>140</v>
          </cell>
          <cell r="P250">
            <v>1.89</v>
          </cell>
          <cell r="Q250">
            <v>396</v>
          </cell>
          <cell r="R250">
            <v>795.96</v>
          </cell>
          <cell r="S250">
            <v>0</v>
          </cell>
          <cell r="T250">
            <v>7.92</v>
          </cell>
        </row>
        <row r="251">
          <cell r="A251">
            <v>942</v>
          </cell>
          <cell r="B251">
            <v>200</v>
          </cell>
          <cell r="C251" t="str">
            <v>BATATA P.FRITA BOBS FININHA CX\10X1,05KG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34707.46</v>
          </cell>
          <cell r="K251">
            <v>0.15</v>
          </cell>
          <cell r="L251">
            <v>0</v>
          </cell>
          <cell r="M251">
            <v>0</v>
          </cell>
          <cell r="N251">
            <v>0</v>
          </cell>
          <cell r="O251">
            <v>71</v>
          </cell>
          <cell r="P251">
            <v>0.96</v>
          </cell>
          <cell r="Q251">
            <v>0</v>
          </cell>
          <cell r="R251">
            <v>2100</v>
          </cell>
          <cell r="S251">
            <v>0</v>
          </cell>
          <cell r="T251">
            <v>0</v>
          </cell>
        </row>
        <row r="252">
          <cell r="A252">
            <v>165</v>
          </cell>
          <cell r="B252">
            <v>200</v>
          </cell>
          <cell r="C252" t="str">
            <v>SARDINHA NAUTIQUE MOLHO CX/25X125GR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21546.45</v>
          </cell>
          <cell r="K252">
            <v>0.09</v>
          </cell>
          <cell r="L252">
            <v>216.91</v>
          </cell>
          <cell r="M252">
            <v>0.12</v>
          </cell>
          <cell r="N252">
            <v>2</v>
          </cell>
          <cell r="O252">
            <v>156</v>
          </cell>
          <cell r="P252">
            <v>2.1</v>
          </cell>
          <cell r="Q252">
            <v>0</v>
          </cell>
          <cell r="R252">
            <v>1300</v>
          </cell>
          <cell r="S252">
            <v>0</v>
          </cell>
          <cell r="T252">
            <v>13</v>
          </cell>
        </row>
        <row r="253">
          <cell r="A253">
            <v>35</v>
          </cell>
          <cell r="B253">
            <v>198</v>
          </cell>
          <cell r="C253" t="str">
            <v>MOELA DE FRANGO BANDEJA RIVELLI CX12X1KG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33976.25</v>
          </cell>
          <cell r="K253">
            <v>0.15</v>
          </cell>
          <cell r="L253">
            <v>0</v>
          </cell>
          <cell r="M253">
            <v>0</v>
          </cell>
          <cell r="N253">
            <v>0</v>
          </cell>
          <cell r="O253">
            <v>157</v>
          </cell>
          <cell r="P253">
            <v>2.11</v>
          </cell>
          <cell r="Q253">
            <v>0</v>
          </cell>
          <cell r="R253">
            <v>2376</v>
          </cell>
          <cell r="S253">
            <v>0</v>
          </cell>
          <cell r="T253">
            <v>0</v>
          </cell>
        </row>
        <row r="254">
          <cell r="A254">
            <v>2363</v>
          </cell>
          <cell r="B254">
            <v>195</v>
          </cell>
          <cell r="C254" t="str">
            <v>FILE PEITO BANDEJA PIF PAF CX/12X1KG</v>
          </cell>
          <cell r="D254">
            <v>27871.62</v>
          </cell>
          <cell r="E254">
            <v>0.18</v>
          </cell>
          <cell r="F254">
            <v>150</v>
          </cell>
          <cell r="G254">
            <v>0</v>
          </cell>
          <cell r="H254">
            <v>0</v>
          </cell>
          <cell r="I254">
            <v>0</v>
          </cell>
          <cell r="J254">
            <v>42868.28</v>
          </cell>
          <cell r="K254">
            <v>0.19</v>
          </cell>
          <cell r="L254">
            <v>1553.09</v>
          </cell>
          <cell r="M254">
            <v>0.89</v>
          </cell>
          <cell r="N254">
            <v>7</v>
          </cell>
          <cell r="O254">
            <v>113</v>
          </cell>
          <cell r="P254">
            <v>1.52</v>
          </cell>
          <cell r="Q254">
            <v>1800</v>
          </cell>
          <cell r="R254">
            <v>2340</v>
          </cell>
          <cell r="S254">
            <v>0</v>
          </cell>
          <cell r="T254">
            <v>84</v>
          </cell>
        </row>
        <row r="255">
          <cell r="A255">
            <v>44</v>
          </cell>
          <cell r="B255">
            <v>194</v>
          </cell>
          <cell r="C255" t="str">
            <v>FRANGO PASSARINHO TEMP.RIVELLI CX/18KG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31872.68</v>
          </cell>
          <cell r="K255">
            <v>0.14000000000000001</v>
          </cell>
          <cell r="L255">
            <v>163.66</v>
          </cell>
          <cell r="M255">
            <v>0.09</v>
          </cell>
          <cell r="N255">
            <v>1</v>
          </cell>
          <cell r="O255">
            <v>112</v>
          </cell>
          <cell r="P255">
            <v>1.51</v>
          </cell>
          <cell r="Q255">
            <v>0</v>
          </cell>
          <cell r="R255">
            <v>3492</v>
          </cell>
          <cell r="S255">
            <v>0</v>
          </cell>
          <cell r="T255">
            <v>18</v>
          </cell>
        </row>
        <row r="256">
          <cell r="A256">
            <v>183</v>
          </cell>
          <cell r="B256">
            <v>193</v>
          </cell>
          <cell r="C256" t="str">
            <v>MOLHO BARBECUE GALAO DAJUDA 3,6KG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4948.84</v>
          </cell>
          <cell r="K256">
            <v>0.02</v>
          </cell>
          <cell r="L256">
            <v>25.48</v>
          </cell>
          <cell r="M256">
            <v>0.01</v>
          </cell>
          <cell r="N256">
            <v>1</v>
          </cell>
          <cell r="O256">
            <v>48</v>
          </cell>
          <cell r="P256">
            <v>0.65</v>
          </cell>
          <cell r="Q256">
            <v>0</v>
          </cell>
          <cell r="R256">
            <v>694.8</v>
          </cell>
          <cell r="S256">
            <v>0</v>
          </cell>
          <cell r="T256">
            <v>3.6</v>
          </cell>
        </row>
        <row r="257">
          <cell r="A257">
            <v>713</v>
          </cell>
          <cell r="B257">
            <v>193</v>
          </cell>
          <cell r="C257" t="str">
            <v>PRESUNTO RETANGULAR PIF PAF 3,8KG</v>
          </cell>
          <cell r="D257">
            <v>20188.919999999998</v>
          </cell>
          <cell r="E257">
            <v>0.13</v>
          </cell>
          <cell r="F257">
            <v>354</v>
          </cell>
          <cell r="G257">
            <v>0</v>
          </cell>
          <cell r="H257">
            <v>0</v>
          </cell>
          <cell r="I257">
            <v>0</v>
          </cell>
          <cell r="J257">
            <v>13348.53</v>
          </cell>
          <cell r="K257">
            <v>0.06</v>
          </cell>
          <cell r="L257">
            <v>0</v>
          </cell>
          <cell r="M257">
            <v>0</v>
          </cell>
          <cell r="N257">
            <v>0</v>
          </cell>
          <cell r="O257">
            <v>81</v>
          </cell>
          <cell r="P257">
            <v>1.0900000000000001</v>
          </cell>
          <cell r="Q257">
            <v>1345.2</v>
          </cell>
          <cell r="R257">
            <v>733.4</v>
          </cell>
          <cell r="S257">
            <v>0</v>
          </cell>
          <cell r="T257">
            <v>0</v>
          </cell>
        </row>
        <row r="258">
          <cell r="A258">
            <v>251</v>
          </cell>
          <cell r="B258">
            <v>192</v>
          </cell>
          <cell r="C258" t="str">
            <v>STEAK RECHEADO PRESUNTO\QUEIJO SEARA CX\25X110GR</v>
          </cell>
          <cell r="D258">
            <v>15136</v>
          </cell>
          <cell r="E258">
            <v>0.1</v>
          </cell>
          <cell r="F258">
            <v>200</v>
          </cell>
          <cell r="G258">
            <v>0</v>
          </cell>
          <cell r="H258">
            <v>0</v>
          </cell>
          <cell r="I258">
            <v>0</v>
          </cell>
          <cell r="J258">
            <v>17067.96</v>
          </cell>
          <cell r="K258">
            <v>7.0000000000000007E-2</v>
          </cell>
          <cell r="L258">
            <v>87.22</v>
          </cell>
          <cell r="M258">
            <v>0.05</v>
          </cell>
          <cell r="N258">
            <v>1</v>
          </cell>
          <cell r="O258">
            <v>114</v>
          </cell>
          <cell r="P258">
            <v>1.54</v>
          </cell>
          <cell r="Q258">
            <v>550</v>
          </cell>
          <cell r="R258">
            <v>528</v>
          </cell>
          <cell r="S258">
            <v>0</v>
          </cell>
          <cell r="T258">
            <v>2.75</v>
          </cell>
        </row>
        <row r="259">
          <cell r="A259">
            <v>2275</v>
          </cell>
          <cell r="B259">
            <v>191</v>
          </cell>
          <cell r="C259" t="str">
            <v>CARNE BOVINA MOIDA FRIGODIAS 12X1KG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50449.93</v>
          </cell>
          <cell r="K259">
            <v>0.22</v>
          </cell>
          <cell r="L259">
            <v>527.82000000000005</v>
          </cell>
          <cell r="M259">
            <v>0.3</v>
          </cell>
          <cell r="N259">
            <v>2</v>
          </cell>
          <cell r="O259">
            <v>61</v>
          </cell>
          <cell r="P259">
            <v>0.82</v>
          </cell>
          <cell r="Q259">
            <v>0</v>
          </cell>
          <cell r="R259">
            <v>2292</v>
          </cell>
          <cell r="S259">
            <v>0</v>
          </cell>
          <cell r="T259">
            <v>24</v>
          </cell>
        </row>
        <row r="260">
          <cell r="A260">
            <v>3848</v>
          </cell>
          <cell r="B260">
            <v>190</v>
          </cell>
          <cell r="C260" t="str">
            <v>CREME DE LEITE IBITURUNA CX\27X200GR</v>
          </cell>
          <cell r="D260">
            <v>10557.32</v>
          </cell>
          <cell r="E260">
            <v>7.0000000000000007E-2</v>
          </cell>
          <cell r="F260">
            <v>180</v>
          </cell>
          <cell r="G260">
            <v>0</v>
          </cell>
          <cell r="H260">
            <v>0</v>
          </cell>
          <cell r="I260">
            <v>0</v>
          </cell>
          <cell r="J260">
            <v>13842.44</v>
          </cell>
          <cell r="K260">
            <v>0.06</v>
          </cell>
          <cell r="L260">
            <v>290.08</v>
          </cell>
          <cell r="M260">
            <v>0.17</v>
          </cell>
          <cell r="N260">
            <v>4</v>
          </cell>
          <cell r="O260">
            <v>116</v>
          </cell>
          <cell r="P260">
            <v>1.56</v>
          </cell>
          <cell r="Q260">
            <v>972</v>
          </cell>
          <cell r="R260">
            <v>1026</v>
          </cell>
          <cell r="S260">
            <v>0</v>
          </cell>
          <cell r="T260">
            <v>21.6</v>
          </cell>
        </row>
        <row r="261">
          <cell r="A261">
            <v>3568</v>
          </cell>
          <cell r="B261">
            <v>188</v>
          </cell>
          <cell r="C261" t="str">
            <v>COXINHA DA ASA ENVEL LAR CX 20KG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39084.86</v>
          </cell>
          <cell r="K261">
            <v>0.17</v>
          </cell>
          <cell r="L261">
            <v>632.05999999999995</v>
          </cell>
          <cell r="M261">
            <v>0.36</v>
          </cell>
          <cell r="N261">
            <v>3</v>
          </cell>
          <cell r="O261">
            <v>108</v>
          </cell>
          <cell r="P261">
            <v>1.45</v>
          </cell>
          <cell r="Q261">
            <v>0</v>
          </cell>
          <cell r="R261">
            <v>3760</v>
          </cell>
          <cell r="S261">
            <v>0</v>
          </cell>
          <cell r="T261">
            <v>60</v>
          </cell>
        </row>
        <row r="262">
          <cell r="A262">
            <v>170</v>
          </cell>
          <cell r="B262">
            <v>186</v>
          </cell>
          <cell r="C262" t="str">
            <v>MAIONESE BOX DAJUDA 3KG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5050.1000000000004</v>
          </cell>
          <cell r="K262">
            <v>0.02</v>
          </cell>
          <cell r="L262">
            <v>0</v>
          </cell>
          <cell r="M262">
            <v>0</v>
          </cell>
          <cell r="N262">
            <v>0</v>
          </cell>
          <cell r="O262">
            <v>43</v>
          </cell>
          <cell r="P262">
            <v>0.57999999999999996</v>
          </cell>
          <cell r="Q262">
            <v>0</v>
          </cell>
          <cell r="R262">
            <v>558</v>
          </cell>
          <cell r="S262">
            <v>0</v>
          </cell>
          <cell r="T262">
            <v>0</v>
          </cell>
        </row>
        <row r="263">
          <cell r="A263">
            <v>3030</v>
          </cell>
          <cell r="B263">
            <v>185</v>
          </cell>
          <cell r="C263" t="str">
            <v>PAO DE QUEIJO TRADICIONAL FORNERIA CX\8X1KG</v>
          </cell>
          <cell r="D263">
            <v>22775.54</v>
          </cell>
          <cell r="E263">
            <v>0.15</v>
          </cell>
          <cell r="F263">
            <v>200</v>
          </cell>
          <cell r="G263">
            <v>0</v>
          </cell>
          <cell r="H263">
            <v>0</v>
          </cell>
          <cell r="I263">
            <v>0</v>
          </cell>
          <cell r="J263">
            <v>25925.439999999999</v>
          </cell>
          <cell r="K263">
            <v>0.11</v>
          </cell>
          <cell r="L263">
            <v>422.53</v>
          </cell>
          <cell r="M263">
            <v>0.24</v>
          </cell>
          <cell r="N263">
            <v>3</v>
          </cell>
          <cell r="O263">
            <v>120</v>
          </cell>
          <cell r="P263">
            <v>1.62</v>
          </cell>
          <cell r="Q263">
            <v>1600</v>
          </cell>
          <cell r="R263">
            <v>1480</v>
          </cell>
          <cell r="S263">
            <v>0</v>
          </cell>
          <cell r="T263">
            <v>24</v>
          </cell>
        </row>
        <row r="264">
          <cell r="A264">
            <v>189</v>
          </cell>
          <cell r="B264">
            <v>184</v>
          </cell>
          <cell r="C264" t="str">
            <v>EXTRATO TOMATE COPO OLE CX/12X260G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7274.26</v>
          </cell>
          <cell r="K264">
            <v>0.03</v>
          </cell>
          <cell r="L264">
            <v>39.49</v>
          </cell>
          <cell r="M264">
            <v>0.02</v>
          </cell>
          <cell r="N264">
            <v>1</v>
          </cell>
          <cell r="O264">
            <v>107</v>
          </cell>
          <cell r="P264">
            <v>1.44</v>
          </cell>
          <cell r="Q264">
            <v>0</v>
          </cell>
          <cell r="R264">
            <v>828</v>
          </cell>
          <cell r="S264">
            <v>0</v>
          </cell>
          <cell r="T264">
            <v>4.5</v>
          </cell>
        </row>
        <row r="265">
          <cell r="A265">
            <v>514</v>
          </cell>
          <cell r="B265">
            <v>183</v>
          </cell>
          <cell r="C265" t="str">
            <v>COXA INTERFOLHADA PIF PAF CX/20KG</v>
          </cell>
          <cell r="D265">
            <v>72756.02</v>
          </cell>
          <cell r="E265">
            <v>0.47</v>
          </cell>
          <cell r="F265">
            <v>600</v>
          </cell>
          <cell r="G265">
            <v>0</v>
          </cell>
          <cell r="H265">
            <v>0</v>
          </cell>
          <cell r="I265">
            <v>0</v>
          </cell>
          <cell r="J265">
            <v>26004.79</v>
          </cell>
          <cell r="K265">
            <v>0.11</v>
          </cell>
          <cell r="L265">
            <v>145.87</v>
          </cell>
          <cell r="M265">
            <v>0.08</v>
          </cell>
          <cell r="N265">
            <v>1</v>
          </cell>
          <cell r="O265">
            <v>59</v>
          </cell>
          <cell r="P265">
            <v>0.79</v>
          </cell>
          <cell r="Q265">
            <v>12000</v>
          </cell>
          <cell r="R265">
            <v>3660</v>
          </cell>
          <cell r="S265">
            <v>0</v>
          </cell>
          <cell r="T265">
            <v>20</v>
          </cell>
        </row>
        <row r="266">
          <cell r="A266">
            <v>4257</v>
          </cell>
          <cell r="B266">
            <v>182.02</v>
          </cell>
          <cell r="C266" t="str">
            <v>FIGADO BOVINO HIPERCARNES KG</v>
          </cell>
          <cell r="D266">
            <v>34974.85</v>
          </cell>
          <cell r="E266">
            <v>0.22</v>
          </cell>
          <cell r="F266">
            <v>3175.36</v>
          </cell>
          <cell r="G266">
            <v>0</v>
          </cell>
          <cell r="H266">
            <v>0</v>
          </cell>
          <cell r="I266">
            <v>0</v>
          </cell>
          <cell r="J266">
            <v>2675.69</v>
          </cell>
          <cell r="K266">
            <v>0.01</v>
          </cell>
          <cell r="L266">
            <v>0</v>
          </cell>
          <cell r="M266">
            <v>0</v>
          </cell>
          <cell r="N266">
            <v>0</v>
          </cell>
          <cell r="O266">
            <v>7</v>
          </cell>
          <cell r="P266">
            <v>0.09</v>
          </cell>
          <cell r="Q266">
            <v>3175.36</v>
          </cell>
          <cell r="R266">
            <v>182.02</v>
          </cell>
          <cell r="S266">
            <v>0</v>
          </cell>
          <cell r="T266">
            <v>0</v>
          </cell>
        </row>
        <row r="267">
          <cell r="A267">
            <v>577</v>
          </cell>
          <cell r="B267">
            <v>181</v>
          </cell>
          <cell r="C267" t="str">
            <v>IOGURTE YOGUEDES FD\60X110ML</v>
          </cell>
          <cell r="D267">
            <v>7157.61</v>
          </cell>
          <cell r="E267">
            <v>0.05</v>
          </cell>
          <cell r="F267">
            <v>230</v>
          </cell>
          <cell r="G267">
            <v>0</v>
          </cell>
          <cell r="H267">
            <v>0</v>
          </cell>
          <cell r="I267">
            <v>0</v>
          </cell>
          <cell r="J267">
            <v>6959.16</v>
          </cell>
          <cell r="K267">
            <v>0.03</v>
          </cell>
          <cell r="L267">
            <v>76.44</v>
          </cell>
          <cell r="M267">
            <v>0.04</v>
          </cell>
          <cell r="N267">
            <v>2</v>
          </cell>
          <cell r="O267">
            <v>104</v>
          </cell>
          <cell r="P267">
            <v>1.4</v>
          </cell>
          <cell r="Q267">
            <v>1518</v>
          </cell>
          <cell r="R267">
            <v>1194.5999999999999</v>
          </cell>
          <cell r="S267">
            <v>0</v>
          </cell>
          <cell r="T267">
            <v>13.2</v>
          </cell>
        </row>
        <row r="268">
          <cell r="A268">
            <v>4003</v>
          </cell>
          <cell r="B268">
            <v>181</v>
          </cell>
          <cell r="C268" t="str">
            <v>KIT FEIJOADA DUPORCO CX\8X1KG</v>
          </cell>
          <cell r="D268">
            <v>23796.75</v>
          </cell>
          <cell r="E268">
            <v>0.15</v>
          </cell>
          <cell r="F268">
            <v>161</v>
          </cell>
          <cell r="G268">
            <v>0</v>
          </cell>
          <cell r="H268">
            <v>0</v>
          </cell>
          <cell r="I268">
            <v>0</v>
          </cell>
          <cell r="J268">
            <v>34712</v>
          </cell>
          <cell r="K268">
            <v>0.15</v>
          </cell>
          <cell r="L268">
            <v>392</v>
          </cell>
          <cell r="M268">
            <v>0.23</v>
          </cell>
          <cell r="N268">
            <v>2</v>
          </cell>
          <cell r="O268">
            <v>101</v>
          </cell>
          <cell r="P268">
            <v>1.36</v>
          </cell>
          <cell r="Q268">
            <v>1288</v>
          </cell>
          <cell r="R268">
            <v>1448</v>
          </cell>
          <cell r="S268">
            <v>0</v>
          </cell>
          <cell r="T268">
            <v>16</v>
          </cell>
        </row>
        <row r="269">
          <cell r="A269">
            <v>757</v>
          </cell>
          <cell r="B269">
            <v>181</v>
          </cell>
          <cell r="C269" t="str">
            <v>TORRESMO UAI DAS GERAIS FD\5X200G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12112.16</v>
          </cell>
          <cell r="K269">
            <v>0.05</v>
          </cell>
          <cell r="L269">
            <v>133.28</v>
          </cell>
          <cell r="M269">
            <v>0.08</v>
          </cell>
          <cell r="N269">
            <v>2</v>
          </cell>
          <cell r="O269">
            <v>73</v>
          </cell>
          <cell r="P269">
            <v>0.98</v>
          </cell>
          <cell r="Q269">
            <v>0</v>
          </cell>
          <cell r="R269">
            <v>181</v>
          </cell>
          <cell r="S269">
            <v>0</v>
          </cell>
          <cell r="T269">
            <v>2</v>
          </cell>
        </row>
        <row r="270">
          <cell r="A270">
            <v>2453</v>
          </cell>
          <cell r="B270">
            <v>180</v>
          </cell>
          <cell r="C270" t="str">
            <v>COXINHA DA ASA IQF RIVELLI CX 20X800GR</v>
          </cell>
          <cell r="D270">
            <v>55779.62</v>
          </cell>
          <cell r="E270">
            <v>0.36</v>
          </cell>
          <cell r="F270">
            <v>375</v>
          </cell>
          <cell r="G270">
            <v>0</v>
          </cell>
          <cell r="H270">
            <v>0</v>
          </cell>
          <cell r="I270">
            <v>0</v>
          </cell>
          <cell r="J270">
            <v>35772.67</v>
          </cell>
          <cell r="K270">
            <v>0.16</v>
          </cell>
          <cell r="L270">
            <v>597.12</v>
          </cell>
          <cell r="M270">
            <v>0.34</v>
          </cell>
          <cell r="N270">
            <v>3</v>
          </cell>
          <cell r="O270">
            <v>129</v>
          </cell>
          <cell r="P270">
            <v>1.74</v>
          </cell>
          <cell r="Q270">
            <v>6000</v>
          </cell>
          <cell r="R270">
            <v>2880</v>
          </cell>
          <cell r="S270">
            <v>0</v>
          </cell>
          <cell r="T270">
            <v>48</v>
          </cell>
        </row>
        <row r="271">
          <cell r="A271">
            <v>603</v>
          </cell>
          <cell r="B271">
            <v>180</v>
          </cell>
          <cell r="C271" t="str">
            <v>LEVISSIMO SEARA 3,450KG</v>
          </cell>
          <cell r="D271">
            <v>14342.18</v>
          </cell>
          <cell r="E271">
            <v>0.09</v>
          </cell>
          <cell r="F271">
            <v>188</v>
          </cell>
          <cell r="G271">
            <v>0</v>
          </cell>
          <cell r="H271">
            <v>0</v>
          </cell>
          <cell r="I271">
            <v>0</v>
          </cell>
          <cell r="J271">
            <v>15433.97</v>
          </cell>
          <cell r="K271">
            <v>7.0000000000000007E-2</v>
          </cell>
          <cell r="L271">
            <v>184.62</v>
          </cell>
          <cell r="M271">
            <v>0.11</v>
          </cell>
          <cell r="N271">
            <v>2</v>
          </cell>
          <cell r="O271">
            <v>23</v>
          </cell>
          <cell r="P271">
            <v>0.31</v>
          </cell>
          <cell r="Q271">
            <v>648.6</v>
          </cell>
          <cell r="R271">
            <v>621</v>
          </cell>
          <cell r="S271">
            <v>0</v>
          </cell>
          <cell r="T271">
            <v>6.9</v>
          </cell>
        </row>
        <row r="272">
          <cell r="A272">
            <v>775</v>
          </cell>
          <cell r="B272">
            <v>179</v>
          </cell>
          <cell r="C272" t="str">
            <v>APRESUNTADO AURORA 3,7 KG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13736.54</v>
          </cell>
          <cell r="K272">
            <v>0.06</v>
          </cell>
          <cell r="L272">
            <v>0</v>
          </cell>
          <cell r="M272">
            <v>0</v>
          </cell>
          <cell r="N272">
            <v>0</v>
          </cell>
          <cell r="O272">
            <v>37</v>
          </cell>
          <cell r="P272">
            <v>0.5</v>
          </cell>
          <cell r="Q272">
            <v>0</v>
          </cell>
          <cell r="R272">
            <v>662.3</v>
          </cell>
          <cell r="S272">
            <v>0</v>
          </cell>
          <cell r="T272">
            <v>0</v>
          </cell>
        </row>
        <row r="273">
          <cell r="A273">
            <v>579</v>
          </cell>
          <cell r="B273">
            <v>179</v>
          </cell>
          <cell r="C273" t="str">
            <v>IOGURTE YOGUEDES PETIT SUISSE  CX\12</v>
          </cell>
          <cell r="D273">
            <v>10814.65</v>
          </cell>
          <cell r="E273">
            <v>7.0000000000000007E-2</v>
          </cell>
          <cell r="F273">
            <v>200</v>
          </cell>
          <cell r="G273">
            <v>0</v>
          </cell>
          <cell r="H273">
            <v>0</v>
          </cell>
          <cell r="I273">
            <v>0</v>
          </cell>
          <cell r="J273">
            <v>11637.12</v>
          </cell>
          <cell r="K273">
            <v>0.05</v>
          </cell>
          <cell r="L273">
            <v>64.680000000000007</v>
          </cell>
          <cell r="M273">
            <v>0.04</v>
          </cell>
          <cell r="N273">
            <v>1</v>
          </cell>
          <cell r="O273">
            <v>112</v>
          </cell>
          <cell r="P273">
            <v>1.51</v>
          </cell>
          <cell r="Q273">
            <v>1300</v>
          </cell>
          <cell r="R273">
            <v>1163.5</v>
          </cell>
          <cell r="S273">
            <v>0</v>
          </cell>
          <cell r="T273">
            <v>6.5</v>
          </cell>
        </row>
        <row r="274">
          <cell r="A274">
            <v>339</v>
          </cell>
          <cell r="B274">
            <v>175.18</v>
          </cell>
          <cell r="C274" t="str">
            <v>QUEIJO PARMESAO CUNHA CRISTAULAT KG</v>
          </cell>
          <cell r="D274">
            <v>12018.5</v>
          </cell>
          <cell r="E274">
            <v>0.08</v>
          </cell>
          <cell r="F274">
            <v>241.14</v>
          </cell>
          <cell r="G274">
            <v>0</v>
          </cell>
          <cell r="H274">
            <v>0</v>
          </cell>
          <cell r="I274">
            <v>0</v>
          </cell>
          <cell r="J274">
            <v>10003.84</v>
          </cell>
          <cell r="K274">
            <v>0.04</v>
          </cell>
          <cell r="L274">
            <v>0</v>
          </cell>
          <cell r="M274">
            <v>0</v>
          </cell>
          <cell r="N274">
            <v>0</v>
          </cell>
          <cell r="O274">
            <v>27</v>
          </cell>
          <cell r="P274">
            <v>0.36</v>
          </cell>
          <cell r="Q274">
            <v>241.14</v>
          </cell>
          <cell r="R274">
            <v>175.18</v>
          </cell>
          <cell r="S274">
            <v>0</v>
          </cell>
          <cell r="T274">
            <v>0</v>
          </cell>
        </row>
        <row r="275">
          <cell r="A275">
            <v>4297</v>
          </cell>
          <cell r="B275">
            <v>175.13</v>
          </cell>
          <cell r="C275" t="str">
            <v>FIGADO BOVINO CONGELADO CRUZEIRO DO SUL KG</v>
          </cell>
          <cell r="D275">
            <v>30812.6</v>
          </cell>
          <cell r="E275">
            <v>0.2</v>
          </cell>
          <cell r="F275">
            <v>2904.04</v>
          </cell>
          <cell r="G275">
            <v>0</v>
          </cell>
          <cell r="H275">
            <v>0</v>
          </cell>
          <cell r="I275">
            <v>0</v>
          </cell>
          <cell r="J275">
            <v>2331</v>
          </cell>
          <cell r="K275">
            <v>0.01</v>
          </cell>
          <cell r="L275">
            <v>0</v>
          </cell>
          <cell r="M275">
            <v>0</v>
          </cell>
          <cell r="N275">
            <v>0</v>
          </cell>
          <cell r="O275">
            <v>8</v>
          </cell>
          <cell r="P275">
            <v>0.11</v>
          </cell>
          <cell r="Q275">
            <v>2904.04</v>
          </cell>
          <cell r="R275">
            <v>175.13</v>
          </cell>
          <cell r="S275">
            <v>0</v>
          </cell>
          <cell r="T275">
            <v>0</v>
          </cell>
        </row>
        <row r="276">
          <cell r="A276">
            <v>342</v>
          </cell>
          <cell r="B276">
            <v>174.23</v>
          </cell>
          <cell r="C276" t="str">
            <v>QUEIJO MINAS FRACIONADO CRISTAULAT KG</v>
          </cell>
          <cell r="D276">
            <v>19720.64</v>
          </cell>
          <cell r="E276">
            <v>0.13</v>
          </cell>
          <cell r="F276">
            <v>455.2</v>
          </cell>
          <cell r="G276">
            <v>0</v>
          </cell>
          <cell r="H276">
            <v>0</v>
          </cell>
          <cell r="I276">
            <v>0</v>
          </cell>
          <cell r="J276">
            <v>7716.17</v>
          </cell>
          <cell r="K276">
            <v>0.03</v>
          </cell>
          <cell r="L276">
            <v>208.89</v>
          </cell>
          <cell r="M276">
            <v>0.12</v>
          </cell>
          <cell r="N276">
            <v>4.3499999999999996</v>
          </cell>
          <cell r="O276">
            <v>35</v>
          </cell>
          <cell r="P276">
            <v>0.47</v>
          </cell>
          <cell r="Q276">
            <v>455.2</v>
          </cell>
          <cell r="R276">
            <v>174.23</v>
          </cell>
          <cell r="S276">
            <v>0</v>
          </cell>
          <cell r="T276">
            <v>4.3499999999999996</v>
          </cell>
        </row>
        <row r="277">
          <cell r="A277">
            <v>3054</v>
          </cell>
          <cell r="B277">
            <v>174</v>
          </cell>
          <cell r="C277" t="str">
            <v>CREME CULINARIO DAMARE 27X200G</v>
          </cell>
          <cell r="D277">
            <v>15795</v>
          </cell>
          <cell r="E277">
            <v>0.1</v>
          </cell>
          <cell r="F277">
            <v>390</v>
          </cell>
          <cell r="G277">
            <v>0</v>
          </cell>
          <cell r="H277">
            <v>0</v>
          </cell>
          <cell r="I277">
            <v>0</v>
          </cell>
          <cell r="J277">
            <v>7969.36</v>
          </cell>
          <cell r="K277">
            <v>0.03</v>
          </cell>
          <cell r="L277">
            <v>137.29</v>
          </cell>
          <cell r="M277">
            <v>0.08</v>
          </cell>
          <cell r="N277">
            <v>3</v>
          </cell>
          <cell r="O277">
            <v>51</v>
          </cell>
          <cell r="P277">
            <v>0.69</v>
          </cell>
          <cell r="Q277">
            <v>2106</v>
          </cell>
          <cell r="R277">
            <v>939.6</v>
          </cell>
          <cell r="S277">
            <v>0</v>
          </cell>
          <cell r="T277">
            <v>16.2</v>
          </cell>
        </row>
        <row r="278">
          <cell r="A278">
            <v>448</v>
          </cell>
          <cell r="B278">
            <v>173.82</v>
          </cell>
          <cell r="C278" t="str">
            <v>BACON PALETA SEARA KG</v>
          </cell>
          <cell r="D278">
            <v>6756.02</v>
          </cell>
          <cell r="E278">
            <v>0.04</v>
          </cell>
          <cell r="F278">
            <v>263.29000000000002</v>
          </cell>
          <cell r="G278">
            <v>0</v>
          </cell>
          <cell r="H278">
            <v>0</v>
          </cell>
          <cell r="I278">
            <v>0</v>
          </cell>
          <cell r="J278">
            <v>3875.01</v>
          </cell>
          <cell r="K278">
            <v>0.02</v>
          </cell>
          <cell r="L278">
            <v>0</v>
          </cell>
          <cell r="M278">
            <v>0</v>
          </cell>
          <cell r="N278">
            <v>0</v>
          </cell>
          <cell r="O278">
            <v>10</v>
          </cell>
          <cell r="P278">
            <v>0.13</v>
          </cell>
          <cell r="Q278">
            <v>263.29000000000002</v>
          </cell>
          <cell r="R278">
            <v>173.82</v>
          </cell>
          <cell r="S278">
            <v>0</v>
          </cell>
          <cell r="T278">
            <v>0</v>
          </cell>
        </row>
        <row r="279">
          <cell r="A279">
            <v>232</v>
          </cell>
          <cell r="B279">
            <v>173</v>
          </cell>
          <cell r="C279" t="str">
            <v>LING FRANGO RIVELLI CX\4X5KG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10408.32</v>
          </cell>
          <cell r="K279">
            <v>0.05</v>
          </cell>
          <cell r="L279">
            <v>179.34</v>
          </cell>
          <cell r="M279">
            <v>0.1</v>
          </cell>
          <cell r="N279">
            <v>3</v>
          </cell>
          <cell r="O279">
            <v>28</v>
          </cell>
          <cell r="P279">
            <v>0.38</v>
          </cell>
          <cell r="Q279">
            <v>0</v>
          </cell>
          <cell r="R279">
            <v>865</v>
          </cell>
          <cell r="S279">
            <v>0</v>
          </cell>
          <cell r="T279">
            <v>15</v>
          </cell>
        </row>
        <row r="280">
          <cell r="A280">
            <v>12</v>
          </cell>
          <cell r="B280">
            <v>172</v>
          </cell>
          <cell r="C280" t="str">
            <v>LEITE UHT DESNATADO PIRACANJUBA CX\12 LT</v>
          </cell>
          <cell r="D280">
            <v>17522.400000000001</v>
          </cell>
          <cell r="E280">
            <v>0.11</v>
          </cell>
          <cell r="F280">
            <v>298</v>
          </cell>
          <cell r="G280">
            <v>0</v>
          </cell>
          <cell r="H280">
            <v>0</v>
          </cell>
          <cell r="I280">
            <v>0</v>
          </cell>
          <cell r="J280">
            <v>11849.9</v>
          </cell>
          <cell r="K280">
            <v>0.05</v>
          </cell>
          <cell r="L280">
            <v>267.44</v>
          </cell>
          <cell r="M280">
            <v>0.15</v>
          </cell>
          <cell r="N280">
            <v>4</v>
          </cell>
          <cell r="O280">
            <v>94</v>
          </cell>
          <cell r="P280">
            <v>1.27</v>
          </cell>
          <cell r="Q280">
            <v>3576</v>
          </cell>
          <cell r="R280">
            <v>2064</v>
          </cell>
          <cell r="S280">
            <v>0</v>
          </cell>
          <cell r="T280">
            <v>48</v>
          </cell>
        </row>
        <row r="281">
          <cell r="A281">
            <v>3118</v>
          </cell>
          <cell r="B281">
            <v>170.45</v>
          </cell>
          <cell r="C281" t="str">
            <v>TOUCINHO SUINO ADEEL KG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2842.15</v>
          </cell>
          <cell r="K281">
            <v>0.01</v>
          </cell>
          <cell r="L281">
            <v>323.41000000000003</v>
          </cell>
          <cell r="M281">
            <v>0.19</v>
          </cell>
          <cell r="N281">
            <v>19.47</v>
          </cell>
          <cell r="O281">
            <v>7</v>
          </cell>
          <cell r="P281">
            <v>0.09</v>
          </cell>
          <cell r="Q281">
            <v>0</v>
          </cell>
          <cell r="R281">
            <v>170.45</v>
          </cell>
          <cell r="S281">
            <v>0</v>
          </cell>
          <cell r="T281">
            <v>19.47</v>
          </cell>
        </row>
        <row r="282">
          <cell r="A282">
            <v>654</v>
          </cell>
          <cell r="B282">
            <v>170</v>
          </cell>
          <cell r="C282" t="str">
            <v>MARGARINA DORIANA C\SAL CX\12X1KG 56868</v>
          </cell>
          <cell r="D282">
            <v>31305.599999999999</v>
          </cell>
          <cell r="E282">
            <v>0.2</v>
          </cell>
          <cell r="F282">
            <v>240</v>
          </cell>
          <cell r="G282">
            <v>0</v>
          </cell>
          <cell r="H282">
            <v>0</v>
          </cell>
          <cell r="I282">
            <v>0</v>
          </cell>
          <cell r="J282">
            <v>18480.22</v>
          </cell>
          <cell r="K282">
            <v>0.08</v>
          </cell>
          <cell r="L282">
            <v>0</v>
          </cell>
          <cell r="M282">
            <v>0</v>
          </cell>
          <cell r="N282">
            <v>0</v>
          </cell>
          <cell r="O282">
            <v>70</v>
          </cell>
          <cell r="P282">
            <v>0.94</v>
          </cell>
          <cell r="Q282">
            <v>2880</v>
          </cell>
          <cell r="R282">
            <v>2040</v>
          </cell>
          <cell r="S282">
            <v>0</v>
          </cell>
          <cell r="T282">
            <v>0</v>
          </cell>
        </row>
        <row r="283">
          <cell r="A283">
            <v>771</v>
          </cell>
          <cell r="B283">
            <v>169</v>
          </cell>
          <cell r="C283" t="str">
            <v>LEITE UHT ZERO LACTOSE PIRACANJUBA CX\12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11863.18</v>
          </cell>
          <cell r="K283">
            <v>0.05</v>
          </cell>
          <cell r="L283">
            <v>70.900000000000006</v>
          </cell>
          <cell r="M283">
            <v>0.04</v>
          </cell>
          <cell r="N283">
            <v>1</v>
          </cell>
          <cell r="O283">
            <v>66</v>
          </cell>
          <cell r="P283">
            <v>0.89</v>
          </cell>
          <cell r="Q283">
            <v>0</v>
          </cell>
          <cell r="R283">
            <v>2028</v>
          </cell>
          <cell r="S283">
            <v>0</v>
          </cell>
          <cell r="T283">
            <v>12</v>
          </cell>
        </row>
        <row r="284">
          <cell r="A284">
            <v>1058</v>
          </cell>
          <cell r="B284">
            <v>165</v>
          </cell>
          <cell r="C284" t="str">
            <v>LING T.CALABRESA RETA REZENDE FS 6X2,5KG</v>
          </cell>
          <cell r="D284">
            <v>7321.5</v>
          </cell>
          <cell r="E284">
            <v>0.05</v>
          </cell>
          <cell r="F284">
            <v>180</v>
          </cell>
          <cell r="G284">
            <v>0</v>
          </cell>
          <cell r="H284">
            <v>0</v>
          </cell>
          <cell r="I284">
            <v>0</v>
          </cell>
          <cell r="J284">
            <v>7752.51</v>
          </cell>
          <cell r="K284">
            <v>0.03</v>
          </cell>
          <cell r="L284">
            <v>140.41</v>
          </cell>
          <cell r="M284">
            <v>0.08</v>
          </cell>
          <cell r="N284">
            <v>3</v>
          </cell>
          <cell r="O284">
            <v>72</v>
          </cell>
          <cell r="P284">
            <v>0.97</v>
          </cell>
          <cell r="Q284">
            <v>450</v>
          </cell>
          <cell r="R284">
            <v>412.5</v>
          </cell>
          <cell r="S284">
            <v>0</v>
          </cell>
          <cell r="T284">
            <v>7.5</v>
          </cell>
        </row>
        <row r="285">
          <cell r="A285">
            <v>379</v>
          </cell>
          <cell r="B285">
            <v>164</v>
          </cell>
          <cell r="C285" t="str">
            <v>CARNE BOVINA MOIDA TUDBOM PLENA 15X1KG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67375.199999999997</v>
          </cell>
          <cell r="K285">
            <v>0.28999999999999998</v>
          </cell>
          <cell r="L285">
            <v>2053.1</v>
          </cell>
          <cell r="M285">
            <v>1.18</v>
          </cell>
          <cell r="N285">
            <v>5</v>
          </cell>
          <cell r="O285">
            <v>97</v>
          </cell>
          <cell r="P285">
            <v>1.31</v>
          </cell>
          <cell r="Q285">
            <v>0</v>
          </cell>
          <cell r="R285">
            <v>2460</v>
          </cell>
          <cell r="S285">
            <v>0</v>
          </cell>
          <cell r="T285">
            <v>75</v>
          </cell>
        </row>
        <row r="286">
          <cell r="A286">
            <v>1181</v>
          </cell>
          <cell r="B286">
            <v>163</v>
          </cell>
          <cell r="C286" t="str">
            <v>MAIONESE SACHE SALSARETTI 144X7GR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2017.25</v>
          </cell>
          <cell r="K286">
            <v>0.01</v>
          </cell>
          <cell r="L286">
            <v>0</v>
          </cell>
          <cell r="M286">
            <v>0</v>
          </cell>
          <cell r="N286">
            <v>0</v>
          </cell>
          <cell r="O286">
            <v>30</v>
          </cell>
          <cell r="P286">
            <v>0.4</v>
          </cell>
          <cell r="Q286">
            <v>0</v>
          </cell>
          <cell r="R286">
            <v>244.5</v>
          </cell>
          <cell r="S286">
            <v>0</v>
          </cell>
          <cell r="T286">
            <v>0</v>
          </cell>
        </row>
        <row r="287">
          <cell r="A287">
            <v>3173</v>
          </cell>
          <cell r="B287">
            <v>161.34</v>
          </cell>
          <cell r="C287" t="str">
            <v>CONTRA FILE BOVINO PCT CARA BRANCA KG</v>
          </cell>
          <cell r="D287">
            <v>63312.78</v>
          </cell>
          <cell r="E287">
            <v>0.4</v>
          </cell>
          <cell r="F287">
            <v>1214.24</v>
          </cell>
          <cell r="G287">
            <v>0</v>
          </cell>
          <cell r="H287">
            <v>0</v>
          </cell>
          <cell r="I287">
            <v>0</v>
          </cell>
          <cell r="J287">
            <v>9677.33</v>
          </cell>
          <cell r="K287">
            <v>0.04</v>
          </cell>
          <cell r="L287">
            <v>1365.2</v>
          </cell>
          <cell r="M287">
            <v>0.79</v>
          </cell>
          <cell r="N287">
            <v>22.76</v>
          </cell>
          <cell r="O287">
            <v>7</v>
          </cell>
          <cell r="P287">
            <v>0.09</v>
          </cell>
          <cell r="Q287">
            <v>1214.24</v>
          </cell>
          <cell r="R287">
            <v>161.34</v>
          </cell>
          <cell r="S287">
            <v>0</v>
          </cell>
          <cell r="T287">
            <v>22.76</v>
          </cell>
        </row>
        <row r="288">
          <cell r="A288">
            <v>313</v>
          </cell>
          <cell r="B288">
            <v>158</v>
          </cell>
          <cell r="C288" t="str">
            <v>APRESUNTADO SEARA RETANGULAR 3,4KG</v>
          </cell>
          <cell r="D288">
            <v>8516.81</v>
          </cell>
          <cell r="E288">
            <v>0.05</v>
          </cell>
          <cell r="F288">
            <v>144</v>
          </cell>
          <cell r="G288">
            <v>0</v>
          </cell>
          <cell r="H288">
            <v>0</v>
          </cell>
          <cell r="I288">
            <v>0</v>
          </cell>
          <cell r="J288">
            <v>11437.04</v>
          </cell>
          <cell r="K288">
            <v>0.05</v>
          </cell>
          <cell r="L288">
            <v>0</v>
          </cell>
          <cell r="M288">
            <v>0</v>
          </cell>
          <cell r="N288">
            <v>0</v>
          </cell>
          <cell r="O288">
            <v>47</v>
          </cell>
          <cell r="P288">
            <v>0.63</v>
          </cell>
          <cell r="Q288">
            <v>489.6</v>
          </cell>
          <cell r="R288">
            <v>537.20000000000005</v>
          </cell>
          <cell r="S288">
            <v>0</v>
          </cell>
          <cell r="T288">
            <v>0</v>
          </cell>
        </row>
        <row r="289">
          <cell r="A289">
            <v>314</v>
          </cell>
          <cell r="B289">
            <v>156</v>
          </cell>
          <cell r="C289" t="str">
            <v>APRESUNTADO SEARA FATIADO CX/22X180GR</v>
          </cell>
          <cell r="D289">
            <v>11036.52</v>
          </cell>
          <cell r="E289">
            <v>7.0000000000000007E-2</v>
          </cell>
          <cell r="F289">
            <v>100</v>
          </cell>
          <cell r="G289">
            <v>0</v>
          </cell>
          <cell r="H289">
            <v>0</v>
          </cell>
          <cell r="I289">
            <v>0</v>
          </cell>
          <cell r="J289">
            <v>21289.24</v>
          </cell>
          <cell r="K289">
            <v>0.09</v>
          </cell>
          <cell r="L289">
            <v>408.66</v>
          </cell>
          <cell r="M289">
            <v>0.24</v>
          </cell>
          <cell r="N289">
            <v>3</v>
          </cell>
          <cell r="O289">
            <v>121</v>
          </cell>
          <cell r="P289">
            <v>1.63</v>
          </cell>
          <cell r="Q289">
            <v>396</v>
          </cell>
          <cell r="R289">
            <v>617.76</v>
          </cell>
          <cell r="S289">
            <v>0</v>
          </cell>
          <cell r="T289">
            <v>11.88</v>
          </cell>
        </row>
        <row r="290">
          <cell r="A290">
            <v>970</v>
          </cell>
          <cell r="B290">
            <v>156</v>
          </cell>
          <cell r="C290" t="str">
            <v>MAIONESE TEMPERADA BOX DAJUDA 3KG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5491.85</v>
          </cell>
          <cell r="K290">
            <v>0.02</v>
          </cell>
          <cell r="L290">
            <v>284</v>
          </cell>
          <cell r="M290">
            <v>0.16</v>
          </cell>
          <cell r="N290">
            <v>8</v>
          </cell>
          <cell r="O290">
            <v>42</v>
          </cell>
          <cell r="P290">
            <v>0.56999999999999995</v>
          </cell>
          <cell r="Q290">
            <v>0</v>
          </cell>
          <cell r="R290">
            <v>436.8</v>
          </cell>
          <cell r="S290">
            <v>0</v>
          </cell>
          <cell r="T290">
            <v>22.4</v>
          </cell>
        </row>
        <row r="291">
          <cell r="A291">
            <v>4138</v>
          </cell>
          <cell r="B291">
            <v>156</v>
          </cell>
          <cell r="C291" t="str">
            <v>MANDIOCA EM CUBOS RIPA 10X800GR</v>
          </cell>
          <cell r="D291">
            <v>26800</v>
          </cell>
          <cell r="E291">
            <v>0.17</v>
          </cell>
          <cell r="F291">
            <v>335</v>
          </cell>
          <cell r="G291">
            <v>0</v>
          </cell>
          <cell r="H291">
            <v>0</v>
          </cell>
          <cell r="I291">
            <v>0</v>
          </cell>
          <cell r="J291">
            <v>14521.64</v>
          </cell>
          <cell r="K291">
            <v>0.06</v>
          </cell>
          <cell r="L291">
            <v>192.08</v>
          </cell>
          <cell r="M291">
            <v>0.11</v>
          </cell>
          <cell r="N291">
            <v>2</v>
          </cell>
          <cell r="O291">
            <v>76</v>
          </cell>
          <cell r="P291">
            <v>1.02</v>
          </cell>
          <cell r="Q291">
            <v>2680</v>
          </cell>
          <cell r="R291">
            <v>1248</v>
          </cell>
          <cell r="S291">
            <v>0</v>
          </cell>
          <cell r="T291">
            <v>16</v>
          </cell>
        </row>
        <row r="292">
          <cell r="A292">
            <v>645</v>
          </cell>
          <cell r="B292">
            <v>156</v>
          </cell>
          <cell r="C292" t="str">
            <v>MARGARINA BALDE 80% CUKIN 15 KG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24756.799999999999</v>
          </cell>
          <cell r="K292">
            <v>0.11</v>
          </cell>
          <cell r="L292">
            <v>317.92</v>
          </cell>
          <cell r="M292">
            <v>0.18</v>
          </cell>
          <cell r="N292">
            <v>2</v>
          </cell>
          <cell r="O292">
            <v>34</v>
          </cell>
          <cell r="P292">
            <v>0.46</v>
          </cell>
          <cell r="Q292">
            <v>0</v>
          </cell>
          <cell r="R292">
            <v>2340</v>
          </cell>
          <cell r="S292">
            <v>0</v>
          </cell>
          <cell r="T292">
            <v>30</v>
          </cell>
        </row>
        <row r="293">
          <cell r="A293">
            <v>3673</v>
          </cell>
          <cell r="B293">
            <v>152</v>
          </cell>
          <cell r="C293" t="str">
            <v>PAO DE QUEIJO CHIPA FORNERIA  CX\6X1KG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16256.62</v>
          </cell>
          <cell r="K293">
            <v>7.0000000000000007E-2</v>
          </cell>
          <cell r="L293">
            <v>322.64</v>
          </cell>
          <cell r="M293">
            <v>0.19</v>
          </cell>
          <cell r="N293">
            <v>3</v>
          </cell>
          <cell r="O293">
            <v>90</v>
          </cell>
          <cell r="P293">
            <v>1.21</v>
          </cell>
          <cell r="Q293">
            <v>0</v>
          </cell>
          <cell r="R293">
            <v>912</v>
          </cell>
          <cell r="S293">
            <v>0</v>
          </cell>
          <cell r="T293">
            <v>18</v>
          </cell>
        </row>
        <row r="294">
          <cell r="A294">
            <v>160</v>
          </cell>
          <cell r="B294">
            <v>151</v>
          </cell>
          <cell r="C294" t="str">
            <v>SALSICHA T.VIENA LT FRISA CX\24X180GR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13013.16</v>
          </cell>
          <cell r="K294">
            <v>0.06</v>
          </cell>
          <cell r="L294">
            <v>0</v>
          </cell>
          <cell r="M294">
            <v>0</v>
          </cell>
          <cell r="N294">
            <v>0</v>
          </cell>
          <cell r="O294">
            <v>100</v>
          </cell>
          <cell r="P294">
            <v>1.35</v>
          </cell>
          <cell r="Q294">
            <v>0</v>
          </cell>
          <cell r="R294">
            <v>981.5</v>
          </cell>
          <cell r="S294">
            <v>0</v>
          </cell>
          <cell r="T294">
            <v>0</v>
          </cell>
        </row>
        <row r="295">
          <cell r="A295">
            <v>648</v>
          </cell>
          <cell r="B295">
            <v>150</v>
          </cell>
          <cell r="C295" t="str">
            <v>MARGARINA DELICATA CS CX\12X1KG 998517</v>
          </cell>
          <cell r="D295">
            <v>16608</v>
          </cell>
          <cell r="E295">
            <v>0.11</v>
          </cell>
          <cell r="F295">
            <v>160</v>
          </cell>
          <cell r="G295">
            <v>0</v>
          </cell>
          <cell r="H295">
            <v>0</v>
          </cell>
          <cell r="I295">
            <v>0</v>
          </cell>
          <cell r="J295">
            <v>17675.11</v>
          </cell>
          <cell r="K295">
            <v>0.08</v>
          </cell>
          <cell r="L295">
            <v>226.66</v>
          </cell>
          <cell r="M295">
            <v>0.13</v>
          </cell>
          <cell r="N295">
            <v>2</v>
          </cell>
          <cell r="O295">
            <v>85</v>
          </cell>
          <cell r="P295">
            <v>1.1399999999999999</v>
          </cell>
          <cell r="Q295">
            <v>1920</v>
          </cell>
          <cell r="R295">
            <v>1800</v>
          </cell>
          <cell r="S295">
            <v>0</v>
          </cell>
          <cell r="T295">
            <v>24</v>
          </cell>
        </row>
        <row r="296">
          <cell r="A296">
            <v>738</v>
          </cell>
          <cell r="B296">
            <v>149</v>
          </cell>
          <cell r="C296" t="str">
            <v>SUCO NECTAR GOIABA TIAL CX/24X200ML</v>
          </cell>
          <cell r="D296">
            <v>12065.76</v>
          </cell>
          <cell r="E296">
            <v>0.08</v>
          </cell>
          <cell r="F296">
            <v>378</v>
          </cell>
          <cell r="G296">
            <v>0</v>
          </cell>
          <cell r="H296">
            <v>0</v>
          </cell>
          <cell r="I296">
            <v>0</v>
          </cell>
          <cell r="J296">
            <v>5723.64</v>
          </cell>
          <cell r="K296">
            <v>0.02</v>
          </cell>
          <cell r="L296">
            <v>76.44</v>
          </cell>
          <cell r="M296">
            <v>0.04</v>
          </cell>
          <cell r="N296">
            <v>2</v>
          </cell>
          <cell r="O296">
            <v>102</v>
          </cell>
          <cell r="P296">
            <v>1.37</v>
          </cell>
          <cell r="Q296">
            <v>1814.4</v>
          </cell>
          <cell r="R296">
            <v>715.2</v>
          </cell>
          <cell r="S296">
            <v>0</v>
          </cell>
          <cell r="T296">
            <v>9.6</v>
          </cell>
        </row>
        <row r="297">
          <cell r="A297">
            <v>362</v>
          </cell>
          <cell r="B297">
            <v>148</v>
          </cell>
          <cell r="C297" t="str">
            <v>MASCARA SUINA FRICASA PIF PAF CX\10 KG</v>
          </cell>
          <cell r="D297">
            <v>4617.3900000000003</v>
          </cell>
          <cell r="E297">
            <v>0.03</v>
          </cell>
          <cell r="F297">
            <v>150</v>
          </cell>
          <cell r="G297">
            <v>0</v>
          </cell>
          <cell r="H297">
            <v>0</v>
          </cell>
          <cell r="I297">
            <v>0</v>
          </cell>
          <cell r="J297">
            <v>6912.96</v>
          </cell>
          <cell r="K297">
            <v>0.03</v>
          </cell>
          <cell r="L297">
            <v>0</v>
          </cell>
          <cell r="M297">
            <v>0</v>
          </cell>
          <cell r="N297">
            <v>0</v>
          </cell>
          <cell r="O297">
            <v>40</v>
          </cell>
          <cell r="P297">
            <v>0.54</v>
          </cell>
          <cell r="Q297">
            <v>1500</v>
          </cell>
          <cell r="R297">
            <v>1480</v>
          </cell>
          <cell r="S297">
            <v>0</v>
          </cell>
          <cell r="T297">
            <v>0</v>
          </cell>
        </row>
        <row r="298">
          <cell r="A298">
            <v>1055</v>
          </cell>
          <cell r="B298">
            <v>147</v>
          </cell>
          <cell r="C298" t="str">
            <v>AGUA COCO DUCOCO CX/12X1LT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14299.36</v>
          </cell>
          <cell r="K298">
            <v>0.06</v>
          </cell>
          <cell r="L298">
            <v>0</v>
          </cell>
          <cell r="M298">
            <v>0</v>
          </cell>
          <cell r="N298">
            <v>0</v>
          </cell>
          <cell r="O298">
            <v>106</v>
          </cell>
          <cell r="P298">
            <v>1.43</v>
          </cell>
          <cell r="Q298">
            <v>0</v>
          </cell>
          <cell r="R298">
            <v>1764</v>
          </cell>
          <cell r="S298">
            <v>0</v>
          </cell>
          <cell r="T298">
            <v>0</v>
          </cell>
        </row>
        <row r="299">
          <cell r="A299">
            <v>3029</v>
          </cell>
          <cell r="B299">
            <v>147</v>
          </cell>
          <cell r="C299" t="str">
            <v>PAO DE QUEIJO TRADICIONAL FORNERIA CX\20X400GR</v>
          </cell>
          <cell r="D299">
            <v>22775.54</v>
          </cell>
          <cell r="E299">
            <v>0.15</v>
          </cell>
          <cell r="F299">
            <v>200</v>
          </cell>
          <cell r="G299">
            <v>0</v>
          </cell>
          <cell r="H299">
            <v>0</v>
          </cell>
          <cell r="I299">
            <v>0</v>
          </cell>
          <cell r="J299">
            <v>20443.96</v>
          </cell>
          <cell r="K299">
            <v>0.09</v>
          </cell>
          <cell r="L299">
            <v>279.77999999999997</v>
          </cell>
          <cell r="M299">
            <v>0.16</v>
          </cell>
          <cell r="N299">
            <v>2</v>
          </cell>
          <cell r="O299">
            <v>127</v>
          </cell>
          <cell r="P299">
            <v>1.71</v>
          </cell>
          <cell r="Q299">
            <v>1600</v>
          </cell>
          <cell r="R299">
            <v>1176</v>
          </cell>
          <cell r="S299">
            <v>0</v>
          </cell>
          <cell r="T299">
            <v>16</v>
          </cell>
        </row>
        <row r="300">
          <cell r="A300">
            <v>2487</v>
          </cell>
          <cell r="B300">
            <v>145</v>
          </cell>
          <cell r="C300" t="str">
            <v>MAIONESE POTE SALADA CX\12X500G</v>
          </cell>
          <cell r="D300">
            <v>5280</v>
          </cell>
          <cell r="E300">
            <v>0.03</v>
          </cell>
          <cell r="F300">
            <v>100</v>
          </cell>
          <cell r="G300">
            <v>0</v>
          </cell>
          <cell r="H300">
            <v>0</v>
          </cell>
          <cell r="I300">
            <v>0</v>
          </cell>
          <cell r="J300">
            <v>7361.39</v>
          </cell>
          <cell r="K300">
            <v>0.03</v>
          </cell>
          <cell r="L300">
            <v>494.7</v>
          </cell>
          <cell r="M300">
            <v>0.28000000000000003</v>
          </cell>
          <cell r="N300">
            <v>9</v>
          </cell>
          <cell r="O300">
            <v>89</v>
          </cell>
          <cell r="P300">
            <v>1.2</v>
          </cell>
          <cell r="Q300">
            <v>600</v>
          </cell>
          <cell r="R300">
            <v>870</v>
          </cell>
          <cell r="S300">
            <v>0</v>
          </cell>
          <cell r="T300">
            <v>54</v>
          </cell>
        </row>
        <row r="301">
          <cell r="A301">
            <v>46</v>
          </cell>
          <cell r="B301">
            <v>143</v>
          </cell>
          <cell r="C301" t="str">
            <v>DORSO DE FRANGO FREDINI CX/20KG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8401.6</v>
          </cell>
          <cell r="K301">
            <v>0.04</v>
          </cell>
          <cell r="L301">
            <v>0</v>
          </cell>
          <cell r="M301">
            <v>0</v>
          </cell>
          <cell r="N301">
            <v>0</v>
          </cell>
          <cell r="O301">
            <v>83</v>
          </cell>
          <cell r="P301">
            <v>1.1200000000000001</v>
          </cell>
          <cell r="Q301">
            <v>0</v>
          </cell>
          <cell r="R301">
            <v>2860</v>
          </cell>
          <cell r="S301">
            <v>0</v>
          </cell>
          <cell r="T301">
            <v>0</v>
          </cell>
        </row>
        <row r="302">
          <cell r="A302">
            <v>3053</v>
          </cell>
          <cell r="B302">
            <v>142</v>
          </cell>
          <cell r="C302" t="str">
            <v>CREME DE LEITE LEVE DAMARE 27X200G</v>
          </cell>
          <cell r="D302">
            <v>21114.639999999999</v>
          </cell>
          <cell r="E302">
            <v>0.14000000000000001</v>
          </cell>
          <cell r="F302">
            <v>390</v>
          </cell>
          <cell r="G302">
            <v>0</v>
          </cell>
          <cell r="H302">
            <v>0</v>
          </cell>
          <cell r="I302">
            <v>0</v>
          </cell>
          <cell r="J302">
            <v>9046.2000000000007</v>
          </cell>
          <cell r="K302">
            <v>0.04</v>
          </cell>
          <cell r="L302">
            <v>63.55</v>
          </cell>
          <cell r="M302">
            <v>0.04</v>
          </cell>
          <cell r="N302">
            <v>1</v>
          </cell>
          <cell r="O302">
            <v>65</v>
          </cell>
          <cell r="P302">
            <v>0.88</v>
          </cell>
          <cell r="Q302">
            <v>2106</v>
          </cell>
          <cell r="R302">
            <v>766.8</v>
          </cell>
          <cell r="S302">
            <v>0</v>
          </cell>
          <cell r="T302">
            <v>5.4</v>
          </cell>
        </row>
        <row r="303">
          <cell r="A303">
            <v>704</v>
          </cell>
          <cell r="B303">
            <v>140.12</v>
          </cell>
          <cell r="C303" t="str">
            <v>PICANHA BOVINA GRILL DICASA KG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11443.31</v>
          </cell>
          <cell r="K303">
            <v>0.05</v>
          </cell>
          <cell r="L303">
            <v>0</v>
          </cell>
          <cell r="M303">
            <v>0</v>
          </cell>
          <cell r="N303">
            <v>0</v>
          </cell>
          <cell r="O303">
            <v>7</v>
          </cell>
          <cell r="P303">
            <v>0.09</v>
          </cell>
          <cell r="Q303">
            <v>0</v>
          </cell>
          <cell r="R303">
            <v>140.12</v>
          </cell>
          <cell r="S303">
            <v>0</v>
          </cell>
          <cell r="T303">
            <v>0</v>
          </cell>
        </row>
        <row r="304">
          <cell r="A304">
            <v>216</v>
          </cell>
          <cell r="B304">
            <v>140.08000000000001</v>
          </cell>
          <cell r="C304" t="str">
            <v>BACON PERNIL ADEEL KG</v>
          </cell>
          <cell r="D304">
            <v>13699</v>
          </cell>
          <cell r="E304">
            <v>0.09</v>
          </cell>
          <cell r="F304">
            <v>704.06</v>
          </cell>
          <cell r="G304">
            <v>0</v>
          </cell>
          <cell r="H304">
            <v>0</v>
          </cell>
          <cell r="I304">
            <v>0</v>
          </cell>
          <cell r="J304">
            <v>3333.21</v>
          </cell>
          <cell r="K304">
            <v>0.01</v>
          </cell>
          <cell r="L304">
            <v>0</v>
          </cell>
          <cell r="M304">
            <v>0</v>
          </cell>
          <cell r="N304">
            <v>0</v>
          </cell>
          <cell r="O304">
            <v>8</v>
          </cell>
          <cell r="P304">
            <v>0.11</v>
          </cell>
          <cell r="Q304">
            <v>704.06</v>
          </cell>
          <cell r="R304">
            <v>140.08000000000001</v>
          </cell>
          <cell r="S304">
            <v>0</v>
          </cell>
          <cell r="T304">
            <v>0</v>
          </cell>
        </row>
        <row r="305">
          <cell r="A305">
            <v>201</v>
          </cell>
          <cell r="B305">
            <v>140</v>
          </cell>
          <cell r="C305" t="str">
            <v>BATATA PALHA OURO MINAS FD 16X900GR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2655.4</v>
          </cell>
          <cell r="K305">
            <v>0.01</v>
          </cell>
          <cell r="L305">
            <v>0</v>
          </cell>
          <cell r="M305">
            <v>0</v>
          </cell>
          <cell r="N305">
            <v>0</v>
          </cell>
          <cell r="O305">
            <v>17</v>
          </cell>
          <cell r="P305">
            <v>0.23</v>
          </cell>
          <cell r="Q305">
            <v>0</v>
          </cell>
          <cell r="R305">
            <v>126</v>
          </cell>
          <cell r="S305">
            <v>0</v>
          </cell>
          <cell r="T305">
            <v>0</v>
          </cell>
        </row>
        <row r="306">
          <cell r="A306">
            <v>3132</v>
          </cell>
          <cell r="B306">
            <v>137</v>
          </cell>
          <cell r="C306" t="str">
            <v>QUEIJO PROVOLONE SCALA 300GR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3222.88</v>
          </cell>
          <cell r="K306">
            <v>0.01</v>
          </cell>
          <cell r="L306">
            <v>137.19999999999999</v>
          </cell>
          <cell r="M306">
            <v>0.08</v>
          </cell>
          <cell r="N306">
            <v>5</v>
          </cell>
          <cell r="O306">
            <v>18</v>
          </cell>
          <cell r="P306">
            <v>0.24</v>
          </cell>
          <cell r="Q306">
            <v>0</v>
          </cell>
          <cell r="R306">
            <v>41.1</v>
          </cell>
          <cell r="S306">
            <v>0</v>
          </cell>
          <cell r="T306">
            <v>1.5</v>
          </cell>
        </row>
        <row r="307">
          <cell r="A307">
            <v>647</v>
          </cell>
          <cell r="B307">
            <v>133</v>
          </cell>
          <cell r="C307" t="str">
            <v>MARGARINA DELICATA CS CX/24X250G  995581</v>
          </cell>
          <cell r="D307">
            <v>18332.16</v>
          </cell>
          <cell r="E307">
            <v>0.12</v>
          </cell>
          <cell r="F307">
            <v>308</v>
          </cell>
          <cell r="G307">
            <v>0</v>
          </cell>
          <cell r="H307">
            <v>0</v>
          </cell>
          <cell r="I307">
            <v>0</v>
          </cell>
          <cell r="J307">
            <v>9044.34</v>
          </cell>
          <cell r="K307">
            <v>0.04</v>
          </cell>
          <cell r="L307">
            <v>0</v>
          </cell>
          <cell r="M307">
            <v>0</v>
          </cell>
          <cell r="N307">
            <v>0</v>
          </cell>
          <cell r="O307">
            <v>88</v>
          </cell>
          <cell r="P307">
            <v>1.19</v>
          </cell>
          <cell r="Q307">
            <v>1848</v>
          </cell>
          <cell r="R307">
            <v>798</v>
          </cell>
          <cell r="S307">
            <v>0</v>
          </cell>
          <cell r="T307">
            <v>0</v>
          </cell>
        </row>
        <row r="308">
          <cell r="A308">
            <v>971</v>
          </cell>
          <cell r="B308">
            <v>132</v>
          </cell>
          <cell r="C308" t="str">
            <v>MAIONESE SACHE TEMPERADA DAJUDA 192X7GR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3460.9</v>
          </cell>
          <cell r="K308">
            <v>0.02</v>
          </cell>
          <cell r="L308">
            <v>0</v>
          </cell>
          <cell r="M308">
            <v>0</v>
          </cell>
          <cell r="N308">
            <v>0</v>
          </cell>
          <cell r="O308">
            <v>29</v>
          </cell>
          <cell r="P308">
            <v>0.39</v>
          </cell>
          <cell r="Q308">
            <v>0</v>
          </cell>
          <cell r="R308">
            <v>198</v>
          </cell>
          <cell r="S308">
            <v>0</v>
          </cell>
          <cell r="T308">
            <v>0</v>
          </cell>
        </row>
        <row r="309">
          <cell r="A309">
            <v>4124</v>
          </cell>
          <cell r="B309">
            <v>130</v>
          </cell>
          <cell r="C309" t="str">
            <v>CORACAO FRANGO PCT  LAR CX24X700G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70972.94</v>
          </cell>
          <cell r="K309">
            <v>0.31</v>
          </cell>
          <cell r="L309">
            <v>545.86</v>
          </cell>
          <cell r="M309">
            <v>0.31</v>
          </cell>
          <cell r="N309">
            <v>1</v>
          </cell>
          <cell r="O309">
            <v>70</v>
          </cell>
          <cell r="P309">
            <v>0.94</v>
          </cell>
          <cell r="Q309">
            <v>0</v>
          </cell>
          <cell r="R309">
            <v>2184</v>
          </cell>
          <cell r="S309">
            <v>0</v>
          </cell>
          <cell r="T309">
            <v>16.8</v>
          </cell>
        </row>
        <row r="310">
          <cell r="A310">
            <v>961</v>
          </cell>
          <cell r="B310">
            <v>130</v>
          </cell>
          <cell r="C310" t="str">
            <v>LING T.CALABRESA REZENDE CX 6X2,5KG</v>
          </cell>
          <cell r="D310">
            <v>7060.5</v>
          </cell>
          <cell r="E310">
            <v>0.05</v>
          </cell>
          <cell r="F310">
            <v>180</v>
          </cell>
          <cell r="G310">
            <v>0</v>
          </cell>
          <cell r="H310">
            <v>0</v>
          </cell>
          <cell r="I310">
            <v>0</v>
          </cell>
          <cell r="J310">
            <v>5944.46</v>
          </cell>
          <cell r="K310">
            <v>0.03</v>
          </cell>
          <cell r="L310">
            <v>0</v>
          </cell>
          <cell r="M310">
            <v>0</v>
          </cell>
          <cell r="N310">
            <v>0</v>
          </cell>
          <cell r="O310">
            <v>54</v>
          </cell>
          <cell r="P310">
            <v>0.73</v>
          </cell>
          <cell r="Q310">
            <v>450</v>
          </cell>
          <cell r="R310">
            <v>325</v>
          </cell>
          <cell r="S310">
            <v>0</v>
          </cell>
          <cell r="T310">
            <v>0</v>
          </cell>
        </row>
        <row r="311">
          <cell r="A311">
            <v>3945</v>
          </cell>
          <cell r="B311">
            <v>127</v>
          </cell>
          <cell r="C311" t="str">
            <v>BACON CUBOS ADEEL CX/12X1KG</v>
          </cell>
          <cell r="D311">
            <v>29830.16</v>
          </cell>
          <cell r="E311">
            <v>0.19</v>
          </cell>
          <cell r="F311">
            <v>121</v>
          </cell>
          <cell r="G311">
            <v>0</v>
          </cell>
          <cell r="H311">
            <v>0</v>
          </cell>
          <cell r="I311">
            <v>0</v>
          </cell>
          <cell r="J311">
            <v>38441.4</v>
          </cell>
          <cell r="K311">
            <v>0.17</v>
          </cell>
          <cell r="L311">
            <v>0</v>
          </cell>
          <cell r="M311">
            <v>0</v>
          </cell>
          <cell r="N311">
            <v>0</v>
          </cell>
          <cell r="O311">
            <v>68</v>
          </cell>
          <cell r="P311">
            <v>0.92</v>
          </cell>
          <cell r="Q311">
            <v>1452</v>
          </cell>
          <cell r="R311">
            <v>1524</v>
          </cell>
          <cell r="S311">
            <v>0</v>
          </cell>
          <cell r="T311">
            <v>0</v>
          </cell>
        </row>
        <row r="312">
          <cell r="A312">
            <v>4027</v>
          </cell>
          <cell r="B312">
            <v>127</v>
          </cell>
          <cell r="C312" t="str">
            <v>OLEO DE ALGODAO ELOGIATA 5,1LT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7836.46</v>
          </cell>
          <cell r="K312">
            <v>0.03</v>
          </cell>
          <cell r="L312">
            <v>0</v>
          </cell>
          <cell r="M312">
            <v>0</v>
          </cell>
          <cell r="N312">
            <v>0</v>
          </cell>
          <cell r="O312">
            <v>24</v>
          </cell>
          <cell r="P312">
            <v>0.32</v>
          </cell>
          <cell r="Q312">
            <v>0</v>
          </cell>
          <cell r="R312">
            <v>647.70000000000005</v>
          </cell>
          <cell r="S312">
            <v>0</v>
          </cell>
          <cell r="T312">
            <v>0</v>
          </cell>
        </row>
        <row r="313">
          <cell r="A313">
            <v>3099</v>
          </cell>
          <cell r="B313">
            <v>125</v>
          </cell>
          <cell r="C313" t="str">
            <v>STEAK NOBRE CX\30X100GR</v>
          </cell>
          <cell r="D313">
            <v>5788.04</v>
          </cell>
          <cell r="E313">
            <v>0.04</v>
          </cell>
          <cell r="F313">
            <v>150</v>
          </cell>
          <cell r="G313">
            <v>0</v>
          </cell>
          <cell r="H313">
            <v>0</v>
          </cell>
          <cell r="I313">
            <v>0</v>
          </cell>
          <cell r="J313">
            <v>5797.92</v>
          </cell>
          <cell r="K313">
            <v>0.03</v>
          </cell>
          <cell r="L313">
            <v>0</v>
          </cell>
          <cell r="M313">
            <v>0</v>
          </cell>
          <cell r="N313">
            <v>0</v>
          </cell>
          <cell r="O313">
            <v>78</v>
          </cell>
          <cell r="P313">
            <v>1.05</v>
          </cell>
          <cell r="Q313">
            <v>450</v>
          </cell>
          <cell r="R313">
            <v>375</v>
          </cell>
          <cell r="S313">
            <v>0</v>
          </cell>
          <cell r="T313">
            <v>0</v>
          </cell>
        </row>
        <row r="314">
          <cell r="A314">
            <v>3355</v>
          </cell>
          <cell r="B314">
            <v>124</v>
          </cell>
          <cell r="C314" t="str">
            <v>AZEITONA SACHE S/CAROCO TOZZI  24X80GR</v>
          </cell>
          <cell r="D314">
            <v>17074.11</v>
          </cell>
          <cell r="E314">
            <v>0.11</v>
          </cell>
          <cell r="F314">
            <v>252</v>
          </cell>
          <cell r="G314">
            <v>0</v>
          </cell>
          <cell r="H314">
            <v>0</v>
          </cell>
          <cell r="I314">
            <v>0</v>
          </cell>
          <cell r="J314">
            <v>10891.03</v>
          </cell>
          <cell r="K314">
            <v>0.05</v>
          </cell>
          <cell r="L314">
            <v>0</v>
          </cell>
          <cell r="M314">
            <v>0</v>
          </cell>
          <cell r="N314">
            <v>0</v>
          </cell>
          <cell r="O314">
            <v>112</v>
          </cell>
          <cell r="P314">
            <v>1.51</v>
          </cell>
          <cell r="Q314">
            <v>504</v>
          </cell>
          <cell r="R314">
            <v>248</v>
          </cell>
          <cell r="S314">
            <v>0</v>
          </cell>
          <cell r="T314">
            <v>0</v>
          </cell>
        </row>
        <row r="315">
          <cell r="A315">
            <v>823</v>
          </cell>
          <cell r="B315">
            <v>124</v>
          </cell>
          <cell r="C315" t="str">
            <v>LING DEF.FINA SEARA CX\6X2,5KG</v>
          </cell>
          <cell r="D315">
            <v>10566</v>
          </cell>
          <cell r="E315">
            <v>7.0000000000000007E-2</v>
          </cell>
          <cell r="F315">
            <v>240</v>
          </cell>
          <cell r="G315">
            <v>0</v>
          </cell>
          <cell r="H315">
            <v>0</v>
          </cell>
          <cell r="I315">
            <v>0</v>
          </cell>
          <cell r="J315">
            <v>6485.08</v>
          </cell>
          <cell r="K315">
            <v>0.03</v>
          </cell>
          <cell r="L315">
            <v>0</v>
          </cell>
          <cell r="M315">
            <v>0</v>
          </cell>
          <cell r="N315">
            <v>0</v>
          </cell>
          <cell r="O315">
            <v>40</v>
          </cell>
          <cell r="P315">
            <v>0.54</v>
          </cell>
          <cell r="Q315">
            <v>600</v>
          </cell>
          <cell r="R315">
            <v>310</v>
          </cell>
          <cell r="S315">
            <v>0</v>
          </cell>
          <cell r="T315">
            <v>0</v>
          </cell>
        </row>
        <row r="316">
          <cell r="A316">
            <v>4089</v>
          </cell>
          <cell r="B316">
            <v>123</v>
          </cell>
          <cell r="C316" t="str">
            <v>SALSICHA T.VIENA LT ANGLO CX\24X180G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10163</v>
          </cell>
          <cell r="K316">
            <v>0.04</v>
          </cell>
          <cell r="L316">
            <v>0</v>
          </cell>
          <cell r="M316">
            <v>0</v>
          </cell>
          <cell r="N316">
            <v>0</v>
          </cell>
          <cell r="O316">
            <v>90</v>
          </cell>
          <cell r="P316">
            <v>1.21</v>
          </cell>
          <cell r="Q316">
            <v>0</v>
          </cell>
          <cell r="R316">
            <v>531.36</v>
          </cell>
          <cell r="S316">
            <v>0</v>
          </cell>
          <cell r="T316">
            <v>0</v>
          </cell>
        </row>
        <row r="317">
          <cell r="A317">
            <v>3204</v>
          </cell>
          <cell r="B317">
            <v>122</v>
          </cell>
          <cell r="C317" t="str">
            <v>CREME CHANTILLY NORCAU 6X1LT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13055.67</v>
          </cell>
          <cell r="K317">
            <v>0.06</v>
          </cell>
          <cell r="L317">
            <v>0</v>
          </cell>
          <cell r="M317">
            <v>0</v>
          </cell>
          <cell r="N317">
            <v>0</v>
          </cell>
          <cell r="O317">
            <v>75</v>
          </cell>
          <cell r="P317">
            <v>1.01</v>
          </cell>
          <cell r="Q317">
            <v>0</v>
          </cell>
          <cell r="R317">
            <v>732</v>
          </cell>
          <cell r="S317">
            <v>0</v>
          </cell>
          <cell r="T317">
            <v>0</v>
          </cell>
        </row>
        <row r="318">
          <cell r="A318">
            <v>4079</v>
          </cell>
          <cell r="B318">
            <v>122</v>
          </cell>
          <cell r="C318" t="str">
            <v>FARINHA TRIGO PASTEL SUPREMA 5KG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3173.64</v>
          </cell>
          <cell r="K318">
            <v>0.01</v>
          </cell>
          <cell r="L318">
            <v>908.95</v>
          </cell>
          <cell r="M318">
            <v>0.52</v>
          </cell>
          <cell r="N318">
            <v>35</v>
          </cell>
          <cell r="O318">
            <v>17</v>
          </cell>
          <cell r="P318">
            <v>0.23</v>
          </cell>
          <cell r="Q318">
            <v>0</v>
          </cell>
          <cell r="R318">
            <v>610</v>
          </cell>
          <cell r="S318">
            <v>0</v>
          </cell>
          <cell r="T318">
            <v>175</v>
          </cell>
        </row>
        <row r="319">
          <cell r="A319">
            <v>572</v>
          </cell>
          <cell r="B319">
            <v>122</v>
          </cell>
          <cell r="C319" t="str">
            <v>IOGURTE TURMA MILK FD\10X180GR</v>
          </cell>
          <cell r="D319">
            <v>2940.46</v>
          </cell>
          <cell r="E319">
            <v>0.02</v>
          </cell>
          <cell r="F319">
            <v>240</v>
          </cell>
          <cell r="G319">
            <v>0</v>
          </cell>
          <cell r="H319">
            <v>0</v>
          </cell>
          <cell r="I319">
            <v>0</v>
          </cell>
          <cell r="J319">
            <v>1933.44</v>
          </cell>
          <cell r="K319">
            <v>0.01</v>
          </cell>
          <cell r="L319">
            <v>0</v>
          </cell>
          <cell r="M319">
            <v>0</v>
          </cell>
          <cell r="N319">
            <v>0</v>
          </cell>
          <cell r="O319">
            <v>68</v>
          </cell>
          <cell r="P319">
            <v>0.92</v>
          </cell>
          <cell r="Q319">
            <v>432</v>
          </cell>
          <cell r="R319">
            <v>219.6</v>
          </cell>
          <cell r="S319">
            <v>0</v>
          </cell>
          <cell r="T319">
            <v>0</v>
          </cell>
        </row>
        <row r="320">
          <cell r="A320">
            <v>3350</v>
          </cell>
          <cell r="B320">
            <v>121</v>
          </cell>
          <cell r="C320" t="str">
            <v>PEIXE PIRAMUTABA POSTA S\PELE PEIXE&amp;CIA 20X1KG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38977.800000000003</v>
          </cell>
          <cell r="K320">
            <v>0.17</v>
          </cell>
          <cell r="L320">
            <v>639.74</v>
          </cell>
          <cell r="M320">
            <v>0.37</v>
          </cell>
          <cell r="N320">
            <v>2</v>
          </cell>
          <cell r="O320">
            <v>107</v>
          </cell>
          <cell r="P320">
            <v>1.44</v>
          </cell>
          <cell r="Q320">
            <v>0</v>
          </cell>
          <cell r="R320">
            <v>2420</v>
          </cell>
          <cell r="S320">
            <v>0</v>
          </cell>
          <cell r="T320">
            <v>40</v>
          </cell>
        </row>
        <row r="321">
          <cell r="A321">
            <v>4151</v>
          </cell>
          <cell r="B321">
            <v>119</v>
          </cell>
          <cell r="C321" t="str">
            <v>CORACAO FRANGO PCT RIVELLI CX\30X700GR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81204.240000000005</v>
          </cell>
          <cell r="K321">
            <v>0.35</v>
          </cell>
          <cell r="L321">
            <v>0</v>
          </cell>
          <cell r="M321">
            <v>0</v>
          </cell>
          <cell r="N321">
            <v>0</v>
          </cell>
          <cell r="O321">
            <v>39</v>
          </cell>
          <cell r="P321">
            <v>0.53</v>
          </cell>
          <cell r="Q321">
            <v>0</v>
          </cell>
          <cell r="R321">
            <v>2499</v>
          </cell>
          <cell r="S321">
            <v>0</v>
          </cell>
          <cell r="T321">
            <v>0</v>
          </cell>
        </row>
        <row r="322">
          <cell r="A322">
            <v>1138</v>
          </cell>
          <cell r="B322">
            <v>119</v>
          </cell>
          <cell r="C322" t="str">
            <v>LANCHE PEPERI AURORA 2,5KG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3934.91</v>
          </cell>
          <cell r="K322">
            <v>0.02</v>
          </cell>
          <cell r="L322">
            <v>0</v>
          </cell>
          <cell r="M322">
            <v>0</v>
          </cell>
          <cell r="N322">
            <v>0</v>
          </cell>
          <cell r="O322">
            <v>35</v>
          </cell>
          <cell r="P322">
            <v>0.47</v>
          </cell>
          <cell r="Q322">
            <v>0</v>
          </cell>
          <cell r="R322">
            <v>297.5</v>
          </cell>
          <cell r="S322">
            <v>0</v>
          </cell>
          <cell r="T322">
            <v>0</v>
          </cell>
        </row>
        <row r="323">
          <cell r="A323">
            <v>3243</v>
          </cell>
          <cell r="B323">
            <v>118</v>
          </cell>
          <cell r="C323" t="str">
            <v>LING APIMENTADA SEARA CX/30X600GR</v>
          </cell>
          <cell r="D323">
            <v>31915.8</v>
          </cell>
          <cell r="E323">
            <v>0.2</v>
          </cell>
          <cell r="F323">
            <v>149</v>
          </cell>
          <cell r="G323">
            <v>0</v>
          </cell>
          <cell r="H323">
            <v>0</v>
          </cell>
          <cell r="I323">
            <v>0</v>
          </cell>
          <cell r="J323">
            <v>34286.81</v>
          </cell>
          <cell r="K323">
            <v>0.15</v>
          </cell>
          <cell r="L323">
            <v>0</v>
          </cell>
          <cell r="M323">
            <v>0</v>
          </cell>
          <cell r="N323">
            <v>0</v>
          </cell>
          <cell r="O323">
            <v>115</v>
          </cell>
          <cell r="P323">
            <v>1.55</v>
          </cell>
          <cell r="Q323">
            <v>2682</v>
          </cell>
          <cell r="R323">
            <v>2124</v>
          </cell>
          <cell r="S323">
            <v>0</v>
          </cell>
          <cell r="T323">
            <v>0</v>
          </cell>
        </row>
        <row r="324">
          <cell r="A324">
            <v>428</v>
          </cell>
          <cell r="B324">
            <v>115</v>
          </cell>
          <cell r="C324" t="str">
            <v>APRESUNTADO NOBRE AURORA 3,7KG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7359.3</v>
          </cell>
          <cell r="K324">
            <v>0.03</v>
          </cell>
          <cell r="L324">
            <v>0</v>
          </cell>
          <cell r="M324">
            <v>0</v>
          </cell>
          <cell r="N324">
            <v>0</v>
          </cell>
          <cell r="O324">
            <v>33</v>
          </cell>
          <cell r="P324">
            <v>0.44</v>
          </cell>
          <cell r="Q324">
            <v>0</v>
          </cell>
          <cell r="R324">
            <v>425.5</v>
          </cell>
          <cell r="S324">
            <v>0</v>
          </cell>
          <cell r="T324">
            <v>0</v>
          </cell>
        </row>
        <row r="325">
          <cell r="A325">
            <v>4147</v>
          </cell>
          <cell r="B325">
            <v>114.5</v>
          </cell>
          <cell r="C325" t="str">
            <v>ACEM BOVINO CARA BRANCA KG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4118.45</v>
          </cell>
          <cell r="K325">
            <v>0.02</v>
          </cell>
          <cell r="L325">
            <v>0</v>
          </cell>
          <cell r="M325">
            <v>0</v>
          </cell>
          <cell r="N325">
            <v>0</v>
          </cell>
          <cell r="O325">
            <v>2</v>
          </cell>
          <cell r="P325">
            <v>0.03</v>
          </cell>
          <cell r="Q325">
            <v>0</v>
          </cell>
          <cell r="R325">
            <v>114.5</v>
          </cell>
          <cell r="S325">
            <v>0</v>
          </cell>
          <cell r="T325">
            <v>0</v>
          </cell>
        </row>
        <row r="326">
          <cell r="A326">
            <v>3189</v>
          </cell>
          <cell r="B326">
            <v>114</v>
          </cell>
          <cell r="C326" t="str">
            <v>CREME CULINÁRIO UHT DAMARE 1,01KG</v>
          </cell>
          <cell r="D326">
            <v>7668</v>
          </cell>
          <cell r="E326">
            <v>0.05</v>
          </cell>
          <cell r="F326">
            <v>1080</v>
          </cell>
          <cell r="G326">
            <v>0</v>
          </cell>
          <cell r="H326">
            <v>0</v>
          </cell>
          <cell r="I326">
            <v>0</v>
          </cell>
          <cell r="J326">
            <v>1122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13</v>
          </cell>
          <cell r="P326">
            <v>0.18</v>
          </cell>
          <cell r="Q326">
            <v>1090.8</v>
          </cell>
          <cell r="R326">
            <v>115.14</v>
          </cell>
          <cell r="S326">
            <v>0</v>
          </cell>
          <cell r="T326">
            <v>0</v>
          </cell>
        </row>
        <row r="327">
          <cell r="A327">
            <v>34</v>
          </cell>
          <cell r="B327">
            <v>113</v>
          </cell>
          <cell r="C327" t="str">
            <v>MOELA DE FRANGO PCT RIVELLI CX/15KG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23378.799999999999</v>
          </cell>
          <cell r="K327">
            <v>0.1</v>
          </cell>
          <cell r="L327">
            <v>0</v>
          </cell>
          <cell r="M327">
            <v>0</v>
          </cell>
          <cell r="N327">
            <v>0</v>
          </cell>
          <cell r="O327">
            <v>68</v>
          </cell>
          <cell r="P327">
            <v>0.92</v>
          </cell>
          <cell r="Q327">
            <v>0</v>
          </cell>
          <cell r="R327">
            <v>1695</v>
          </cell>
          <cell r="S327">
            <v>0</v>
          </cell>
          <cell r="T327">
            <v>0</v>
          </cell>
        </row>
        <row r="328">
          <cell r="A328">
            <v>754</v>
          </cell>
          <cell r="B328">
            <v>113</v>
          </cell>
          <cell r="C328" t="str">
            <v>TIRINHAS DE FRANGO AURORA CX\16X275GR</v>
          </cell>
          <cell r="D328">
            <v>10523.7</v>
          </cell>
          <cell r="E328">
            <v>7.0000000000000007E-2</v>
          </cell>
          <cell r="F328">
            <v>150</v>
          </cell>
          <cell r="G328">
            <v>0</v>
          </cell>
          <cell r="H328">
            <v>0</v>
          </cell>
          <cell r="I328">
            <v>0</v>
          </cell>
          <cell r="J328">
            <v>9990.9</v>
          </cell>
          <cell r="K328">
            <v>0.04</v>
          </cell>
          <cell r="L328">
            <v>88.2</v>
          </cell>
          <cell r="M328">
            <v>0.05</v>
          </cell>
          <cell r="N328">
            <v>1</v>
          </cell>
          <cell r="O328">
            <v>87</v>
          </cell>
          <cell r="P328">
            <v>1.17</v>
          </cell>
          <cell r="Q328">
            <v>660</v>
          </cell>
          <cell r="R328">
            <v>497.2</v>
          </cell>
          <cell r="S328">
            <v>0</v>
          </cell>
          <cell r="T328">
            <v>4.4000000000000004</v>
          </cell>
        </row>
        <row r="329">
          <cell r="A329">
            <v>192</v>
          </cell>
          <cell r="B329">
            <v>112</v>
          </cell>
          <cell r="C329" t="str">
            <v>COCO FLOCOS UMIDO ADOC. MENINA CX\24X100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10989</v>
          </cell>
          <cell r="K329">
            <v>0.05</v>
          </cell>
          <cell r="L329">
            <v>294</v>
          </cell>
          <cell r="M329">
            <v>0.17</v>
          </cell>
          <cell r="N329">
            <v>3</v>
          </cell>
          <cell r="O329">
            <v>85</v>
          </cell>
          <cell r="P329">
            <v>1.1399999999999999</v>
          </cell>
          <cell r="Q329">
            <v>0</v>
          </cell>
          <cell r="R329">
            <v>280</v>
          </cell>
          <cell r="S329">
            <v>0</v>
          </cell>
          <cell r="T329">
            <v>7.5</v>
          </cell>
        </row>
        <row r="330">
          <cell r="A330">
            <v>2000</v>
          </cell>
          <cell r="B330">
            <v>112</v>
          </cell>
          <cell r="C330" t="str">
            <v>COXINHA DA ASA TEMP IQF LAR CX\20X700GR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20170.32</v>
          </cell>
          <cell r="K330">
            <v>0.09</v>
          </cell>
          <cell r="L330">
            <v>1978.13</v>
          </cell>
          <cell r="M330">
            <v>1.1399999999999999</v>
          </cell>
          <cell r="N330">
            <v>11</v>
          </cell>
          <cell r="O330">
            <v>75</v>
          </cell>
          <cell r="P330">
            <v>1.01</v>
          </cell>
          <cell r="Q330">
            <v>0</v>
          </cell>
          <cell r="R330">
            <v>1568</v>
          </cell>
          <cell r="S330">
            <v>0</v>
          </cell>
          <cell r="T330">
            <v>154</v>
          </cell>
        </row>
        <row r="331">
          <cell r="A331">
            <v>3031</v>
          </cell>
          <cell r="B331">
            <v>112</v>
          </cell>
          <cell r="C331" t="str">
            <v>PAO DE QUEIJO LANCHE 80GR FORNERIA CX\4X2KG</v>
          </cell>
          <cell r="D331">
            <v>17081.66</v>
          </cell>
          <cell r="E331">
            <v>0.11</v>
          </cell>
          <cell r="F331">
            <v>150</v>
          </cell>
          <cell r="G331">
            <v>0</v>
          </cell>
          <cell r="H331">
            <v>0</v>
          </cell>
          <cell r="I331">
            <v>0</v>
          </cell>
          <cell r="J331">
            <v>15713.44</v>
          </cell>
          <cell r="K331">
            <v>7.0000000000000007E-2</v>
          </cell>
          <cell r="L331">
            <v>0</v>
          </cell>
          <cell r="M331">
            <v>0</v>
          </cell>
          <cell r="N331">
            <v>0</v>
          </cell>
          <cell r="O331">
            <v>25</v>
          </cell>
          <cell r="P331">
            <v>0.34</v>
          </cell>
          <cell r="Q331">
            <v>1200</v>
          </cell>
          <cell r="R331">
            <v>896</v>
          </cell>
          <cell r="S331">
            <v>0</v>
          </cell>
          <cell r="T331">
            <v>0</v>
          </cell>
        </row>
        <row r="332">
          <cell r="A332">
            <v>447</v>
          </cell>
          <cell r="B332">
            <v>111</v>
          </cell>
          <cell r="C332" t="str">
            <v>BACON CUBOS SABOR MINEIRO CX/20X1KG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54655.47</v>
          </cell>
          <cell r="K332">
            <v>0.24</v>
          </cell>
          <cell r="L332">
            <v>988.02</v>
          </cell>
          <cell r="M332">
            <v>0.56999999999999995</v>
          </cell>
          <cell r="N332">
            <v>2</v>
          </cell>
          <cell r="O332">
            <v>59</v>
          </cell>
          <cell r="P332">
            <v>0.79</v>
          </cell>
          <cell r="Q332">
            <v>0</v>
          </cell>
          <cell r="R332">
            <v>2220</v>
          </cell>
          <cell r="S332">
            <v>0</v>
          </cell>
          <cell r="T332">
            <v>40</v>
          </cell>
        </row>
        <row r="333">
          <cell r="A333">
            <v>884</v>
          </cell>
          <cell r="B333">
            <v>111</v>
          </cell>
          <cell r="C333" t="str">
            <v>COSTELA SUINA PIF PAF CX/20KG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40840.26</v>
          </cell>
          <cell r="K333">
            <v>0.18</v>
          </cell>
          <cell r="L333">
            <v>753.1</v>
          </cell>
          <cell r="M333">
            <v>0.43</v>
          </cell>
          <cell r="N333">
            <v>2</v>
          </cell>
          <cell r="O333">
            <v>79</v>
          </cell>
          <cell r="P333">
            <v>1.06</v>
          </cell>
          <cell r="Q333">
            <v>0</v>
          </cell>
          <cell r="R333">
            <v>2220</v>
          </cell>
          <cell r="S333">
            <v>0</v>
          </cell>
          <cell r="T333">
            <v>40</v>
          </cell>
        </row>
        <row r="334">
          <cell r="A334">
            <v>3674</v>
          </cell>
          <cell r="B334">
            <v>111</v>
          </cell>
          <cell r="C334" t="str">
            <v>PAO DE QUEIJO LANCHE 100 GR FORNERIA  2X4KG</v>
          </cell>
          <cell r="D334">
            <v>11387.77</v>
          </cell>
          <cell r="E334">
            <v>7.0000000000000007E-2</v>
          </cell>
          <cell r="F334">
            <v>100</v>
          </cell>
          <cell r="G334">
            <v>0</v>
          </cell>
          <cell r="H334">
            <v>0</v>
          </cell>
          <cell r="I334">
            <v>0</v>
          </cell>
          <cell r="J334">
            <v>15544.95</v>
          </cell>
          <cell r="K334">
            <v>7.0000000000000007E-2</v>
          </cell>
          <cell r="L334">
            <v>139.88999999999999</v>
          </cell>
          <cell r="M334">
            <v>0.08</v>
          </cell>
          <cell r="N334">
            <v>1</v>
          </cell>
          <cell r="O334">
            <v>37</v>
          </cell>
          <cell r="P334">
            <v>0.5</v>
          </cell>
          <cell r="Q334">
            <v>800</v>
          </cell>
          <cell r="R334">
            <v>888</v>
          </cell>
          <cell r="S334">
            <v>0</v>
          </cell>
          <cell r="T334">
            <v>8</v>
          </cell>
        </row>
        <row r="335">
          <cell r="A335">
            <v>3123</v>
          </cell>
          <cell r="B335">
            <v>110</v>
          </cell>
          <cell r="C335" t="str">
            <v>REQUEIJAO BISNAGA SCALA 400GR</v>
          </cell>
          <cell r="D335">
            <v>1105.02</v>
          </cell>
          <cell r="E335">
            <v>0.01</v>
          </cell>
          <cell r="F335">
            <v>80</v>
          </cell>
          <cell r="G335">
            <v>0</v>
          </cell>
          <cell r="H335">
            <v>0</v>
          </cell>
          <cell r="I335">
            <v>0</v>
          </cell>
          <cell r="J335">
            <v>2213.1999999999998</v>
          </cell>
          <cell r="K335">
            <v>0.01</v>
          </cell>
          <cell r="L335">
            <v>95.55</v>
          </cell>
          <cell r="M335">
            <v>0.05</v>
          </cell>
          <cell r="N335">
            <v>5</v>
          </cell>
          <cell r="O335">
            <v>16</v>
          </cell>
          <cell r="P335">
            <v>0.22</v>
          </cell>
          <cell r="Q335">
            <v>32</v>
          </cell>
          <cell r="R335">
            <v>44</v>
          </cell>
          <cell r="S335">
            <v>0</v>
          </cell>
          <cell r="T335">
            <v>2</v>
          </cell>
        </row>
        <row r="336">
          <cell r="A336">
            <v>469</v>
          </cell>
          <cell r="B336">
            <v>109</v>
          </cell>
          <cell r="C336" t="str">
            <v>BATATA P.FRITA CRINKLE QUALITY FRIES 6X2KG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17853.330000000002</v>
          </cell>
          <cell r="K336">
            <v>0.08</v>
          </cell>
          <cell r="L336">
            <v>652.48</v>
          </cell>
          <cell r="M336">
            <v>0.38</v>
          </cell>
          <cell r="N336">
            <v>4</v>
          </cell>
          <cell r="O336">
            <v>51</v>
          </cell>
          <cell r="P336">
            <v>0.69</v>
          </cell>
          <cell r="Q336">
            <v>0</v>
          </cell>
          <cell r="R336">
            <v>1308</v>
          </cell>
          <cell r="S336">
            <v>0</v>
          </cell>
          <cell r="T336">
            <v>48</v>
          </cell>
        </row>
        <row r="337">
          <cell r="A337">
            <v>4233</v>
          </cell>
          <cell r="B337">
            <v>108.91</v>
          </cell>
          <cell r="C337" t="str">
            <v>MUSCULO DIANTEIRO CARA BRANCA</v>
          </cell>
          <cell r="D337">
            <v>11449.89</v>
          </cell>
          <cell r="E337">
            <v>7.0000000000000007E-2</v>
          </cell>
          <cell r="F337">
            <v>437.49</v>
          </cell>
          <cell r="G337">
            <v>0</v>
          </cell>
          <cell r="H337">
            <v>0</v>
          </cell>
          <cell r="I337">
            <v>0</v>
          </cell>
          <cell r="J337">
            <v>3361.98</v>
          </cell>
          <cell r="K337">
            <v>0.01</v>
          </cell>
          <cell r="L337">
            <v>0</v>
          </cell>
          <cell r="M337">
            <v>0</v>
          </cell>
          <cell r="N337">
            <v>0</v>
          </cell>
          <cell r="O337">
            <v>5</v>
          </cell>
          <cell r="P337">
            <v>7.0000000000000007E-2</v>
          </cell>
          <cell r="Q337">
            <v>437.49</v>
          </cell>
          <cell r="R337">
            <v>108.91</v>
          </cell>
          <cell r="S337">
            <v>0</v>
          </cell>
          <cell r="T337">
            <v>0</v>
          </cell>
        </row>
        <row r="338">
          <cell r="A338">
            <v>340</v>
          </cell>
          <cell r="B338">
            <v>107.44</v>
          </cell>
          <cell r="C338" t="str">
            <v>QUEIJO PARMESAO INTEIRO CRISTAULAT  KG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5768.28</v>
          </cell>
          <cell r="K338">
            <v>0.03</v>
          </cell>
          <cell r="L338">
            <v>321.55</v>
          </cell>
          <cell r="M338">
            <v>0.19</v>
          </cell>
          <cell r="N338">
            <v>6</v>
          </cell>
          <cell r="O338">
            <v>15</v>
          </cell>
          <cell r="P338">
            <v>0.2</v>
          </cell>
          <cell r="Q338">
            <v>0</v>
          </cell>
          <cell r="R338">
            <v>107.44</v>
          </cell>
          <cell r="S338">
            <v>0</v>
          </cell>
          <cell r="T338">
            <v>6</v>
          </cell>
        </row>
        <row r="339">
          <cell r="A339">
            <v>746</v>
          </cell>
          <cell r="B339">
            <v>107</v>
          </cell>
          <cell r="C339" t="str">
            <v>SUCO NECTAR UVA TIAL CX/12X1LT</v>
          </cell>
          <cell r="D339">
            <v>9690</v>
          </cell>
          <cell r="E339">
            <v>0.06</v>
          </cell>
          <cell r="F339">
            <v>170</v>
          </cell>
          <cell r="G339">
            <v>0</v>
          </cell>
          <cell r="H339">
            <v>0</v>
          </cell>
          <cell r="I339">
            <v>0</v>
          </cell>
          <cell r="J339">
            <v>7343.78</v>
          </cell>
          <cell r="K339">
            <v>0.03</v>
          </cell>
          <cell r="L339">
            <v>136.62</v>
          </cell>
          <cell r="M339">
            <v>0.08</v>
          </cell>
          <cell r="N339">
            <v>2</v>
          </cell>
          <cell r="O339">
            <v>77</v>
          </cell>
          <cell r="P339">
            <v>1.04</v>
          </cell>
          <cell r="Q339">
            <v>2040</v>
          </cell>
          <cell r="R339">
            <v>1284</v>
          </cell>
          <cell r="S339">
            <v>0</v>
          </cell>
          <cell r="T339">
            <v>24</v>
          </cell>
        </row>
        <row r="340">
          <cell r="A340">
            <v>127</v>
          </cell>
          <cell r="B340">
            <v>106</v>
          </cell>
          <cell r="C340" t="str">
            <v>PONTA COSTELA SUINA FLIP PIF PAF 8X1KG</v>
          </cell>
          <cell r="D340">
            <v>3496.33</v>
          </cell>
          <cell r="E340">
            <v>0.02</v>
          </cell>
          <cell r="F340">
            <v>50</v>
          </cell>
          <cell r="G340">
            <v>0</v>
          </cell>
          <cell r="H340">
            <v>0</v>
          </cell>
          <cell r="I340">
            <v>0</v>
          </cell>
          <cell r="J340">
            <v>9419.4</v>
          </cell>
          <cell r="K340">
            <v>0.04</v>
          </cell>
          <cell r="L340">
            <v>0</v>
          </cell>
          <cell r="M340">
            <v>0</v>
          </cell>
          <cell r="N340">
            <v>0</v>
          </cell>
          <cell r="O340">
            <v>56</v>
          </cell>
          <cell r="P340">
            <v>0.75</v>
          </cell>
          <cell r="Q340">
            <v>400</v>
          </cell>
          <cell r="R340">
            <v>848</v>
          </cell>
          <cell r="S340">
            <v>0</v>
          </cell>
          <cell r="T340">
            <v>0</v>
          </cell>
        </row>
        <row r="341">
          <cell r="A341">
            <v>800</v>
          </cell>
          <cell r="B341">
            <v>103</v>
          </cell>
          <cell r="C341" t="str">
            <v>EXTRATO TOMATE SACHE SALSARETTI CX\6X1,7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1435.1</v>
          </cell>
          <cell r="K341">
            <v>0.01</v>
          </cell>
          <cell r="L341">
            <v>0</v>
          </cell>
          <cell r="M341">
            <v>0</v>
          </cell>
          <cell r="N341">
            <v>0</v>
          </cell>
          <cell r="O341">
            <v>12</v>
          </cell>
          <cell r="P341">
            <v>0.16</v>
          </cell>
          <cell r="Q341">
            <v>0</v>
          </cell>
          <cell r="R341">
            <v>175.1</v>
          </cell>
          <cell r="S341">
            <v>0</v>
          </cell>
          <cell r="T341">
            <v>0</v>
          </cell>
        </row>
        <row r="342">
          <cell r="A342">
            <v>199</v>
          </cell>
          <cell r="B342">
            <v>102</v>
          </cell>
          <cell r="C342" t="str">
            <v>BATATA PALHA MAGU FD/30X100GR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9824.5</v>
          </cell>
          <cell r="K342">
            <v>0.04</v>
          </cell>
          <cell r="L342">
            <v>0</v>
          </cell>
          <cell r="M342">
            <v>0</v>
          </cell>
          <cell r="N342">
            <v>0</v>
          </cell>
          <cell r="O342">
            <v>85</v>
          </cell>
          <cell r="P342">
            <v>1.1399999999999999</v>
          </cell>
          <cell r="Q342">
            <v>0</v>
          </cell>
          <cell r="R342">
            <v>306</v>
          </cell>
          <cell r="S342">
            <v>0</v>
          </cell>
          <cell r="T342">
            <v>0</v>
          </cell>
        </row>
        <row r="343">
          <cell r="A343">
            <v>897</v>
          </cell>
          <cell r="B343">
            <v>102</v>
          </cell>
          <cell r="C343" t="str">
            <v>HAMBURGUER ENVELOPADO LEBON CX\36UN</v>
          </cell>
          <cell r="D343">
            <v>176.48</v>
          </cell>
          <cell r="E343">
            <v>0</v>
          </cell>
          <cell r="F343">
            <v>5</v>
          </cell>
          <cell r="G343">
            <v>0</v>
          </cell>
          <cell r="H343">
            <v>0</v>
          </cell>
          <cell r="I343">
            <v>0</v>
          </cell>
          <cell r="J343">
            <v>4065.35</v>
          </cell>
          <cell r="K343">
            <v>0.02</v>
          </cell>
          <cell r="L343">
            <v>0</v>
          </cell>
          <cell r="M343">
            <v>0</v>
          </cell>
          <cell r="N343">
            <v>0</v>
          </cell>
          <cell r="O343">
            <v>48</v>
          </cell>
          <cell r="P343">
            <v>0.65</v>
          </cell>
          <cell r="Q343">
            <v>10.08</v>
          </cell>
          <cell r="R343">
            <v>205.63</v>
          </cell>
          <cell r="S343">
            <v>0</v>
          </cell>
          <cell r="T343">
            <v>0</v>
          </cell>
        </row>
        <row r="344">
          <cell r="A344">
            <v>601</v>
          </cell>
          <cell r="B344">
            <v>101</v>
          </cell>
          <cell r="C344" t="str">
            <v>LEITE UHT DESNATADO IBITURUNA CX\12LT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6886.03</v>
          </cell>
          <cell r="K344">
            <v>0.03</v>
          </cell>
          <cell r="L344">
            <v>66.59</v>
          </cell>
          <cell r="M344">
            <v>0.04</v>
          </cell>
          <cell r="N344">
            <v>1</v>
          </cell>
          <cell r="O344">
            <v>60</v>
          </cell>
          <cell r="P344">
            <v>0.81</v>
          </cell>
          <cell r="Q344">
            <v>0</v>
          </cell>
          <cell r="R344">
            <v>1212</v>
          </cell>
          <cell r="S344">
            <v>0</v>
          </cell>
          <cell r="T344">
            <v>12</v>
          </cell>
        </row>
        <row r="345">
          <cell r="A345">
            <v>3125</v>
          </cell>
          <cell r="B345">
            <v>100</v>
          </cell>
          <cell r="C345" t="str">
            <v>REQUEIJAO CHEDDAR BISNAGA SCALA 400GR</v>
          </cell>
          <cell r="D345">
            <v>1220.92</v>
          </cell>
          <cell r="E345">
            <v>0.01</v>
          </cell>
          <cell r="F345">
            <v>80</v>
          </cell>
          <cell r="G345">
            <v>0</v>
          </cell>
          <cell r="H345">
            <v>0</v>
          </cell>
          <cell r="I345">
            <v>0</v>
          </cell>
          <cell r="J345">
            <v>2001.05</v>
          </cell>
          <cell r="K345">
            <v>0.01</v>
          </cell>
          <cell r="L345">
            <v>0</v>
          </cell>
          <cell r="M345">
            <v>0</v>
          </cell>
          <cell r="N345">
            <v>0</v>
          </cell>
          <cell r="O345">
            <v>15</v>
          </cell>
          <cell r="P345">
            <v>0.2</v>
          </cell>
          <cell r="Q345">
            <v>32</v>
          </cell>
          <cell r="R345">
            <v>40</v>
          </cell>
          <cell r="S345">
            <v>0</v>
          </cell>
          <cell r="T345">
            <v>0</v>
          </cell>
        </row>
        <row r="346">
          <cell r="A346">
            <v>374</v>
          </cell>
          <cell r="B346">
            <v>99</v>
          </cell>
          <cell r="C346" t="str">
            <v>LING MINEIRA APIMENTADA PIF PAF CX\8X800</v>
          </cell>
          <cell r="D346">
            <v>3751.61</v>
          </cell>
          <cell r="E346">
            <v>0.02</v>
          </cell>
          <cell r="F346">
            <v>32</v>
          </cell>
          <cell r="G346">
            <v>0</v>
          </cell>
          <cell r="H346">
            <v>0</v>
          </cell>
          <cell r="I346">
            <v>0</v>
          </cell>
          <cell r="J346">
            <v>13881.12</v>
          </cell>
          <cell r="K346">
            <v>0.06</v>
          </cell>
          <cell r="L346">
            <v>0</v>
          </cell>
          <cell r="M346">
            <v>0</v>
          </cell>
          <cell r="N346">
            <v>0</v>
          </cell>
          <cell r="O346">
            <v>67</v>
          </cell>
          <cell r="P346">
            <v>0.9</v>
          </cell>
          <cell r="Q346">
            <v>256</v>
          </cell>
          <cell r="R346">
            <v>792</v>
          </cell>
          <cell r="S346">
            <v>0</v>
          </cell>
          <cell r="T346">
            <v>0</v>
          </cell>
        </row>
        <row r="347">
          <cell r="A347">
            <v>712</v>
          </cell>
          <cell r="B347">
            <v>99</v>
          </cell>
          <cell r="C347" t="str">
            <v>PRESUNTO AURORA 3,5 KG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8258.6</v>
          </cell>
          <cell r="K347">
            <v>0.04</v>
          </cell>
          <cell r="L347">
            <v>166.6</v>
          </cell>
          <cell r="M347">
            <v>0.1</v>
          </cell>
          <cell r="N347">
            <v>2</v>
          </cell>
          <cell r="O347">
            <v>33</v>
          </cell>
          <cell r="P347">
            <v>0.44</v>
          </cell>
          <cell r="Q347">
            <v>0</v>
          </cell>
          <cell r="R347">
            <v>346.5</v>
          </cell>
          <cell r="S347">
            <v>0</v>
          </cell>
          <cell r="T347">
            <v>7</v>
          </cell>
        </row>
        <row r="348">
          <cell r="A348">
            <v>2329</v>
          </cell>
          <cell r="B348">
            <v>97</v>
          </cell>
          <cell r="C348" t="str">
            <v>BATATA P.FRITA PIF PAF CX/5X2KG</v>
          </cell>
          <cell r="D348">
            <v>59703.63</v>
          </cell>
          <cell r="E348">
            <v>0.38</v>
          </cell>
          <cell r="F348">
            <v>600</v>
          </cell>
          <cell r="G348">
            <v>0</v>
          </cell>
          <cell r="H348">
            <v>0</v>
          </cell>
          <cell r="I348">
            <v>0</v>
          </cell>
          <cell r="J348">
            <v>10919.7</v>
          </cell>
          <cell r="K348">
            <v>0.05</v>
          </cell>
          <cell r="L348">
            <v>227.7</v>
          </cell>
          <cell r="M348">
            <v>0.13</v>
          </cell>
          <cell r="N348">
            <v>2</v>
          </cell>
          <cell r="O348">
            <v>41</v>
          </cell>
          <cell r="P348">
            <v>0.55000000000000004</v>
          </cell>
          <cell r="Q348">
            <v>6000</v>
          </cell>
          <cell r="R348">
            <v>970</v>
          </cell>
          <cell r="S348">
            <v>0</v>
          </cell>
          <cell r="T348">
            <v>20</v>
          </cell>
        </row>
        <row r="349">
          <cell r="A349">
            <v>4070</v>
          </cell>
          <cell r="B349">
            <v>97</v>
          </cell>
          <cell r="C349" t="str">
            <v>COSTELA ABA BARRIGA SUINA REZENDE CX18KG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28860.14</v>
          </cell>
          <cell r="K349">
            <v>0.13</v>
          </cell>
          <cell r="L349">
            <v>593.67999999999995</v>
          </cell>
          <cell r="M349">
            <v>0.34</v>
          </cell>
          <cell r="N349">
            <v>2</v>
          </cell>
          <cell r="O349">
            <v>74</v>
          </cell>
          <cell r="P349">
            <v>1</v>
          </cell>
          <cell r="Q349">
            <v>0</v>
          </cell>
          <cell r="R349">
            <v>1746</v>
          </cell>
          <cell r="S349">
            <v>0</v>
          </cell>
          <cell r="T349">
            <v>36</v>
          </cell>
        </row>
        <row r="350">
          <cell r="A350">
            <v>58</v>
          </cell>
          <cell r="B350">
            <v>97</v>
          </cell>
          <cell r="C350" t="str">
            <v>PEITO FRANGO INTER FRANCAP CX/20KG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17993.46</v>
          </cell>
          <cell r="K350">
            <v>0.08</v>
          </cell>
          <cell r="L350">
            <v>0</v>
          </cell>
          <cell r="M350">
            <v>0</v>
          </cell>
          <cell r="N350">
            <v>0</v>
          </cell>
          <cell r="O350">
            <v>18</v>
          </cell>
          <cell r="P350">
            <v>0.24</v>
          </cell>
          <cell r="Q350">
            <v>0</v>
          </cell>
          <cell r="R350">
            <v>1940</v>
          </cell>
          <cell r="S350">
            <v>0</v>
          </cell>
          <cell r="T350">
            <v>0</v>
          </cell>
        </row>
        <row r="351">
          <cell r="A351">
            <v>739</v>
          </cell>
          <cell r="B351">
            <v>97</v>
          </cell>
          <cell r="C351" t="str">
            <v>SUCO NECTAR LARANJA TIAL CX\24X200ML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3725.28</v>
          </cell>
          <cell r="K351">
            <v>0.02</v>
          </cell>
          <cell r="L351">
            <v>0</v>
          </cell>
          <cell r="M351">
            <v>0</v>
          </cell>
          <cell r="N351">
            <v>0</v>
          </cell>
          <cell r="O351">
            <v>73</v>
          </cell>
          <cell r="P351">
            <v>0.98</v>
          </cell>
          <cell r="Q351">
            <v>0</v>
          </cell>
          <cell r="R351">
            <v>465.6</v>
          </cell>
          <cell r="S351">
            <v>0</v>
          </cell>
          <cell r="T351">
            <v>0</v>
          </cell>
        </row>
        <row r="352">
          <cell r="A352">
            <v>4123</v>
          </cell>
          <cell r="B352">
            <v>96</v>
          </cell>
          <cell r="C352" t="str">
            <v>CORACAO FRANGO BANDEJA LAR CX16X1KG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51305.36</v>
          </cell>
          <cell r="K352">
            <v>0.22</v>
          </cell>
          <cell r="L352">
            <v>0</v>
          </cell>
          <cell r="M352">
            <v>0</v>
          </cell>
          <cell r="N352">
            <v>0</v>
          </cell>
          <cell r="O352">
            <v>80</v>
          </cell>
          <cell r="P352">
            <v>1.08</v>
          </cell>
          <cell r="Q352">
            <v>0</v>
          </cell>
          <cell r="R352">
            <v>1536</v>
          </cell>
          <cell r="S352">
            <v>0</v>
          </cell>
          <cell r="T352">
            <v>0</v>
          </cell>
        </row>
        <row r="353">
          <cell r="A353">
            <v>574</v>
          </cell>
          <cell r="B353">
            <v>96</v>
          </cell>
          <cell r="C353" t="str">
            <v>IOGURTE YOGUEDES FD\12X450</v>
          </cell>
          <cell r="D353">
            <v>3037.47</v>
          </cell>
          <cell r="E353">
            <v>0.02</v>
          </cell>
          <cell r="F353">
            <v>100</v>
          </cell>
          <cell r="G353">
            <v>0</v>
          </cell>
          <cell r="H353">
            <v>0</v>
          </cell>
          <cell r="I353">
            <v>0</v>
          </cell>
          <cell r="J353">
            <v>3909.65</v>
          </cell>
          <cell r="K353">
            <v>0.02</v>
          </cell>
          <cell r="L353">
            <v>122.01</v>
          </cell>
          <cell r="M353">
            <v>7.0000000000000007E-2</v>
          </cell>
          <cell r="N353">
            <v>3</v>
          </cell>
          <cell r="O353">
            <v>59</v>
          </cell>
          <cell r="P353">
            <v>0.79</v>
          </cell>
          <cell r="Q353">
            <v>540</v>
          </cell>
          <cell r="R353">
            <v>518.4</v>
          </cell>
          <cell r="S353">
            <v>0</v>
          </cell>
          <cell r="T353">
            <v>16.2</v>
          </cell>
        </row>
        <row r="354">
          <cell r="A354">
            <v>237</v>
          </cell>
          <cell r="B354">
            <v>96</v>
          </cell>
          <cell r="C354" t="str">
            <v>LING TOSCANA SEARA  5KG</v>
          </cell>
          <cell r="D354">
            <v>1206</v>
          </cell>
          <cell r="E354">
            <v>0.01</v>
          </cell>
          <cell r="F354">
            <v>20</v>
          </cell>
          <cell r="G354">
            <v>0</v>
          </cell>
          <cell r="H354">
            <v>0</v>
          </cell>
          <cell r="I354">
            <v>0</v>
          </cell>
          <cell r="J354">
            <v>6869.05</v>
          </cell>
          <cell r="K354">
            <v>0.03</v>
          </cell>
          <cell r="L354">
            <v>284.2</v>
          </cell>
          <cell r="M354">
            <v>0.16</v>
          </cell>
          <cell r="N354">
            <v>4</v>
          </cell>
          <cell r="O354">
            <v>28</v>
          </cell>
          <cell r="P354">
            <v>0.38</v>
          </cell>
          <cell r="Q354">
            <v>100</v>
          </cell>
          <cell r="R354">
            <v>480</v>
          </cell>
          <cell r="S354">
            <v>0</v>
          </cell>
          <cell r="T354">
            <v>20</v>
          </cell>
        </row>
        <row r="355">
          <cell r="A355">
            <v>2587</v>
          </cell>
          <cell r="B355">
            <v>96</v>
          </cell>
          <cell r="C355" t="str">
            <v>MAIONESE SACHE SALADA CX\6X3KG</v>
          </cell>
          <cell r="D355">
            <v>2757.6</v>
          </cell>
          <cell r="E355">
            <v>0.02</v>
          </cell>
          <cell r="F355">
            <v>120</v>
          </cell>
          <cell r="G355">
            <v>0</v>
          </cell>
          <cell r="H355">
            <v>0</v>
          </cell>
          <cell r="I355">
            <v>0</v>
          </cell>
          <cell r="J355">
            <v>2706.09</v>
          </cell>
          <cell r="K355">
            <v>0.01</v>
          </cell>
          <cell r="L355">
            <v>0</v>
          </cell>
          <cell r="M355">
            <v>0</v>
          </cell>
          <cell r="N355">
            <v>0</v>
          </cell>
          <cell r="O355">
            <v>35</v>
          </cell>
          <cell r="P355">
            <v>0.47</v>
          </cell>
          <cell r="Q355">
            <v>360</v>
          </cell>
          <cell r="R355">
            <v>288</v>
          </cell>
          <cell r="S355">
            <v>0</v>
          </cell>
          <cell r="T355">
            <v>0</v>
          </cell>
        </row>
        <row r="356">
          <cell r="A356">
            <v>576</v>
          </cell>
          <cell r="B356">
            <v>95</v>
          </cell>
          <cell r="C356" t="str">
            <v>IOGURTE YOGUEDES FD\20X180</v>
          </cell>
          <cell r="D356">
            <v>2884.13</v>
          </cell>
          <cell r="E356">
            <v>0.02</v>
          </cell>
          <cell r="F356">
            <v>110</v>
          </cell>
          <cell r="G356">
            <v>0</v>
          </cell>
          <cell r="H356">
            <v>0</v>
          </cell>
          <cell r="I356">
            <v>0</v>
          </cell>
          <cell r="J356">
            <v>3737.3</v>
          </cell>
          <cell r="K356">
            <v>0.02</v>
          </cell>
          <cell r="L356">
            <v>0</v>
          </cell>
          <cell r="M356">
            <v>0</v>
          </cell>
          <cell r="N356">
            <v>0</v>
          </cell>
          <cell r="O356">
            <v>69</v>
          </cell>
          <cell r="P356">
            <v>0.93</v>
          </cell>
          <cell r="Q356">
            <v>396</v>
          </cell>
          <cell r="R356">
            <v>342</v>
          </cell>
          <cell r="S356">
            <v>0</v>
          </cell>
          <cell r="T356">
            <v>0</v>
          </cell>
        </row>
        <row r="357">
          <cell r="A357">
            <v>3127</v>
          </cell>
          <cell r="B357">
            <v>95</v>
          </cell>
          <cell r="C357" t="str">
            <v>REQUEIJAO C.CHEESE BISNAGA SCALA 400GR</v>
          </cell>
          <cell r="D357">
            <v>1236.8900000000001</v>
          </cell>
          <cell r="E357">
            <v>0.01</v>
          </cell>
          <cell r="F357">
            <v>80</v>
          </cell>
          <cell r="G357">
            <v>0</v>
          </cell>
          <cell r="H357">
            <v>0</v>
          </cell>
          <cell r="I357">
            <v>0</v>
          </cell>
          <cell r="J357">
            <v>1914.6</v>
          </cell>
          <cell r="K357">
            <v>0.01</v>
          </cell>
          <cell r="L357">
            <v>0</v>
          </cell>
          <cell r="M357">
            <v>0</v>
          </cell>
          <cell r="N357">
            <v>0</v>
          </cell>
          <cell r="O357">
            <v>17</v>
          </cell>
          <cell r="P357">
            <v>0.23</v>
          </cell>
          <cell r="Q357">
            <v>32</v>
          </cell>
          <cell r="R357">
            <v>38</v>
          </cell>
          <cell r="S357">
            <v>0</v>
          </cell>
          <cell r="T357">
            <v>0</v>
          </cell>
        </row>
        <row r="358">
          <cell r="A358">
            <v>4101</v>
          </cell>
          <cell r="B358">
            <v>94.03</v>
          </cell>
          <cell r="C358" t="str">
            <v>COXAO MOLE BOVINO CARA PRETA KG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4469.0600000000004</v>
          </cell>
          <cell r="K358">
            <v>0.02</v>
          </cell>
          <cell r="L358">
            <v>0</v>
          </cell>
          <cell r="M358">
            <v>0</v>
          </cell>
          <cell r="N358">
            <v>0</v>
          </cell>
          <cell r="O358">
            <v>3</v>
          </cell>
          <cell r="P358">
            <v>0.04</v>
          </cell>
          <cell r="Q358">
            <v>0</v>
          </cell>
          <cell r="R358">
            <v>94.03</v>
          </cell>
          <cell r="S358">
            <v>0</v>
          </cell>
          <cell r="T358">
            <v>0</v>
          </cell>
        </row>
        <row r="359">
          <cell r="A359">
            <v>193</v>
          </cell>
          <cell r="B359">
            <v>93</v>
          </cell>
          <cell r="C359" t="str">
            <v>COCO RALADO MENINA CX/24X100GR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6852</v>
          </cell>
          <cell r="K359">
            <v>0.03</v>
          </cell>
          <cell r="L359">
            <v>0</v>
          </cell>
          <cell r="M359">
            <v>0</v>
          </cell>
          <cell r="N359">
            <v>0</v>
          </cell>
          <cell r="O359">
            <v>78</v>
          </cell>
          <cell r="P359">
            <v>1.05</v>
          </cell>
          <cell r="Q359">
            <v>0</v>
          </cell>
          <cell r="R359">
            <v>232.5</v>
          </cell>
          <cell r="S359">
            <v>0</v>
          </cell>
          <cell r="T359">
            <v>0</v>
          </cell>
        </row>
        <row r="360">
          <cell r="A360">
            <v>324</v>
          </cell>
          <cell r="B360">
            <v>92</v>
          </cell>
          <cell r="C360" t="str">
            <v>SPETTIN FRANGO PIF PAF EMPANADO CX\3KG</v>
          </cell>
          <cell r="D360">
            <v>6114.03</v>
          </cell>
          <cell r="E360">
            <v>0.04</v>
          </cell>
          <cell r="F360">
            <v>80</v>
          </cell>
          <cell r="G360">
            <v>0</v>
          </cell>
          <cell r="H360">
            <v>0</v>
          </cell>
          <cell r="I360">
            <v>0</v>
          </cell>
          <cell r="J360">
            <v>8235.7000000000007</v>
          </cell>
          <cell r="K360">
            <v>0.04</v>
          </cell>
          <cell r="L360">
            <v>87</v>
          </cell>
          <cell r="M360">
            <v>0.05</v>
          </cell>
          <cell r="N360">
            <v>1</v>
          </cell>
          <cell r="O360">
            <v>34</v>
          </cell>
          <cell r="P360">
            <v>0.46</v>
          </cell>
          <cell r="Q360">
            <v>240</v>
          </cell>
          <cell r="R360">
            <v>276</v>
          </cell>
          <cell r="S360">
            <v>0</v>
          </cell>
          <cell r="T360">
            <v>3</v>
          </cell>
        </row>
        <row r="361">
          <cell r="A361">
            <v>737</v>
          </cell>
          <cell r="B361">
            <v>91</v>
          </cell>
          <cell r="C361" t="str">
            <v>SUCO NECTAR GOIABA TIAL CX/12X1LT</v>
          </cell>
          <cell r="D361">
            <v>9690</v>
          </cell>
          <cell r="E361">
            <v>0.06</v>
          </cell>
          <cell r="F361">
            <v>170</v>
          </cell>
          <cell r="G361">
            <v>0</v>
          </cell>
          <cell r="H361">
            <v>0</v>
          </cell>
          <cell r="I361">
            <v>0</v>
          </cell>
          <cell r="J361">
            <v>6237.65</v>
          </cell>
          <cell r="K361">
            <v>0.03</v>
          </cell>
          <cell r="L361">
            <v>0</v>
          </cell>
          <cell r="M361">
            <v>0</v>
          </cell>
          <cell r="N361">
            <v>0</v>
          </cell>
          <cell r="O361">
            <v>69</v>
          </cell>
          <cell r="P361">
            <v>0.93</v>
          </cell>
          <cell r="Q361">
            <v>2040</v>
          </cell>
          <cell r="R361">
            <v>1092</v>
          </cell>
          <cell r="S361">
            <v>0</v>
          </cell>
          <cell r="T361">
            <v>0</v>
          </cell>
        </row>
        <row r="362">
          <cell r="A362">
            <v>578</v>
          </cell>
          <cell r="B362">
            <v>90</v>
          </cell>
          <cell r="C362" t="str">
            <v>IOGURTE YOGUEDES FD\6X900</v>
          </cell>
          <cell r="D362">
            <v>3683.25</v>
          </cell>
          <cell r="E362">
            <v>0.02</v>
          </cell>
          <cell r="F362">
            <v>150</v>
          </cell>
          <cell r="G362">
            <v>0</v>
          </cell>
          <cell r="H362">
            <v>0</v>
          </cell>
          <cell r="I362">
            <v>0</v>
          </cell>
          <cell r="J362">
            <v>3101.7</v>
          </cell>
          <cell r="K362">
            <v>0.01</v>
          </cell>
          <cell r="L362">
            <v>0</v>
          </cell>
          <cell r="M362">
            <v>0</v>
          </cell>
          <cell r="N362">
            <v>0</v>
          </cell>
          <cell r="O362">
            <v>49</v>
          </cell>
          <cell r="P362">
            <v>0.66</v>
          </cell>
          <cell r="Q362">
            <v>810</v>
          </cell>
          <cell r="R362">
            <v>486</v>
          </cell>
          <cell r="S362">
            <v>0</v>
          </cell>
          <cell r="T362">
            <v>0</v>
          </cell>
        </row>
        <row r="363">
          <cell r="A363">
            <v>400</v>
          </cell>
          <cell r="B363">
            <v>89</v>
          </cell>
          <cell r="C363" t="str">
            <v>COXINHA DA ASA BANDEJA RIVELLI CX 12X1KG</v>
          </cell>
          <cell r="D363">
            <v>50039.17</v>
          </cell>
          <cell r="E363">
            <v>0.32</v>
          </cell>
          <cell r="F363">
            <v>439</v>
          </cell>
          <cell r="G363">
            <v>0</v>
          </cell>
          <cell r="H363">
            <v>0</v>
          </cell>
          <cell r="I363">
            <v>0</v>
          </cell>
          <cell r="J363">
            <v>12948.27</v>
          </cell>
          <cell r="K363">
            <v>0.06</v>
          </cell>
          <cell r="L363">
            <v>151.9</v>
          </cell>
          <cell r="M363">
            <v>0.09</v>
          </cell>
          <cell r="N363">
            <v>1</v>
          </cell>
          <cell r="O363">
            <v>64</v>
          </cell>
          <cell r="P363">
            <v>0.86</v>
          </cell>
          <cell r="Q363">
            <v>5268</v>
          </cell>
          <cell r="R363">
            <v>1068</v>
          </cell>
          <cell r="S363">
            <v>0</v>
          </cell>
          <cell r="T363">
            <v>12</v>
          </cell>
        </row>
        <row r="364">
          <cell r="A364">
            <v>3211</v>
          </cell>
          <cell r="B364">
            <v>89</v>
          </cell>
          <cell r="C364" t="str">
            <v>FIGADO DE FRANGO ATALAIA CX/20KG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7701.82</v>
          </cell>
          <cell r="K364">
            <v>0.03</v>
          </cell>
          <cell r="L364">
            <v>558.6</v>
          </cell>
          <cell r="M364">
            <v>0.32</v>
          </cell>
          <cell r="N364">
            <v>6</v>
          </cell>
          <cell r="O364">
            <v>64</v>
          </cell>
          <cell r="P364">
            <v>0.86</v>
          </cell>
          <cell r="Q364">
            <v>0</v>
          </cell>
          <cell r="R364">
            <v>1780</v>
          </cell>
          <cell r="S364">
            <v>0</v>
          </cell>
          <cell r="T364">
            <v>120</v>
          </cell>
        </row>
        <row r="365">
          <cell r="A365">
            <v>812</v>
          </cell>
          <cell r="B365">
            <v>88</v>
          </cell>
          <cell r="C365" t="str">
            <v>IOGURTE BANDEJA YOGUEDES CX\12</v>
          </cell>
          <cell r="D365">
            <v>2789.78</v>
          </cell>
          <cell r="E365">
            <v>0.02</v>
          </cell>
          <cell r="F365">
            <v>90</v>
          </cell>
          <cell r="G365">
            <v>0</v>
          </cell>
          <cell r="H365">
            <v>0</v>
          </cell>
          <cell r="I365">
            <v>0</v>
          </cell>
          <cell r="J365">
            <v>3288.52</v>
          </cell>
          <cell r="K365">
            <v>0.01</v>
          </cell>
          <cell r="L365">
            <v>37.24</v>
          </cell>
          <cell r="M365">
            <v>0.02</v>
          </cell>
          <cell r="N365">
            <v>1</v>
          </cell>
          <cell r="O365">
            <v>56</v>
          </cell>
          <cell r="P365">
            <v>0.75</v>
          </cell>
          <cell r="Q365">
            <v>486</v>
          </cell>
          <cell r="R365">
            <v>475.2</v>
          </cell>
          <cell r="S365">
            <v>0</v>
          </cell>
          <cell r="T365">
            <v>5.4</v>
          </cell>
        </row>
        <row r="366">
          <cell r="A366">
            <v>2922</v>
          </cell>
          <cell r="B366">
            <v>88</v>
          </cell>
          <cell r="C366" t="str">
            <v>MOLHO TOMATE PREDILECTA CX32X300GR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3932.11</v>
          </cell>
          <cell r="K366">
            <v>0.02</v>
          </cell>
          <cell r="L366">
            <v>89.18</v>
          </cell>
          <cell r="M366">
            <v>0.05</v>
          </cell>
          <cell r="N366">
            <v>2</v>
          </cell>
          <cell r="O366">
            <v>60</v>
          </cell>
          <cell r="P366">
            <v>0.81</v>
          </cell>
          <cell r="Q366">
            <v>0</v>
          </cell>
          <cell r="R366">
            <v>844.8</v>
          </cell>
          <cell r="S366">
            <v>0</v>
          </cell>
          <cell r="T366">
            <v>19.2</v>
          </cell>
        </row>
        <row r="367">
          <cell r="A367">
            <v>3989</v>
          </cell>
          <cell r="B367">
            <v>86.53</v>
          </cell>
          <cell r="C367" t="str">
            <v>PICANHA SUINA DICASA KG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1772.04</v>
          </cell>
          <cell r="K367">
            <v>0.01</v>
          </cell>
          <cell r="L367">
            <v>0</v>
          </cell>
          <cell r="M367">
            <v>0</v>
          </cell>
          <cell r="N367">
            <v>0</v>
          </cell>
          <cell r="O367">
            <v>4</v>
          </cell>
          <cell r="P367">
            <v>0.05</v>
          </cell>
          <cell r="Q367">
            <v>0</v>
          </cell>
          <cell r="R367">
            <v>86.53</v>
          </cell>
          <cell r="S367">
            <v>0</v>
          </cell>
          <cell r="T367">
            <v>0</v>
          </cell>
        </row>
        <row r="368">
          <cell r="A368">
            <v>1980</v>
          </cell>
          <cell r="B368">
            <v>86</v>
          </cell>
          <cell r="C368" t="str">
            <v>ASA FRANGO INTERFOLHADA FERREIRA CX\20KG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21234.47</v>
          </cell>
          <cell r="K368">
            <v>0.09</v>
          </cell>
          <cell r="L368">
            <v>247.89</v>
          </cell>
          <cell r="M368">
            <v>0.14000000000000001</v>
          </cell>
          <cell r="N368">
            <v>1</v>
          </cell>
          <cell r="O368">
            <v>35</v>
          </cell>
          <cell r="P368">
            <v>0.47</v>
          </cell>
          <cell r="Q368">
            <v>0</v>
          </cell>
          <cell r="R368">
            <v>1720</v>
          </cell>
          <cell r="S368">
            <v>0</v>
          </cell>
          <cell r="T368">
            <v>20</v>
          </cell>
        </row>
        <row r="369">
          <cell r="A369">
            <v>293</v>
          </cell>
          <cell r="B369">
            <v>86</v>
          </cell>
          <cell r="C369" t="str">
            <v>HOT HIT PICANHA SEARA CX\18X145G</v>
          </cell>
          <cell r="D369">
            <v>7406.4</v>
          </cell>
          <cell r="E369">
            <v>0.05</v>
          </cell>
          <cell r="F369">
            <v>90</v>
          </cell>
          <cell r="G369">
            <v>0</v>
          </cell>
          <cell r="H369">
            <v>0</v>
          </cell>
          <cell r="I369">
            <v>0</v>
          </cell>
          <cell r="J369">
            <v>8655.06</v>
          </cell>
          <cell r="K369">
            <v>0.04</v>
          </cell>
          <cell r="L369">
            <v>0</v>
          </cell>
          <cell r="M369">
            <v>0</v>
          </cell>
          <cell r="N369">
            <v>0</v>
          </cell>
          <cell r="O369">
            <v>74</v>
          </cell>
          <cell r="P369">
            <v>1</v>
          </cell>
          <cell r="Q369">
            <v>234.9</v>
          </cell>
          <cell r="R369">
            <v>224.46</v>
          </cell>
          <cell r="S369">
            <v>0</v>
          </cell>
          <cell r="T369">
            <v>0</v>
          </cell>
        </row>
        <row r="370">
          <cell r="A370">
            <v>3282</v>
          </cell>
          <cell r="B370">
            <v>85</v>
          </cell>
          <cell r="C370" t="str">
            <v>BATATA P.FRITA 7MM QUALITY FRIES CX\6X2KG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12655.55</v>
          </cell>
          <cell r="K370">
            <v>0.06</v>
          </cell>
          <cell r="L370">
            <v>446.13</v>
          </cell>
          <cell r="M370">
            <v>0.26</v>
          </cell>
          <cell r="N370">
            <v>3</v>
          </cell>
          <cell r="O370">
            <v>38</v>
          </cell>
          <cell r="P370">
            <v>0.51</v>
          </cell>
          <cell r="Q370">
            <v>0</v>
          </cell>
          <cell r="R370">
            <v>1020</v>
          </cell>
          <cell r="S370">
            <v>0</v>
          </cell>
          <cell r="T370">
            <v>36</v>
          </cell>
        </row>
        <row r="371">
          <cell r="A371">
            <v>1997</v>
          </cell>
          <cell r="B371">
            <v>85</v>
          </cell>
          <cell r="C371" t="str">
            <v>COXA SOBRECOXA DORSAL ENVEL LAR CX 18KG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10481.4</v>
          </cell>
          <cell r="K371">
            <v>0.05</v>
          </cell>
          <cell r="L371">
            <v>5035.2</v>
          </cell>
          <cell r="M371">
            <v>2.9</v>
          </cell>
          <cell r="N371">
            <v>40</v>
          </cell>
          <cell r="O371">
            <v>15</v>
          </cell>
          <cell r="P371">
            <v>0.2</v>
          </cell>
          <cell r="Q371">
            <v>0</v>
          </cell>
          <cell r="R371">
            <v>1530</v>
          </cell>
          <cell r="S371">
            <v>0</v>
          </cell>
          <cell r="T371">
            <v>720</v>
          </cell>
        </row>
        <row r="372">
          <cell r="A372">
            <v>244</v>
          </cell>
          <cell r="B372">
            <v>85</v>
          </cell>
          <cell r="C372" t="str">
            <v>HAMBURGUER SEARA TEXAS ENVELOPADO 36X90G</v>
          </cell>
          <cell r="D372">
            <v>5990.76</v>
          </cell>
          <cell r="E372">
            <v>0.04</v>
          </cell>
          <cell r="F372">
            <v>100</v>
          </cell>
          <cell r="G372">
            <v>0</v>
          </cell>
          <cell r="H372">
            <v>0</v>
          </cell>
          <cell r="I372">
            <v>0</v>
          </cell>
          <cell r="J372">
            <v>5845.11</v>
          </cell>
          <cell r="K372">
            <v>0.03</v>
          </cell>
          <cell r="L372">
            <v>0</v>
          </cell>
          <cell r="M372">
            <v>0</v>
          </cell>
          <cell r="N372">
            <v>0</v>
          </cell>
          <cell r="O372">
            <v>25</v>
          </cell>
          <cell r="P372">
            <v>0.34</v>
          </cell>
          <cell r="Q372">
            <v>324</v>
          </cell>
          <cell r="R372">
            <v>275.39999999999998</v>
          </cell>
          <cell r="S372">
            <v>0</v>
          </cell>
          <cell r="T372">
            <v>0</v>
          </cell>
        </row>
        <row r="373">
          <cell r="A373">
            <v>848</v>
          </cell>
          <cell r="B373">
            <v>85</v>
          </cell>
          <cell r="C373" t="str">
            <v>PIZZA MIX SEARA CX12X460GR</v>
          </cell>
          <cell r="D373">
            <v>15439.44</v>
          </cell>
          <cell r="E373">
            <v>0.1</v>
          </cell>
          <cell r="F373">
            <v>100</v>
          </cell>
          <cell r="G373">
            <v>0</v>
          </cell>
          <cell r="H373">
            <v>0</v>
          </cell>
          <cell r="I373">
            <v>0</v>
          </cell>
          <cell r="J373">
            <v>15826.94</v>
          </cell>
          <cell r="K373">
            <v>7.0000000000000007E-2</v>
          </cell>
          <cell r="L373">
            <v>185.91</v>
          </cell>
          <cell r="M373">
            <v>0.11</v>
          </cell>
          <cell r="N373">
            <v>1</v>
          </cell>
          <cell r="O373">
            <v>69</v>
          </cell>
          <cell r="P373">
            <v>0.93</v>
          </cell>
          <cell r="Q373">
            <v>600</v>
          </cell>
          <cell r="R373">
            <v>510</v>
          </cell>
          <cell r="S373">
            <v>0</v>
          </cell>
          <cell r="T373">
            <v>6</v>
          </cell>
        </row>
        <row r="374">
          <cell r="A374">
            <v>3087</v>
          </cell>
          <cell r="B374">
            <v>83</v>
          </cell>
          <cell r="C374" t="str">
            <v>ASA FRANGO INTERFOLHADA SEARA CX\15KG</v>
          </cell>
          <cell r="D374">
            <v>280050</v>
          </cell>
          <cell r="E374">
            <v>1.79</v>
          </cell>
          <cell r="F374">
            <v>1867</v>
          </cell>
          <cell r="G374">
            <v>0</v>
          </cell>
          <cell r="H374">
            <v>0</v>
          </cell>
          <cell r="I374">
            <v>0</v>
          </cell>
          <cell r="J374">
            <v>14829.62</v>
          </cell>
          <cell r="K374">
            <v>0.06</v>
          </cell>
          <cell r="L374">
            <v>0</v>
          </cell>
          <cell r="M374">
            <v>0</v>
          </cell>
          <cell r="N374">
            <v>0</v>
          </cell>
          <cell r="O374">
            <v>10</v>
          </cell>
          <cell r="P374">
            <v>0.13</v>
          </cell>
          <cell r="Q374">
            <v>28005</v>
          </cell>
          <cell r="R374">
            <v>1245</v>
          </cell>
          <cell r="S374">
            <v>0</v>
          </cell>
          <cell r="T374">
            <v>0</v>
          </cell>
        </row>
        <row r="375">
          <cell r="A375">
            <v>630</v>
          </cell>
          <cell r="B375">
            <v>83</v>
          </cell>
          <cell r="C375" t="str">
            <v>LOMBO SUINO MACIO  PIF PAF CX\18KG</v>
          </cell>
          <cell r="D375">
            <v>8185.05</v>
          </cell>
          <cell r="E375">
            <v>0.05</v>
          </cell>
          <cell r="F375">
            <v>30</v>
          </cell>
          <cell r="G375">
            <v>0</v>
          </cell>
          <cell r="H375">
            <v>0</v>
          </cell>
          <cell r="I375">
            <v>0</v>
          </cell>
          <cell r="J375">
            <v>26857.32</v>
          </cell>
          <cell r="K375">
            <v>0.12</v>
          </cell>
          <cell r="L375">
            <v>0</v>
          </cell>
          <cell r="M375">
            <v>0</v>
          </cell>
          <cell r="N375">
            <v>0</v>
          </cell>
          <cell r="O375">
            <v>66</v>
          </cell>
          <cell r="P375">
            <v>0.89</v>
          </cell>
          <cell r="Q375">
            <v>540</v>
          </cell>
          <cell r="R375">
            <v>1494</v>
          </cell>
          <cell r="S375">
            <v>0</v>
          </cell>
          <cell r="T375">
            <v>0</v>
          </cell>
        </row>
        <row r="376">
          <cell r="A376">
            <v>674</v>
          </cell>
          <cell r="B376">
            <v>83</v>
          </cell>
          <cell r="C376" t="str">
            <v>MORTADELA FATIADA GOURMET SEARA CX\22X180GR</v>
          </cell>
          <cell r="D376">
            <v>5504.4</v>
          </cell>
          <cell r="E376">
            <v>0.04</v>
          </cell>
          <cell r="F376">
            <v>50</v>
          </cell>
          <cell r="G376">
            <v>0</v>
          </cell>
          <cell r="H376">
            <v>0</v>
          </cell>
          <cell r="I376">
            <v>0</v>
          </cell>
          <cell r="J376">
            <v>11353.52</v>
          </cell>
          <cell r="K376">
            <v>0.05</v>
          </cell>
          <cell r="L376">
            <v>272.44</v>
          </cell>
          <cell r="M376">
            <v>0.16</v>
          </cell>
          <cell r="N376">
            <v>2</v>
          </cell>
          <cell r="O376">
            <v>52</v>
          </cell>
          <cell r="P376">
            <v>0.7</v>
          </cell>
          <cell r="Q376">
            <v>198</v>
          </cell>
          <cell r="R376">
            <v>328.68</v>
          </cell>
          <cell r="S376">
            <v>0</v>
          </cell>
          <cell r="T376">
            <v>7.92</v>
          </cell>
        </row>
        <row r="377">
          <cell r="A377">
            <v>743</v>
          </cell>
          <cell r="B377">
            <v>83</v>
          </cell>
          <cell r="C377" t="str">
            <v>SUCO NECTAR MARACUJA TIAL CX/24X200ML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3188.64</v>
          </cell>
          <cell r="K377">
            <v>0.01</v>
          </cell>
          <cell r="L377">
            <v>0</v>
          </cell>
          <cell r="M377">
            <v>0</v>
          </cell>
          <cell r="N377">
            <v>0</v>
          </cell>
          <cell r="O377">
            <v>65</v>
          </cell>
          <cell r="P377">
            <v>0.88</v>
          </cell>
          <cell r="Q377">
            <v>0</v>
          </cell>
          <cell r="R377">
            <v>398.4</v>
          </cell>
          <cell r="S377">
            <v>0</v>
          </cell>
          <cell r="T377">
            <v>0</v>
          </cell>
        </row>
        <row r="378">
          <cell r="A378">
            <v>3126</v>
          </cell>
          <cell r="B378">
            <v>82</v>
          </cell>
          <cell r="C378" t="str">
            <v>REQUEIJAO C.CHEESE BISNAGA SCALA 1,2KG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3884.25</v>
          </cell>
          <cell r="K378">
            <v>0.02</v>
          </cell>
          <cell r="L378">
            <v>191.8</v>
          </cell>
          <cell r="M378">
            <v>0.11</v>
          </cell>
          <cell r="N378">
            <v>4</v>
          </cell>
          <cell r="O378">
            <v>28</v>
          </cell>
          <cell r="P378">
            <v>0.38</v>
          </cell>
          <cell r="Q378">
            <v>0</v>
          </cell>
          <cell r="R378">
            <v>98.4</v>
          </cell>
          <cell r="S378">
            <v>0</v>
          </cell>
          <cell r="T378">
            <v>4.8</v>
          </cell>
        </row>
        <row r="379">
          <cell r="A379">
            <v>1416</v>
          </cell>
          <cell r="B379">
            <v>81</v>
          </cell>
          <cell r="C379" t="str">
            <v>AZEITE COCINEIRO EXTRA VIRGEM 6X250ML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7012.03</v>
          </cell>
          <cell r="K379">
            <v>0.03</v>
          </cell>
          <cell r="L379">
            <v>88.75</v>
          </cell>
          <cell r="M379">
            <v>0.05</v>
          </cell>
          <cell r="N379">
            <v>1</v>
          </cell>
          <cell r="O379">
            <v>60</v>
          </cell>
          <cell r="P379">
            <v>0.81</v>
          </cell>
          <cell r="Q379">
            <v>0</v>
          </cell>
          <cell r="R379">
            <v>121.5</v>
          </cell>
          <cell r="S379">
            <v>0</v>
          </cell>
          <cell r="T379">
            <v>1.5</v>
          </cell>
        </row>
        <row r="380">
          <cell r="A380">
            <v>2646</v>
          </cell>
          <cell r="B380">
            <v>81</v>
          </cell>
          <cell r="C380" t="str">
            <v>MOLHO TOMATE HOT DOG STELLA DORO SACHE 8X1,7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735.42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17</v>
          </cell>
          <cell r="P380">
            <v>0.23</v>
          </cell>
          <cell r="Q380">
            <v>0</v>
          </cell>
          <cell r="R380">
            <v>137.69999999999999</v>
          </cell>
          <cell r="S380">
            <v>0</v>
          </cell>
          <cell r="T380">
            <v>0</v>
          </cell>
        </row>
        <row r="381">
          <cell r="A381">
            <v>471</v>
          </cell>
          <cell r="B381">
            <v>79</v>
          </cell>
          <cell r="C381" t="str">
            <v>BEB.LACTEA CHOCOLATE IBITURUNA CX\12X1LT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4468.8999999999996</v>
          </cell>
          <cell r="K381">
            <v>0.02</v>
          </cell>
          <cell r="L381">
            <v>341.55</v>
          </cell>
          <cell r="M381">
            <v>0.2</v>
          </cell>
          <cell r="N381">
            <v>6</v>
          </cell>
          <cell r="O381">
            <v>52</v>
          </cell>
          <cell r="P381">
            <v>0.7</v>
          </cell>
          <cell r="Q381">
            <v>0</v>
          </cell>
          <cell r="R381">
            <v>948</v>
          </cell>
          <cell r="S381">
            <v>0</v>
          </cell>
          <cell r="T381">
            <v>72</v>
          </cell>
        </row>
        <row r="382">
          <cell r="A382">
            <v>516</v>
          </cell>
          <cell r="B382">
            <v>79</v>
          </cell>
          <cell r="C382" t="str">
            <v>COXA SOBRECOXA BANDEJA RIVELLI 12X1KG</v>
          </cell>
          <cell r="D382">
            <v>8657.9699999999993</v>
          </cell>
          <cell r="E382">
            <v>0.06</v>
          </cell>
          <cell r="F382">
            <v>84</v>
          </cell>
          <cell r="G382">
            <v>0</v>
          </cell>
          <cell r="H382">
            <v>0</v>
          </cell>
          <cell r="I382">
            <v>0</v>
          </cell>
          <cell r="J382">
            <v>9575.09</v>
          </cell>
          <cell r="K382">
            <v>0.04</v>
          </cell>
          <cell r="L382">
            <v>0</v>
          </cell>
          <cell r="M382">
            <v>0</v>
          </cell>
          <cell r="N382">
            <v>0</v>
          </cell>
          <cell r="O382">
            <v>52</v>
          </cell>
          <cell r="P382">
            <v>0.7</v>
          </cell>
          <cell r="Q382">
            <v>1008</v>
          </cell>
          <cell r="R382">
            <v>948</v>
          </cell>
          <cell r="S382">
            <v>0</v>
          </cell>
          <cell r="T382">
            <v>0</v>
          </cell>
        </row>
        <row r="383">
          <cell r="A383">
            <v>2892</v>
          </cell>
          <cell r="B383">
            <v>79</v>
          </cell>
          <cell r="C383" t="str">
            <v>SOBRECOXA PCT PIF PAF CX.20KG</v>
          </cell>
          <cell r="D383">
            <v>8407.36</v>
          </cell>
          <cell r="E383">
            <v>0.05</v>
          </cell>
          <cell r="F383">
            <v>50</v>
          </cell>
          <cell r="G383">
            <v>0</v>
          </cell>
          <cell r="H383">
            <v>0</v>
          </cell>
          <cell r="I383">
            <v>0</v>
          </cell>
          <cell r="J383">
            <v>16473.3</v>
          </cell>
          <cell r="K383">
            <v>7.0000000000000007E-2</v>
          </cell>
          <cell r="L383">
            <v>0</v>
          </cell>
          <cell r="M383">
            <v>0</v>
          </cell>
          <cell r="N383">
            <v>0</v>
          </cell>
          <cell r="O383">
            <v>36</v>
          </cell>
          <cell r="P383">
            <v>0.48</v>
          </cell>
          <cell r="Q383">
            <v>1000</v>
          </cell>
          <cell r="R383">
            <v>1580</v>
          </cell>
          <cell r="S383">
            <v>0</v>
          </cell>
          <cell r="T383">
            <v>0</v>
          </cell>
        </row>
        <row r="384">
          <cell r="A384">
            <v>741</v>
          </cell>
          <cell r="B384">
            <v>79</v>
          </cell>
          <cell r="C384" t="str">
            <v>SUCO NECTAR MANGA TIAL CX/24X200ML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3034.98</v>
          </cell>
          <cell r="K384">
            <v>0.01</v>
          </cell>
          <cell r="L384">
            <v>0</v>
          </cell>
          <cell r="M384">
            <v>0</v>
          </cell>
          <cell r="N384">
            <v>0</v>
          </cell>
          <cell r="O384">
            <v>59</v>
          </cell>
          <cell r="P384">
            <v>0.79</v>
          </cell>
          <cell r="Q384">
            <v>0</v>
          </cell>
          <cell r="R384">
            <v>379.2</v>
          </cell>
          <cell r="S384">
            <v>0</v>
          </cell>
          <cell r="T384">
            <v>0</v>
          </cell>
        </row>
        <row r="385">
          <cell r="A385">
            <v>536</v>
          </cell>
          <cell r="B385">
            <v>78</v>
          </cell>
          <cell r="C385" t="str">
            <v>ERVILHA LT STELLA DORO CX\24X170GR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4600.8</v>
          </cell>
          <cell r="K385">
            <v>0.02</v>
          </cell>
          <cell r="L385">
            <v>0</v>
          </cell>
          <cell r="M385">
            <v>0</v>
          </cell>
          <cell r="N385">
            <v>0</v>
          </cell>
          <cell r="O385">
            <v>58</v>
          </cell>
          <cell r="P385">
            <v>0.78</v>
          </cell>
          <cell r="Q385">
            <v>0</v>
          </cell>
          <cell r="R385">
            <v>499.2</v>
          </cell>
          <cell r="S385">
            <v>0</v>
          </cell>
          <cell r="T385">
            <v>0</v>
          </cell>
        </row>
        <row r="386">
          <cell r="A386">
            <v>3107</v>
          </cell>
          <cell r="B386">
            <v>77</v>
          </cell>
          <cell r="C386" t="str">
            <v>BACON CUBOS TROPEIRA 10X200GR</v>
          </cell>
          <cell r="D386">
            <v>4712.12</v>
          </cell>
          <cell r="E386">
            <v>0.03</v>
          </cell>
          <cell r="F386">
            <v>75</v>
          </cell>
          <cell r="G386">
            <v>0</v>
          </cell>
          <cell r="H386">
            <v>0</v>
          </cell>
          <cell r="I386">
            <v>0</v>
          </cell>
          <cell r="J386">
            <v>6347.04</v>
          </cell>
          <cell r="K386">
            <v>0.03</v>
          </cell>
          <cell r="L386">
            <v>164.64</v>
          </cell>
          <cell r="M386">
            <v>0.09</v>
          </cell>
          <cell r="N386">
            <v>2</v>
          </cell>
          <cell r="O386">
            <v>46</v>
          </cell>
          <cell r="P386">
            <v>0.62</v>
          </cell>
          <cell r="Q386">
            <v>150</v>
          </cell>
          <cell r="R386">
            <v>154</v>
          </cell>
          <cell r="S386">
            <v>0</v>
          </cell>
          <cell r="T386">
            <v>4</v>
          </cell>
        </row>
        <row r="387">
          <cell r="A387">
            <v>644</v>
          </cell>
          <cell r="B387">
            <v>77</v>
          </cell>
          <cell r="C387" t="str">
            <v>MANTEIGA CRISTAULAT CX\12X200GR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7536.54</v>
          </cell>
          <cell r="K387">
            <v>0.03</v>
          </cell>
          <cell r="L387">
            <v>195.02</v>
          </cell>
          <cell r="M387">
            <v>0.11</v>
          </cell>
          <cell r="N387">
            <v>2</v>
          </cell>
          <cell r="O387">
            <v>69</v>
          </cell>
          <cell r="P387">
            <v>0.93</v>
          </cell>
          <cell r="Q387">
            <v>0</v>
          </cell>
          <cell r="R387">
            <v>184.8</v>
          </cell>
          <cell r="S387">
            <v>0</v>
          </cell>
          <cell r="T387">
            <v>4.8</v>
          </cell>
        </row>
        <row r="388">
          <cell r="A388">
            <v>3185</v>
          </cell>
          <cell r="B388">
            <v>75</v>
          </cell>
          <cell r="C388" t="str">
            <v>MEIO DA ASA IQF LAR CX\15X1KG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27784.44</v>
          </cell>
          <cell r="K388">
            <v>0.12</v>
          </cell>
          <cell r="L388">
            <v>0</v>
          </cell>
          <cell r="M388">
            <v>0</v>
          </cell>
          <cell r="N388">
            <v>0</v>
          </cell>
          <cell r="O388">
            <v>47</v>
          </cell>
          <cell r="P388">
            <v>0.63</v>
          </cell>
          <cell r="Q388">
            <v>0</v>
          </cell>
          <cell r="R388">
            <v>1125</v>
          </cell>
          <cell r="S388">
            <v>0</v>
          </cell>
          <cell r="T388">
            <v>0</v>
          </cell>
        </row>
        <row r="389">
          <cell r="A389">
            <v>3354</v>
          </cell>
          <cell r="B389">
            <v>74</v>
          </cell>
          <cell r="C389" t="str">
            <v>AZEITONA SACHE FATIADA TOZZI 24X80GR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5408.91</v>
          </cell>
          <cell r="K389">
            <v>0.02</v>
          </cell>
          <cell r="L389">
            <v>0</v>
          </cell>
          <cell r="M389">
            <v>0</v>
          </cell>
          <cell r="N389">
            <v>0</v>
          </cell>
          <cell r="O389">
            <v>66</v>
          </cell>
          <cell r="P389">
            <v>0.89</v>
          </cell>
          <cell r="Q389">
            <v>0</v>
          </cell>
          <cell r="R389">
            <v>148</v>
          </cell>
          <cell r="S389">
            <v>0</v>
          </cell>
          <cell r="T389">
            <v>0</v>
          </cell>
        </row>
        <row r="390">
          <cell r="A390">
            <v>369</v>
          </cell>
          <cell r="B390">
            <v>74</v>
          </cell>
          <cell r="C390" t="str">
            <v>MARGARINA BALDE 50% CREMOSY  14,5 KG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8004.7</v>
          </cell>
          <cell r="K390">
            <v>0.03</v>
          </cell>
          <cell r="L390">
            <v>0</v>
          </cell>
          <cell r="M390">
            <v>0</v>
          </cell>
          <cell r="N390">
            <v>0</v>
          </cell>
          <cell r="O390">
            <v>37</v>
          </cell>
          <cell r="P390">
            <v>0.5</v>
          </cell>
          <cell r="Q390">
            <v>0</v>
          </cell>
          <cell r="R390">
            <v>1073</v>
          </cell>
          <cell r="S390">
            <v>0</v>
          </cell>
          <cell r="T390">
            <v>0</v>
          </cell>
        </row>
        <row r="391">
          <cell r="A391">
            <v>840</v>
          </cell>
          <cell r="B391">
            <v>74</v>
          </cell>
          <cell r="C391" t="str">
            <v>PAO ALHO  PIF PAF CX\12X300GR</v>
          </cell>
          <cell r="D391">
            <v>5901.55</v>
          </cell>
          <cell r="E391">
            <v>0.04</v>
          </cell>
          <cell r="F391">
            <v>53</v>
          </cell>
          <cell r="G391">
            <v>0</v>
          </cell>
          <cell r="H391">
            <v>0</v>
          </cell>
          <cell r="I391">
            <v>0</v>
          </cell>
          <cell r="J391">
            <v>9647.82</v>
          </cell>
          <cell r="K391">
            <v>0.04</v>
          </cell>
          <cell r="L391">
            <v>0</v>
          </cell>
          <cell r="M391">
            <v>0</v>
          </cell>
          <cell r="N391">
            <v>0</v>
          </cell>
          <cell r="O391">
            <v>66</v>
          </cell>
          <cell r="P391">
            <v>0.89</v>
          </cell>
          <cell r="Q391">
            <v>190.8</v>
          </cell>
          <cell r="R391">
            <v>266.39999999999998</v>
          </cell>
          <cell r="S391">
            <v>0</v>
          </cell>
          <cell r="T391">
            <v>0</v>
          </cell>
        </row>
        <row r="392">
          <cell r="A392">
            <v>3920</v>
          </cell>
          <cell r="B392">
            <v>73.099999999999994</v>
          </cell>
          <cell r="C392" t="str">
            <v>BACON MANTA REZENDE KG</v>
          </cell>
          <cell r="D392">
            <v>7416</v>
          </cell>
          <cell r="E392">
            <v>0.05</v>
          </cell>
          <cell r="F392">
            <v>289.01</v>
          </cell>
          <cell r="G392">
            <v>0</v>
          </cell>
          <cell r="H392">
            <v>0</v>
          </cell>
          <cell r="I392">
            <v>0</v>
          </cell>
          <cell r="J392">
            <v>2216.71</v>
          </cell>
          <cell r="K392">
            <v>0.01</v>
          </cell>
          <cell r="L392">
            <v>0</v>
          </cell>
          <cell r="M392">
            <v>0</v>
          </cell>
          <cell r="N392">
            <v>0</v>
          </cell>
          <cell r="O392">
            <v>6</v>
          </cell>
          <cell r="P392">
            <v>0.08</v>
          </cell>
          <cell r="Q392">
            <v>289.01</v>
          </cell>
          <cell r="R392">
            <v>73.099999999999994</v>
          </cell>
          <cell r="S392">
            <v>0</v>
          </cell>
          <cell r="T392">
            <v>0</v>
          </cell>
        </row>
        <row r="393">
          <cell r="A393">
            <v>676</v>
          </cell>
          <cell r="B393">
            <v>73</v>
          </cell>
          <cell r="C393" t="str">
            <v>MORTADELA FRANGO PIF PAF CX\23X400GR</v>
          </cell>
          <cell r="D393">
            <v>4995.4799999999996</v>
          </cell>
          <cell r="E393">
            <v>0.03</v>
          </cell>
          <cell r="F393">
            <v>60</v>
          </cell>
          <cell r="G393">
            <v>0</v>
          </cell>
          <cell r="H393">
            <v>0</v>
          </cell>
          <cell r="I393">
            <v>0</v>
          </cell>
          <cell r="J393">
            <v>7532.7</v>
          </cell>
          <cell r="K393">
            <v>0.03</v>
          </cell>
          <cell r="L393">
            <v>210</v>
          </cell>
          <cell r="M393">
            <v>0.12</v>
          </cell>
          <cell r="N393">
            <v>2</v>
          </cell>
          <cell r="O393">
            <v>55</v>
          </cell>
          <cell r="P393">
            <v>0.74</v>
          </cell>
          <cell r="Q393">
            <v>552</v>
          </cell>
          <cell r="R393">
            <v>671.6</v>
          </cell>
          <cell r="S393">
            <v>0</v>
          </cell>
          <cell r="T393">
            <v>18.399999999999999</v>
          </cell>
        </row>
        <row r="394">
          <cell r="A394">
            <v>4086</v>
          </cell>
          <cell r="B394">
            <v>71</v>
          </cell>
          <cell r="C394" t="str">
            <v>BEB. LACTEA MORANGO CEMIL CX\12X1LT</v>
          </cell>
          <cell r="D394">
            <v>3283.54</v>
          </cell>
          <cell r="E394">
            <v>0.02</v>
          </cell>
          <cell r="F394">
            <v>80</v>
          </cell>
          <cell r="G394">
            <v>0</v>
          </cell>
          <cell r="H394">
            <v>0</v>
          </cell>
          <cell r="I394">
            <v>0</v>
          </cell>
          <cell r="J394">
            <v>3505.1</v>
          </cell>
          <cell r="K394">
            <v>0.02</v>
          </cell>
          <cell r="L394">
            <v>150.30000000000001</v>
          </cell>
          <cell r="M394">
            <v>0.09</v>
          </cell>
          <cell r="N394">
            <v>3</v>
          </cell>
          <cell r="O394">
            <v>58</v>
          </cell>
          <cell r="P394">
            <v>0.78</v>
          </cell>
          <cell r="Q394">
            <v>960</v>
          </cell>
          <cell r="R394">
            <v>852</v>
          </cell>
          <cell r="S394">
            <v>0</v>
          </cell>
          <cell r="T394">
            <v>36</v>
          </cell>
        </row>
        <row r="395">
          <cell r="A395">
            <v>4178</v>
          </cell>
          <cell r="B395">
            <v>71</v>
          </cell>
          <cell r="C395" t="str">
            <v>FILE TILAPIA C VALE CX 24X400G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33800.75</v>
          </cell>
          <cell r="K395">
            <v>0.15</v>
          </cell>
          <cell r="L395">
            <v>484.71</v>
          </cell>
          <cell r="M395">
            <v>0.28000000000000003</v>
          </cell>
          <cell r="N395">
            <v>1</v>
          </cell>
          <cell r="O395">
            <v>56</v>
          </cell>
          <cell r="P395">
            <v>0.75</v>
          </cell>
          <cell r="Q395">
            <v>0</v>
          </cell>
          <cell r="R395">
            <v>681.6</v>
          </cell>
          <cell r="S395">
            <v>0</v>
          </cell>
          <cell r="T395">
            <v>9.6</v>
          </cell>
        </row>
        <row r="396">
          <cell r="A396">
            <v>219</v>
          </cell>
          <cell r="B396">
            <v>69</v>
          </cell>
          <cell r="C396" t="str">
            <v>DOCE DE LEITE TRIANGULO MINEIRO 12X400G</v>
          </cell>
          <cell r="D396">
            <v>12875.52</v>
          </cell>
          <cell r="E396">
            <v>0.08</v>
          </cell>
          <cell r="F396">
            <v>224</v>
          </cell>
          <cell r="G396">
            <v>0</v>
          </cell>
          <cell r="H396">
            <v>0</v>
          </cell>
          <cell r="I396">
            <v>0</v>
          </cell>
          <cell r="J396">
            <v>4778.37</v>
          </cell>
          <cell r="K396">
            <v>0.02</v>
          </cell>
          <cell r="L396">
            <v>0</v>
          </cell>
          <cell r="M396">
            <v>0</v>
          </cell>
          <cell r="N396">
            <v>0</v>
          </cell>
          <cell r="O396">
            <v>54</v>
          </cell>
          <cell r="P396">
            <v>0.73</v>
          </cell>
          <cell r="Q396">
            <v>1075.2</v>
          </cell>
          <cell r="R396">
            <v>331.2</v>
          </cell>
          <cell r="S396">
            <v>0</v>
          </cell>
          <cell r="T396">
            <v>0</v>
          </cell>
        </row>
        <row r="397">
          <cell r="A397">
            <v>615</v>
          </cell>
          <cell r="B397">
            <v>69</v>
          </cell>
          <cell r="C397" t="str">
            <v>LING MINEIRA PIF PAF CX/8X800GR</v>
          </cell>
          <cell r="D397">
            <v>5901.91</v>
          </cell>
          <cell r="E397">
            <v>0.04</v>
          </cell>
          <cell r="F397">
            <v>50</v>
          </cell>
          <cell r="G397">
            <v>0</v>
          </cell>
          <cell r="H397">
            <v>0</v>
          </cell>
          <cell r="I397">
            <v>0</v>
          </cell>
          <cell r="J397">
            <v>9705.66</v>
          </cell>
          <cell r="K397">
            <v>0.04</v>
          </cell>
          <cell r="L397">
            <v>0</v>
          </cell>
          <cell r="M397">
            <v>0</v>
          </cell>
          <cell r="N397">
            <v>0</v>
          </cell>
          <cell r="O397">
            <v>33</v>
          </cell>
          <cell r="P397">
            <v>0.44</v>
          </cell>
          <cell r="Q397">
            <v>270</v>
          </cell>
          <cell r="R397">
            <v>372.6</v>
          </cell>
          <cell r="S397">
            <v>0</v>
          </cell>
          <cell r="T397">
            <v>0</v>
          </cell>
        </row>
        <row r="398">
          <cell r="A398">
            <v>3591</v>
          </cell>
          <cell r="B398">
            <v>69</v>
          </cell>
          <cell r="C398" t="str">
            <v>PAO DE QUEIJO COQUETEL FORNERIA 4X2KG</v>
          </cell>
          <cell r="D398">
            <v>9110.2099999999991</v>
          </cell>
          <cell r="E398">
            <v>0.06</v>
          </cell>
          <cell r="F398">
            <v>80</v>
          </cell>
          <cell r="G398">
            <v>0</v>
          </cell>
          <cell r="H398">
            <v>0</v>
          </cell>
          <cell r="I398">
            <v>0</v>
          </cell>
          <cell r="J398">
            <v>9652.41</v>
          </cell>
          <cell r="K398">
            <v>0.04</v>
          </cell>
          <cell r="L398">
            <v>0</v>
          </cell>
          <cell r="M398">
            <v>0</v>
          </cell>
          <cell r="N398">
            <v>0</v>
          </cell>
          <cell r="O398">
            <v>14</v>
          </cell>
          <cell r="P398">
            <v>0.19</v>
          </cell>
          <cell r="Q398">
            <v>640</v>
          </cell>
          <cell r="R398">
            <v>552</v>
          </cell>
          <cell r="S398">
            <v>0</v>
          </cell>
          <cell r="T398">
            <v>0</v>
          </cell>
        </row>
        <row r="399">
          <cell r="A399">
            <v>4136</v>
          </cell>
          <cell r="B399">
            <v>68</v>
          </cell>
          <cell r="C399" t="str">
            <v>AZEITONA VERDE C/CAROCO COPO ABRE FACIL TOZZI  24X100GR</v>
          </cell>
          <cell r="D399">
            <v>10210.77</v>
          </cell>
          <cell r="E399">
            <v>7.0000000000000007E-2</v>
          </cell>
          <cell r="F399">
            <v>119</v>
          </cell>
          <cell r="G399">
            <v>0</v>
          </cell>
          <cell r="H399">
            <v>0</v>
          </cell>
          <cell r="I399">
            <v>0</v>
          </cell>
          <cell r="J399">
            <v>7005.6</v>
          </cell>
          <cell r="K399">
            <v>0.03</v>
          </cell>
          <cell r="L399">
            <v>619.5</v>
          </cell>
          <cell r="M399">
            <v>0.36</v>
          </cell>
          <cell r="N399">
            <v>6</v>
          </cell>
          <cell r="O399">
            <v>65</v>
          </cell>
          <cell r="P399">
            <v>0.88</v>
          </cell>
          <cell r="Q399">
            <v>285.60000000000002</v>
          </cell>
          <cell r="R399">
            <v>163.19999999999999</v>
          </cell>
          <cell r="S399">
            <v>0</v>
          </cell>
          <cell r="T399">
            <v>14.4</v>
          </cell>
        </row>
        <row r="400">
          <cell r="A400">
            <v>3119</v>
          </cell>
          <cell r="B400">
            <v>68</v>
          </cell>
          <cell r="C400" t="str">
            <v>TOUCINHO SUINO PICADO  ADEEL CX/24X1KG</v>
          </cell>
          <cell r="D400">
            <v>33710.28</v>
          </cell>
          <cell r="E400">
            <v>0.22</v>
          </cell>
          <cell r="F400">
            <v>100</v>
          </cell>
          <cell r="G400">
            <v>0</v>
          </cell>
          <cell r="H400">
            <v>0</v>
          </cell>
          <cell r="I400">
            <v>0</v>
          </cell>
          <cell r="J400">
            <v>31196.880000000001</v>
          </cell>
          <cell r="K400">
            <v>0.14000000000000001</v>
          </cell>
          <cell r="L400">
            <v>458.64</v>
          </cell>
          <cell r="M400">
            <v>0.26</v>
          </cell>
          <cell r="N400">
            <v>1</v>
          </cell>
          <cell r="O400">
            <v>48</v>
          </cell>
          <cell r="P400">
            <v>0.65</v>
          </cell>
          <cell r="Q400">
            <v>2400</v>
          </cell>
          <cell r="R400">
            <v>1632</v>
          </cell>
          <cell r="S400">
            <v>0</v>
          </cell>
          <cell r="T400">
            <v>24</v>
          </cell>
        </row>
        <row r="401">
          <cell r="A401">
            <v>2190</v>
          </cell>
          <cell r="B401">
            <v>67</v>
          </cell>
          <cell r="C401" t="str">
            <v>FILE COXA/SOBRECOXA PCT RIVELLI 18X1KG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15922.2</v>
          </cell>
          <cell r="K401">
            <v>7.0000000000000007E-2</v>
          </cell>
          <cell r="L401">
            <v>0</v>
          </cell>
          <cell r="M401">
            <v>0</v>
          </cell>
          <cell r="N401">
            <v>0</v>
          </cell>
          <cell r="O401">
            <v>33</v>
          </cell>
          <cell r="P401">
            <v>0.44</v>
          </cell>
          <cell r="Q401">
            <v>0</v>
          </cell>
          <cell r="R401">
            <v>1206</v>
          </cell>
          <cell r="S401">
            <v>0</v>
          </cell>
          <cell r="T401">
            <v>0</v>
          </cell>
        </row>
        <row r="402">
          <cell r="A402">
            <v>61</v>
          </cell>
          <cell r="B402">
            <v>67</v>
          </cell>
          <cell r="C402" t="str">
            <v>MEIO DA ASA TEMP. IQF SEARA CX/12X1KG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20911</v>
          </cell>
          <cell r="K402">
            <v>0.09</v>
          </cell>
          <cell r="L402">
            <v>311.44</v>
          </cell>
          <cell r="M402">
            <v>0.18</v>
          </cell>
          <cell r="N402">
            <v>1</v>
          </cell>
          <cell r="O402">
            <v>44</v>
          </cell>
          <cell r="P402">
            <v>0.59</v>
          </cell>
          <cell r="Q402">
            <v>0</v>
          </cell>
          <cell r="R402">
            <v>804</v>
          </cell>
          <cell r="S402">
            <v>0</v>
          </cell>
          <cell r="T402">
            <v>12</v>
          </cell>
        </row>
        <row r="403">
          <cell r="A403">
            <v>4006</v>
          </cell>
          <cell r="B403">
            <v>67</v>
          </cell>
          <cell r="C403" t="str">
            <v>SALAME FATIADO PEPPERONI SEARA GOURMET CX\10X100GR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7018.35</v>
          </cell>
          <cell r="K403">
            <v>0.03</v>
          </cell>
          <cell r="L403">
            <v>0</v>
          </cell>
          <cell r="M403">
            <v>0</v>
          </cell>
          <cell r="N403">
            <v>0</v>
          </cell>
          <cell r="O403">
            <v>33</v>
          </cell>
          <cell r="P403">
            <v>0.44</v>
          </cell>
          <cell r="Q403">
            <v>0</v>
          </cell>
          <cell r="R403">
            <v>67</v>
          </cell>
          <cell r="S403">
            <v>0</v>
          </cell>
          <cell r="T403">
            <v>0</v>
          </cell>
        </row>
        <row r="404">
          <cell r="A404">
            <v>250</v>
          </cell>
          <cell r="B404">
            <v>67</v>
          </cell>
          <cell r="C404" t="str">
            <v>TEKITOS BIG TRADICIONAL SEARA CX\5X900GR</v>
          </cell>
          <cell r="D404">
            <v>5736.15</v>
          </cell>
          <cell r="E404">
            <v>0.04</v>
          </cell>
          <cell r="F404">
            <v>70</v>
          </cell>
          <cell r="G404">
            <v>0</v>
          </cell>
          <cell r="H404">
            <v>0</v>
          </cell>
          <cell r="I404">
            <v>0</v>
          </cell>
          <cell r="J404">
            <v>6259.52</v>
          </cell>
          <cell r="K404">
            <v>0.03</v>
          </cell>
          <cell r="L404">
            <v>0</v>
          </cell>
          <cell r="M404">
            <v>0</v>
          </cell>
          <cell r="N404">
            <v>0</v>
          </cell>
          <cell r="O404">
            <v>37</v>
          </cell>
          <cell r="P404">
            <v>0.5</v>
          </cell>
          <cell r="Q404">
            <v>315</v>
          </cell>
          <cell r="R404">
            <v>301.5</v>
          </cell>
          <cell r="S404">
            <v>0</v>
          </cell>
          <cell r="T404">
            <v>0</v>
          </cell>
        </row>
        <row r="405">
          <cell r="A405">
            <v>413</v>
          </cell>
          <cell r="B405">
            <v>66</v>
          </cell>
          <cell r="C405" t="str">
            <v>LASANHA BOLONHESA SEARA CX\10X600GR</v>
          </cell>
          <cell r="D405">
            <v>7744.8</v>
          </cell>
          <cell r="E405">
            <v>0.05</v>
          </cell>
          <cell r="F405">
            <v>70</v>
          </cell>
          <cell r="G405">
            <v>0</v>
          </cell>
          <cell r="H405">
            <v>0</v>
          </cell>
          <cell r="I405">
            <v>0</v>
          </cell>
          <cell r="J405">
            <v>8912.58</v>
          </cell>
          <cell r="K405">
            <v>0.04</v>
          </cell>
          <cell r="L405">
            <v>134.26</v>
          </cell>
          <cell r="M405">
            <v>0.08</v>
          </cell>
          <cell r="N405">
            <v>1</v>
          </cell>
          <cell r="O405">
            <v>56</v>
          </cell>
          <cell r="P405">
            <v>0.75</v>
          </cell>
          <cell r="Q405">
            <v>420</v>
          </cell>
          <cell r="R405">
            <v>396</v>
          </cell>
          <cell r="S405">
            <v>0</v>
          </cell>
          <cell r="T405">
            <v>6</v>
          </cell>
        </row>
        <row r="406">
          <cell r="A406">
            <v>84</v>
          </cell>
          <cell r="B406">
            <v>63.52</v>
          </cell>
          <cell r="C406" t="str">
            <v>CARRE SUINO SEARA KG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809.24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2</v>
          </cell>
          <cell r="P406">
            <v>0.03</v>
          </cell>
          <cell r="Q406">
            <v>0</v>
          </cell>
          <cell r="R406">
            <v>63.52</v>
          </cell>
          <cell r="S406">
            <v>0</v>
          </cell>
          <cell r="T406">
            <v>0</v>
          </cell>
        </row>
        <row r="407">
          <cell r="A407">
            <v>397</v>
          </cell>
          <cell r="B407">
            <v>63</v>
          </cell>
          <cell r="C407" t="str">
            <v>COXA SOBRECOXA PCT REAL CX 20KG</v>
          </cell>
          <cell r="D407">
            <v>181890.06</v>
          </cell>
          <cell r="E407">
            <v>1.1599999999999999</v>
          </cell>
          <cell r="F407">
            <v>1500</v>
          </cell>
          <cell r="G407">
            <v>0</v>
          </cell>
          <cell r="H407">
            <v>0</v>
          </cell>
          <cell r="I407">
            <v>0</v>
          </cell>
          <cell r="J407">
            <v>9596.7000000000007</v>
          </cell>
          <cell r="K407">
            <v>0.04</v>
          </cell>
          <cell r="L407">
            <v>0</v>
          </cell>
          <cell r="M407">
            <v>0</v>
          </cell>
          <cell r="N407">
            <v>0</v>
          </cell>
          <cell r="O407">
            <v>49</v>
          </cell>
          <cell r="P407">
            <v>0.66</v>
          </cell>
          <cell r="Q407">
            <v>30000</v>
          </cell>
          <cell r="R407">
            <v>1260</v>
          </cell>
          <cell r="S407">
            <v>0</v>
          </cell>
          <cell r="T407">
            <v>0</v>
          </cell>
        </row>
        <row r="408">
          <cell r="A408">
            <v>3247</v>
          </cell>
          <cell r="B408">
            <v>63</v>
          </cell>
          <cell r="C408" t="str">
            <v>LING SUINA SEARA CX/30X600GR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18365.95</v>
          </cell>
          <cell r="K408">
            <v>0.08</v>
          </cell>
          <cell r="L408">
            <v>0</v>
          </cell>
          <cell r="M408">
            <v>0</v>
          </cell>
          <cell r="N408">
            <v>0</v>
          </cell>
          <cell r="O408">
            <v>59</v>
          </cell>
          <cell r="P408">
            <v>0.79</v>
          </cell>
          <cell r="Q408">
            <v>0</v>
          </cell>
          <cell r="R408">
            <v>1134</v>
          </cell>
          <cell r="S408">
            <v>0</v>
          </cell>
          <cell r="T408">
            <v>0</v>
          </cell>
        </row>
        <row r="409">
          <cell r="A409">
            <v>4098</v>
          </cell>
          <cell r="B409">
            <v>62</v>
          </cell>
          <cell r="C409" t="str">
            <v>FARINHA TRIGO SUPREMA PREMIATA 5KG</v>
          </cell>
          <cell r="D409">
            <v>481.95</v>
          </cell>
          <cell r="E409">
            <v>0</v>
          </cell>
          <cell r="F409">
            <v>25</v>
          </cell>
          <cell r="G409">
            <v>0</v>
          </cell>
          <cell r="H409">
            <v>0</v>
          </cell>
          <cell r="I409">
            <v>0</v>
          </cell>
          <cell r="J409">
            <v>1579.76</v>
          </cell>
          <cell r="K409">
            <v>0.01</v>
          </cell>
          <cell r="L409">
            <v>0</v>
          </cell>
          <cell r="M409">
            <v>0</v>
          </cell>
          <cell r="N409">
            <v>0</v>
          </cell>
          <cell r="O409">
            <v>7</v>
          </cell>
          <cell r="P409">
            <v>0.09</v>
          </cell>
          <cell r="Q409">
            <v>125</v>
          </cell>
          <cell r="R409">
            <v>310</v>
          </cell>
          <cell r="S409">
            <v>0</v>
          </cell>
          <cell r="T409">
            <v>0</v>
          </cell>
        </row>
        <row r="410">
          <cell r="A410">
            <v>3356</v>
          </cell>
          <cell r="B410">
            <v>61</v>
          </cell>
          <cell r="C410" t="str">
            <v>AZEITONA VIDRO  ZAVO CX\12X500GR</v>
          </cell>
          <cell r="D410">
            <v>14173.48</v>
          </cell>
          <cell r="E410">
            <v>0.09</v>
          </cell>
          <cell r="F410">
            <v>140</v>
          </cell>
          <cell r="G410">
            <v>0</v>
          </cell>
          <cell r="H410">
            <v>0</v>
          </cell>
          <cell r="I410">
            <v>0</v>
          </cell>
          <cell r="J410">
            <v>7710</v>
          </cell>
          <cell r="K410">
            <v>0.03</v>
          </cell>
          <cell r="L410">
            <v>0</v>
          </cell>
          <cell r="M410">
            <v>0</v>
          </cell>
          <cell r="N410">
            <v>0</v>
          </cell>
          <cell r="O410">
            <v>51</v>
          </cell>
          <cell r="P410">
            <v>0.69</v>
          </cell>
          <cell r="Q410">
            <v>700</v>
          </cell>
          <cell r="R410">
            <v>305</v>
          </cell>
          <cell r="S410">
            <v>0</v>
          </cell>
          <cell r="T410">
            <v>0</v>
          </cell>
        </row>
        <row r="411">
          <cell r="A411">
            <v>4202</v>
          </cell>
          <cell r="B411">
            <v>60</v>
          </cell>
          <cell r="C411" t="str">
            <v>AGUA COCO DUCOCO BLEND CX/27X200ML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3331.24</v>
          </cell>
          <cell r="K411">
            <v>0.01</v>
          </cell>
          <cell r="L411">
            <v>276.85000000000002</v>
          </cell>
          <cell r="M411">
            <v>0.16</v>
          </cell>
          <cell r="N411">
            <v>5</v>
          </cell>
          <cell r="O411">
            <v>33</v>
          </cell>
          <cell r="P411">
            <v>0.44</v>
          </cell>
          <cell r="Q411">
            <v>0</v>
          </cell>
          <cell r="R411">
            <v>288</v>
          </cell>
          <cell r="S411">
            <v>0</v>
          </cell>
          <cell r="T411">
            <v>24</v>
          </cell>
        </row>
        <row r="412">
          <cell r="A412">
            <v>3775</v>
          </cell>
          <cell r="B412">
            <v>60</v>
          </cell>
          <cell r="C412" t="str">
            <v>OLEO DE ALGODAO BALDE ELOGIATA 14KG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12230.05</v>
          </cell>
          <cell r="K412">
            <v>0.05</v>
          </cell>
          <cell r="L412">
            <v>0</v>
          </cell>
          <cell r="M412">
            <v>0</v>
          </cell>
          <cell r="N412">
            <v>0</v>
          </cell>
          <cell r="O412">
            <v>35</v>
          </cell>
          <cell r="P412">
            <v>0.47</v>
          </cell>
          <cell r="Q412">
            <v>0</v>
          </cell>
          <cell r="R412">
            <v>840</v>
          </cell>
          <cell r="S412">
            <v>0</v>
          </cell>
          <cell r="T412">
            <v>0</v>
          </cell>
        </row>
        <row r="413">
          <cell r="A413">
            <v>4128</v>
          </cell>
          <cell r="B413">
            <v>60</v>
          </cell>
          <cell r="C413" t="str">
            <v>STEAK DE FRANGO LAR CX\30X100GR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2546.46</v>
          </cell>
          <cell r="K413">
            <v>0.01</v>
          </cell>
          <cell r="L413">
            <v>0</v>
          </cell>
          <cell r="M413">
            <v>0</v>
          </cell>
          <cell r="N413">
            <v>0</v>
          </cell>
          <cell r="O413">
            <v>41</v>
          </cell>
          <cell r="P413">
            <v>0.55000000000000004</v>
          </cell>
          <cell r="Q413">
            <v>0</v>
          </cell>
          <cell r="R413">
            <v>180</v>
          </cell>
          <cell r="S413">
            <v>0</v>
          </cell>
          <cell r="T413">
            <v>0</v>
          </cell>
        </row>
        <row r="414">
          <cell r="A414">
            <v>152</v>
          </cell>
          <cell r="B414">
            <v>58</v>
          </cell>
          <cell r="C414" t="str">
            <v>AZEITE COCINEIRO EXTRA VIRGEM 6X500ML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9008.7199999999993</v>
          </cell>
          <cell r="K414">
            <v>0.04</v>
          </cell>
          <cell r="L414">
            <v>0</v>
          </cell>
          <cell r="M414">
            <v>0</v>
          </cell>
          <cell r="N414">
            <v>0</v>
          </cell>
          <cell r="O414">
            <v>32</v>
          </cell>
          <cell r="P414">
            <v>0.43</v>
          </cell>
          <cell r="Q414">
            <v>0</v>
          </cell>
          <cell r="R414">
            <v>174</v>
          </cell>
          <cell r="S414">
            <v>0</v>
          </cell>
          <cell r="T414">
            <v>0</v>
          </cell>
        </row>
        <row r="415">
          <cell r="A415">
            <v>562</v>
          </cell>
          <cell r="B415">
            <v>58</v>
          </cell>
          <cell r="C415" t="str">
            <v>GORDURA VEGETAL PRIMOR 24X500GR</v>
          </cell>
          <cell r="D415">
            <v>9516</v>
          </cell>
          <cell r="E415">
            <v>0.06</v>
          </cell>
          <cell r="F415">
            <v>50</v>
          </cell>
          <cell r="G415">
            <v>0</v>
          </cell>
          <cell r="H415">
            <v>0</v>
          </cell>
          <cell r="I415">
            <v>0</v>
          </cell>
          <cell r="J415">
            <v>13249.52</v>
          </cell>
          <cell r="K415">
            <v>0.06</v>
          </cell>
          <cell r="L415">
            <v>227.36</v>
          </cell>
          <cell r="M415">
            <v>0.13</v>
          </cell>
          <cell r="N415">
            <v>1</v>
          </cell>
          <cell r="O415">
            <v>35</v>
          </cell>
          <cell r="P415">
            <v>0.47</v>
          </cell>
          <cell r="Q415">
            <v>600</v>
          </cell>
          <cell r="R415">
            <v>696</v>
          </cell>
          <cell r="S415">
            <v>0</v>
          </cell>
          <cell r="T415">
            <v>12</v>
          </cell>
        </row>
        <row r="416">
          <cell r="A416">
            <v>411</v>
          </cell>
          <cell r="B416">
            <v>58</v>
          </cell>
          <cell r="C416" t="str">
            <v>HOT HIT BACON SEARA CX\18X145G</v>
          </cell>
          <cell r="D416">
            <v>4114.67</v>
          </cell>
          <cell r="E416">
            <v>0.03</v>
          </cell>
          <cell r="F416">
            <v>50</v>
          </cell>
          <cell r="G416">
            <v>0</v>
          </cell>
          <cell r="H416">
            <v>0</v>
          </cell>
          <cell r="I416">
            <v>0</v>
          </cell>
          <cell r="J416">
            <v>5756</v>
          </cell>
          <cell r="K416">
            <v>0.03</v>
          </cell>
          <cell r="L416">
            <v>0</v>
          </cell>
          <cell r="M416">
            <v>0</v>
          </cell>
          <cell r="N416">
            <v>0</v>
          </cell>
          <cell r="O416">
            <v>52</v>
          </cell>
          <cell r="P416">
            <v>0.7</v>
          </cell>
          <cell r="Q416">
            <v>108.75</v>
          </cell>
          <cell r="R416">
            <v>126.15</v>
          </cell>
          <cell r="S416">
            <v>0</v>
          </cell>
          <cell r="T416">
            <v>0</v>
          </cell>
        </row>
        <row r="417">
          <cell r="A417">
            <v>561</v>
          </cell>
          <cell r="B417">
            <v>57</v>
          </cell>
          <cell r="C417" t="str">
            <v>GOIABADA STELLA D´ORO CX\36X300G</v>
          </cell>
          <cell r="D417">
            <v>15420.73</v>
          </cell>
          <cell r="E417">
            <v>0.1</v>
          </cell>
          <cell r="F417">
            <v>132</v>
          </cell>
          <cell r="G417">
            <v>0</v>
          </cell>
          <cell r="H417">
            <v>0</v>
          </cell>
          <cell r="I417">
            <v>0</v>
          </cell>
          <cell r="J417">
            <v>7729.2</v>
          </cell>
          <cell r="K417">
            <v>0.03</v>
          </cell>
          <cell r="L417">
            <v>137.19999999999999</v>
          </cell>
          <cell r="M417">
            <v>0.08</v>
          </cell>
          <cell r="N417">
            <v>1</v>
          </cell>
          <cell r="O417">
            <v>55</v>
          </cell>
          <cell r="P417">
            <v>0.74</v>
          </cell>
          <cell r="Q417">
            <v>1425.6</v>
          </cell>
          <cell r="R417">
            <v>615.6</v>
          </cell>
          <cell r="S417">
            <v>0</v>
          </cell>
          <cell r="T417">
            <v>10.8</v>
          </cell>
        </row>
        <row r="418">
          <cell r="A418">
            <v>223</v>
          </cell>
          <cell r="B418">
            <v>57</v>
          </cell>
          <cell r="C418" t="str">
            <v>UVA PASSA S/SEMENTE SACHE TOZZI  24X70GR</v>
          </cell>
          <cell r="D418">
            <v>5473.44</v>
          </cell>
          <cell r="E418">
            <v>0.04</v>
          </cell>
          <cell r="F418">
            <v>126</v>
          </cell>
          <cell r="G418">
            <v>0</v>
          </cell>
          <cell r="H418">
            <v>0</v>
          </cell>
          <cell r="I418">
            <v>0</v>
          </cell>
          <cell r="J418">
            <v>3008.74</v>
          </cell>
          <cell r="K418">
            <v>0.01</v>
          </cell>
          <cell r="L418">
            <v>0</v>
          </cell>
          <cell r="M418">
            <v>0</v>
          </cell>
          <cell r="N418">
            <v>0</v>
          </cell>
          <cell r="O418">
            <v>53</v>
          </cell>
          <cell r="P418">
            <v>0.71</v>
          </cell>
          <cell r="Q418">
            <v>252</v>
          </cell>
          <cell r="R418">
            <v>114</v>
          </cell>
          <cell r="S418">
            <v>0</v>
          </cell>
          <cell r="T418">
            <v>0</v>
          </cell>
        </row>
        <row r="419">
          <cell r="A419">
            <v>191</v>
          </cell>
          <cell r="B419">
            <v>56</v>
          </cell>
          <cell r="C419" t="str">
            <v>LEITE DE COCO MENINA CX/24X200ML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4238.08</v>
          </cell>
          <cell r="K419">
            <v>0.02</v>
          </cell>
          <cell r="L419">
            <v>0</v>
          </cell>
          <cell r="M419">
            <v>0</v>
          </cell>
          <cell r="N419">
            <v>0</v>
          </cell>
          <cell r="O419">
            <v>52</v>
          </cell>
          <cell r="P419">
            <v>0.7</v>
          </cell>
          <cell r="Q419">
            <v>0</v>
          </cell>
          <cell r="R419">
            <v>280</v>
          </cell>
          <cell r="S419">
            <v>0</v>
          </cell>
          <cell r="T419">
            <v>0</v>
          </cell>
        </row>
        <row r="420">
          <cell r="A420">
            <v>4095</v>
          </cell>
          <cell r="B420">
            <v>55</v>
          </cell>
          <cell r="C420" t="str">
            <v>BATATA P.FRITA CRINKLE QUALITY FRIES  CX\10X1,050KG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7830.24</v>
          </cell>
          <cell r="K420">
            <v>0.03</v>
          </cell>
          <cell r="L420">
            <v>289.68</v>
          </cell>
          <cell r="M420">
            <v>0.17</v>
          </cell>
          <cell r="N420">
            <v>2</v>
          </cell>
          <cell r="O420">
            <v>35</v>
          </cell>
          <cell r="P420">
            <v>0.47</v>
          </cell>
          <cell r="Q420">
            <v>0</v>
          </cell>
          <cell r="R420">
            <v>577.5</v>
          </cell>
          <cell r="S420">
            <v>0</v>
          </cell>
          <cell r="T420">
            <v>21</v>
          </cell>
        </row>
        <row r="421">
          <cell r="A421">
            <v>3822</v>
          </cell>
          <cell r="B421">
            <v>55</v>
          </cell>
          <cell r="C421" t="str">
            <v>CORACAO FRANGO BANDEJA RIVELLI CX\12X1KG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22738.17</v>
          </cell>
          <cell r="K421">
            <v>0.1</v>
          </cell>
          <cell r="L421">
            <v>0</v>
          </cell>
          <cell r="M421">
            <v>0</v>
          </cell>
          <cell r="N421">
            <v>0</v>
          </cell>
          <cell r="O421">
            <v>47</v>
          </cell>
          <cell r="P421">
            <v>0.63</v>
          </cell>
          <cell r="Q421">
            <v>0</v>
          </cell>
          <cell r="R421">
            <v>660</v>
          </cell>
          <cell r="S421">
            <v>0</v>
          </cell>
          <cell r="T421">
            <v>0</v>
          </cell>
        </row>
        <row r="422">
          <cell r="A422">
            <v>770</v>
          </cell>
          <cell r="B422">
            <v>55</v>
          </cell>
          <cell r="C422" t="str">
            <v>LEITE EM PO INTEGRAL PIRACANJUBA FD/25X400G</v>
          </cell>
          <cell r="D422">
            <v>17242.29</v>
          </cell>
          <cell r="E422">
            <v>0.11</v>
          </cell>
          <cell r="F422">
            <v>50</v>
          </cell>
          <cell r="G422">
            <v>0</v>
          </cell>
          <cell r="H422">
            <v>0</v>
          </cell>
          <cell r="I422">
            <v>0</v>
          </cell>
          <cell r="J422">
            <v>22600.86</v>
          </cell>
          <cell r="K422">
            <v>0.1</v>
          </cell>
          <cell r="L422">
            <v>1642.48</v>
          </cell>
          <cell r="M422">
            <v>0.95</v>
          </cell>
          <cell r="N422">
            <v>4</v>
          </cell>
          <cell r="O422">
            <v>48</v>
          </cell>
          <cell r="P422">
            <v>0.65</v>
          </cell>
          <cell r="Q422">
            <v>500</v>
          </cell>
          <cell r="R422">
            <v>550</v>
          </cell>
          <cell r="S422">
            <v>0</v>
          </cell>
          <cell r="T422">
            <v>40</v>
          </cell>
        </row>
        <row r="423">
          <cell r="A423">
            <v>134</v>
          </cell>
          <cell r="B423">
            <v>55</v>
          </cell>
          <cell r="C423" t="str">
            <v>PEIXE TAMBAQUI POSTAS ZALTANA CX\12X800G</v>
          </cell>
          <cell r="D423">
            <v>48590.3</v>
          </cell>
          <cell r="E423">
            <v>0.31</v>
          </cell>
          <cell r="F423">
            <v>167</v>
          </cell>
          <cell r="G423">
            <v>0</v>
          </cell>
          <cell r="H423">
            <v>0</v>
          </cell>
          <cell r="I423">
            <v>0</v>
          </cell>
          <cell r="J423">
            <v>18978.580000000002</v>
          </cell>
          <cell r="K423">
            <v>0.08</v>
          </cell>
          <cell r="L423">
            <v>342.02</v>
          </cell>
          <cell r="M423">
            <v>0.2</v>
          </cell>
          <cell r="N423">
            <v>1</v>
          </cell>
          <cell r="O423">
            <v>39</v>
          </cell>
          <cell r="P423">
            <v>0.53</v>
          </cell>
          <cell r="Q423">
            <v>1603.2</v>
          </cell>
          <cell r="R423">
            <v>528</v>
          </cell>
          <cell r="S423">
            <v>0</v>
          </cell>
          <cell r="T423">
            <v>9.6</v>
          </cell>
        </row>
        <row r="424">
          <cell r="A424">
            <v>451</v>
          </cell>
          <cell r="B424">
            <v>53</v>
          </cell>
          <cell r="C424" t="str">
            <v>BACON PERNIL TROPEIRA PCT 5KG</v>
          </cell>
          <cell r="D424">
            <v>15402.7</v>
          </cell>
          <cell r="E424">
            <v>0.1</v>
          </cell>
          <cell r="F424">
            <v>100</v>
          </cell>
          <cell r="G424">
            <v>0</v>
          </cell>
          <cell r="H424">
            <v>0</v>
          </cell>
          <cell r="I424">
            <v>0</v>
          </cell>
          <cell r="J424">
            <v>9483.1</v>
          </cell>
          <cell r="K424">
            <v>0.04</v>
          </cell>
          <cell r="L424">
            <v>181.3</v>
          </cell>
          <cell r="M424">
            <v>0.1</v>
          </cell>
          <cell r="N424">
            <v>1</v>
          </cell>
          <cell r="O424">
            <v>15</v>
          </cell>
          <cell r="P424">
            <v>0.2</v>
          </cell>
          <cell r="Q424">
            <v>500</v>
          </cell>
          <cell r="R424">
            <v>265</v>
          </cell>
          <cell r="S424">
            <v>0</v>
          </cell>
          <cell r="T424">
            <v>5</v>
          </cell>
        </row>
        <row r="425">
          <cell r="A425">
            <v>2161</v>
          </cell>
          <cell r="B425">
            <v>53</v>
          </cell>
          <cell r="C425" t="str">
            <v>BEB.FARINHA LACTEA IBITURANA CX\27X200ML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1494.54</v>
          </cell>
          <cell r="K425">
            <v>0.01</v>
          </cell>
          <cell r="L425">
            <v>57</v>
          </cell>
          <cell r="M425">
            <v>0.03</v>
          </cell>
          <cell r="N425">
            <v>2</v>
          </cell>
          <cell r="O425">
            <v>39</v>
          </cell>
          <cell r="P425">
            <v>0.53</v>
          </cell>
          <cell r="Q425">
            <v>0</v>
          </cell>
          <cell r="R425">
            <v>286.2</v>
          </cell>
          <cell r="S425">
            <v>0</v>
          </cell>
          <cell r="T425">
            <v>10.8</v>
          </cell>
        </row>
        <row r="426">
          <cell r="A426">
            <v>412</v>
          </cell>
          <cell r="B426">
            <v>53</v>
          </cell>
          <cell r="C426" t="str">
            <v>HOT HIT BACON CHEDDAR SEARA CX\18X145G</v>
          </cell>
          <cell r="D426">
            <v>4114.67</v>
          </cell>
          <cell r="E426">
            <v>0.03</v>
          </cell>
          <cell r="F426">
            <v>50</v>
          </cell>
          <cell r="G426">
            <v>0</v>
          </cell>
          <cell r="H426">
            <v>0</v>
          </cell>
          <cell r="I426">
            <v>0</v>
          </cell>
          <cell r="J426">
            <v>5348.14</v>
          </cell>
          <cell r="K426">
            <v>0.02</v>
          </cell>
          <cell r="L426">
            <v>0</v>
          </cell>
          <cell r="M426">
            <v>0</v>
          </cell>
          <cell r="N426">
            <v>0</v>
          </cell>
          <cell r="O426">
            <v>43</v>
          </cell>
          <cell r="P426">
            <v>0.57999999999999996</v>
          </cell>
          <cell r="Q426">
            <v>108.75</v>
          </cell>
          <cell r="R426">
            <v>115.27</v>
          </cell>
          <cell r="S426">
            <v>0</v>
          </cell>
          <cell r="T426">
            <v>0</v>
          </cell>
        </row>
        <row r="427">
          <cell r="A427">
            <v>2486</v>
          </cell>
          <cell r="B427">
            <v>53</v>
          </cell>
          <cell r="C427" t="str">
            <v>MAIONESE SACHE SALADA CX\24X200GR</v>
          </cell>
          <cell r="D427">
            <v>2217.6</v>
          </cell>
          <cell r="E427">
            <v>0.01</v>
          </cell>
          <cell r="F427">
            <v>50</v>
          </cell>
          <cell r="G427">
            <v>0</v>
          </cell>
          <cell r="H427">
            <v>0</v>
          </cell>
          <cell r="I427">
            <v>0</v>
          </cell>
          <cell r="J427">
            <v>2511.5700000000002</v>
          </cell>
          <cell r="K427">
            <v>0.01</v>
          </cell>
          <cell r="L427">
            <v>0</v>
          </cell>
          <cell r="M427">
            <v>0</v>
          </cell>
          <cell r="N427">
            <v>0</v>
          </cell>
          <cell r="O427">
            <v>44</v>
          </cell>
          <cell r="P427">
            <v>0.59</v>
          </cell>
          <cell r="Q427">
            <v>240</v>
          </cell>
          <cell r="R427">
            <v>254.4</v>
          </cell>
          <cell r="S427">
            <v>0</v>
          </cell>
          <cell r="T427">
            <v>0</v>
          </cell>
        </row>
        <row r="428">
          <cell r="A428">
            <v>4156</v>
          </cell>
          <cell r="B428">
            <v>53</v>
          </cell>
          <cell r="C428" t="str">
            <v>PEITO FRANGO ENVELOPADO LAR CX\18KG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9369.1</v>
          </cell>
          <cell r="K428">
            <v>0.04</v>
          </cell>
          <cell r="L428">
            <v>0</v>
          </cell>
          <cell r="M428">
            <v>0</v>
          </cell>
          <cell r="N428">
            <v>0</v>
          </cell>
          <cell r="O428">
            <v>35</v>
          </cell>
          <cell r="P428">
            <v>0.47</v>
          </cell>
          <cell r="Q428">
            <v>0</v>
          </cell>
          <cell r="R428">
            <v>954</v>
          </cell>
          <cell r="S428">
            <v>0</v>
          </cell>
          <cell r="T428">
            <v>0</v>
          </cell>
        </row>
        <row r="429">
          <cell r="A429">
            <v>3347</v>
          </cell>
          <cell r="B429">
            <v>53</v>
          </cell>
          <cell r="C429" t="str">
            <v>PEIXE PIRAMUTABA POSTA C\PELE PEIXE&amp;CIA 20X1KG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16077.8</v>
          </cell>
          <cell r="K429">
            <v>7.0000000000000007E-2</v>
          </cell>
          <cell r="L429">
            <v>299.88</v>
          </cell>
          <cell r="M429">
            <v>0.17</v>
          </cell>
          <cell r="N429">
            <v>1</v>
          </cell>
          <cell r="O429">
            <v>48</v>
          </cell>
          <cell r="P429">
            <v>0.65</v>
          </cell>
          <cell r="Q429">
            <v>0</v>
          </cell>
          <cell r="R429">
            <v>1060</v>
          </cell>
          <cell r="S429">
            <v>0</v>
          </cell>
          <cell r="T429">
            <v>20</v>
          </cell>
        </row>
        <row r="430">
          <cell r="A430">
            <v>1419</v>
          </cell>
          <cell r="B430">
            <v>52</v>
          </cell>
          <cell r="C430" t="str">
            <v>LING CHURRASCO LEBON CX\4X5KG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3404.3</v>
          </cell>
          <cell r="K430">
            <v>0.01</v>
          </cell>
          <cell r="L430">
            <v>0</v>
          </cell>
          <cell r="M430">
            <v>0</v>
          </cell>
          <cell r="N430">
            <v>0</v>
          </cell>
          <cell r="O430">
            <v>21</v>
          </cell>
          <cell r="P430">
            <v>0.28000000000000003</v>
          </cell>
          <cell r="Q430">
            <v>0</v>
          </cell>
          <cell r="R430">
            <v>260</v>
          </cell>
          <cell r="S430">
            <v>0</v>
          </cell>
          <cell r="T430">
            <v>0</v>
          </cell>
        </row>
        <row r="431">
          <cell r="A431">
            <v>3186</v>
          </cell>
          <cell r="B431">
            <v>51</v>
          </cell>
          <cell r="C431" t="str">
            <v>DOCE DE LEITE CRISTAULAT CX\18/400GR</v>
          </cell>
          <cell r="D431">
            <v>12161.25</v>
          </cell>
          <cell r="E431">
            <v>0.08</v>
          </cell>
          <cell r="F431">
            <v>100</v>
          </cell>
          <cell r="G431">
            <v>0</v>
          </cell>
          <cell r="H431">
            <v>0</v>
          </cell>
          <cell r="I431">
            <v>0</v>
          </cell>
          <cell r="J431">
            <v>8987.4</v>
          </cell>
          <cell r="K431">
            <v>0.04</v>
          </cell>
          <cell r="L431">
            <v>0</v>
          </cell>
          <cell r="M431">
            <v>0</v>
          </cell>
          <cell r="N431">
            <v>0</v>
          </cell>
          <cell r="O431">
            <v>33</v>
          </cell>
          <cell r="P431">
            <v>0.44</v>
          </cell>
          <cell r="Q431">
            <v>720</v>
          </cell>
          <cell r="R431">
            <v>367.2</v>
          </cell>
          <cell r="S431">
            <v>0</v>
          </cell>
          <cell r="T431">
            <v>0</v>
          </cell>
        </row>
        <row r="432">
          <cell r="A432">
            <v>890</v>
          </cell>
          <cell r="B432">
            <v>51</v>
          </cell>
          <cell r="C432" t="str">
            <v>ISCAS FRANGO EMPANADAS SEARA CX/5X900GR</v>
          </cell>
          <cell r="D432">
            <v>6606.9</v>
          </cell>
          <cell r="E432">
            <v>0.04</v>
          </cell>
          <cell r="F432">
            <v>60</v>
          </cell>
          <cell r="G432">
            <v>0</v>
          </cell>
          <cell r="H432">
            <v>0</v>
          </cell>
          <cell r="I432">
            <v>0</v>
          </cell>
          <cell r="J432">
            <v>6752.7</v>
          </cell>
          <cell r="K432">
            <v>0.03</v>
          </cell>
          <cell r="L432">
            <v>0</v>
          </cell>
          <cell r="M432">
            <v>0</v>
          </cell>
          <cell r="N432">
            <v>0</v>
          </cell>
          <cell r="O432">
            <v>19</v>
          </cell>
          <cell r="P432">
            <v>0.26</v>
          </cell>
          <cell r="Q432">
            <v>288</v>
          </cell>
          <cell r="R432">
            <v>244.8</v>
          </cell>
          <cell r="S432">
            <v>0</v>
          </cell>
          <cell r="T432">
            <v>0</v>
          </cell>
        </row>
        <row r="433">
          <cell r="A433">
            <v>331</v>
          </cell>
          <cell r="B433">
            <v>51</v>
          </cell>
          <cell r="C433" t="str">
            <v>REQUEIJAO BISNAGA CHEDDAR VEREDA 1,5KG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3114.88</v>
          </cell>
          <cell r="K433">
            <v>0.01</v>
          </cell>
          <cell r="L433">
            <v>0</v>
          </cell>
          <cell r="M433">
            <v>0</v>
          </cell>
          <cell r="N433">
            <v>0</v>
          </cell>
          <cell r="O433">
            <v>32</v>
          </cell>
          <cell r="P433">
            <v>0.43</v>
          </cell>
          <cell r="Q433">
            <v>0</v>
          </cell>
          <cell r="R433">
            <v>76.5</v>
          </cell>
          <cell r="S433">
            <v>0</v>
          </cell>
          <cell r="T433">
            <v>0</v>
          </cell>
        </row>
        <row r="434">
          <cell r="A434">
            <v>750</v>
          </cell>
          <cell r="B434">
            <v>51</v>
          </cell>
          <cell r="C434" t="str">
            <v>TEKITOS BIG QUEIJO SEARA CX\5X900GR</v>
          </cell>
          <cell r="D434">
            <v>4916.7</v>
          </cell>
          <cell r="E434">
            <v>0.03</v>
          </cell>
          <cell r="F434">
            <v>60</v>
          </cell>
          <cell r="G434">
            <v>0</v>
          </cell>
          <cell r="H434">
            <v>0</v>
          </cell>
          <cell r="I434">
            <v>0</v>
          </cell>
          <cell r="J434">
            <v>4697.54</v>
          </cell>
          <cell r="K434">
            <v>0.02</v>
          </cell>
          <cell r="L434">
            <v>0</v>
          </cell>
          <cell r="M434">
            <v>0</v>
          </cell>
          <cell r="N434">
            <v>0</v>
          </cell>
          <cell r="O434">
            <v>26</v>
          </cell>
          <cell r="P434">
            <v>0.35</v>
          </cell>
          <cell r="Q434">
            <v>270</v>
          </cell>
          <cell r="R434">
            <v>229.5</v>
          </cell>
          <cell r="S434">
            <v>0</v>
          </cell>
          <cell r="T434">
            <v>0</v>
          </cell>
        </row>
        <row r="435">
          <cell r="A435">
            <v>377</v>
          </cell>
          <cell r="B435">
            <v>50</v>
          </cell>
          <cell r="C435" t="str">
            <v>LEITE CONDENSADO TRIANGULO TP CX\27X395G</v>
          </cell>
          <cell r="D435">
            <v>37348.25</v>
          </cell>
          <cell r="E435">
            <v>0.24</v>
          </cell>
          <cell r="F435">
            <v>315</v>
          </cell>
          <cell r="G435">
            <v>0</v>
          </cell>
          <cell r="H435">
            <v>0</v>
          </cell>
          <cell r="I435">
            <v>0</v>
          </cell>
          <cell r="J435">
            <v>6745.25</v>
          </cell>
          <cell r="K435">
            <v>0.03</v>
          </cell>
          <cell r="L435">
            <v>0</v>
          </cell>
          <cell r="M435">
            <v>0</v>
          </cell>
          <cell r="N435">
            <v>0</v>
          </cell>
          <cell r="O435">
            <v>23</v>
          </cell>
          <cell r="P435">
            <v>0.31</v>
          </cell>
          <cell r="Q435">
            <v>3370.5</v>
          </cell>
          <cell r="R435">
            <v>535</v>
          </cell>
          <cell r="S435">
            <v>0</v>
          </cell>
          <cell r="T435">
            <v>0</v>
          </cell>
        </row>
        <row r="436">
          <cell r="A436">
            <v>361</v>
          </cell>
          <cell r="B436">
            <v>50</v>
          </cell>
          <cell r="C436" t="str">
            <v>MASSA PASTEL PEQUENA VILA ITALIA 24X500GR</v>
          </cell>
          <cell r="D436">
            <v>7806.68</v>
          </cell>
          <cell r="E436">
            <v>0.05</v>
          </cell>
          <cell r="F436">
            <v>60</v>
          </cell>
          <cell r="G436">
            <v>0</v>
          </cell>
          <cell r="H436">
            <v>0</v>
          </cell>
          <cell r="I436">
            <v>0</v>
          </cell>
          <cell r="J436">
            <v>7760.48</v>
          </cell>
          <cell r="K436">
            <v>0.03</v>
          </cell>
          <cell r="L436">
            <v>311.64</v>
          </cell>
          <cell r="M436">
            <v>0.18</v>
          </cell>
          <cell r="N436">
            <v>2</v>
          </cell>
          <cell r="O436">
            <v>36</v>
          </cell>
          <cell r="P436">
            <v>0.48</v>
          </cell>
          <cell r="Q436">
            <v>720</v>
          </cell>
          <cell r="R436">
            <v>600</v>
          </cell>
          <cell r="S436">
            <v>0</v>
          </cell>
          <cell r="T436">
            <v>24</v>
          </cell>
        </row>
        <row r="437">
          <cell r="A437">
            <v>348</v>
          </cell>
          <cell r="B437">
            <v>49.27</v>
          </cell>
          <cell r="C437" t="str">
            <v>PATINHO BOVINO MATOSO  KG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1944.87</v>
          </cell>
          <cell r="K437">
            <v>0.01</v>
          </cell>
          <cell r="L437">
            <v>0</v>
          </cell>
          <cell r="M437">
            <v>0</v>
          </cell>
          <cell r="N437">
            <v>0</v>
          </cell>
          <cell r="O437">
            <v>2</v>
          </cell>
          <cell r="P437">
            <v>0.03</v>
          </cell>
          <cell r="Q437">
            <v>0</v>
          </cell>
          <cell r="R437">
            <v>49.27</v>
          </cell>
          <cell r="S437">
            <v>0</v>
          </cell>
          <cell r="T437">
            <v>0</v>
          </cell>
        </row>
        <row r="438">
          <cell r="A438">
            <v>584</v>
          </cell>
          <cell r="B438">
            <v>49</v>
          </cell>
          <cell r="C438" t="str">
            <v>LANCHE BRUSTER LEBON 3,5KG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2120.6799999999998</v>
          </cell>
          <cell r="K438">
            <v>0.01</v>
          </cell>
          <cell r="L438">
            <v>0</v>
          </cell>
          <cell r="M438">
            <v>0</v>
          </cell>
          <cell r="N438">
            <v>0</v>
          </cell>
          <cell r="O438">
            <v>13</v>
          </cell>
          <cell r="P438">
            <v>0.18</v>
          </cell>
          <cell r="Q438">
            <v>0</v>
          </cell>
          <cell r="R438">
            <v>171.5</v>
          </cell>
          <cell r="S438">
            <v>0</v>
          </cell>
          <cell r="T438">
            <v>0</v>
          </cell>
        </row>
        <row r="439">
          <cell r="A439">
            <v>631</v>
          </cell>
          <cell r="B439">
            <v>49</v>
          </cell>
          <cell r="C439" t="str">
            <v>LOMBO SUINO TEMP. PIF PAF CX/18KG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13268.69</v>
          </cell>
          <cell r="K439">
            <v>0.06</v>
          </cell>
          <cell r="L439">
            <v>0</v>
          </cell>
          <cell r="M439">
            <v>0</v>
          </cell>
          <cell r="N439">
            <v>0</v>
          </cell>
          <cell r="O439">
            <v>33</v>
          </cell>
          <cell r="P439">
            <v>0.44</v>
          </cell>
          <cell r="Q439">
            <v>0</v>
          </cell>
          <cell r="R439">
            <v>882</v>
          </cell>
          <cell r="S439">
            <v>0</v>
          </cell>
          <cell r="T439">
            <v>0</v>
          </cell>
        </row>
        <row r="440">
          <cell r="A440">
            <v>730</v>
          </cell>
          <cell r="B440">
            <v>48</v>
          </cell>
          <cell r="C440" t="str">
            <v>SOBRECOXA RIVELLI BANDEJA CX\12KG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7520.7</v>
          </cell>
          <cell r="K440">
            <v>0.03</v>
          </cell>
          <cell r="L440">
            <v>0</v>
          </cell>
          <cell r="M440">
            <v>0</v>
          </cell>
          <cell r="N440">
            <v>0</v>
          </cell>
          <cell r="O440">
            <v>22</v>
          </cell>
          <cell r="P440">
            <v>0.3</v>
          </cell>
          <cell r="Q440">
            <v>0</v>
          </cell>
          <cell r="R440">
            <v>576</v>
          </cell>
          <cell r="S440">
            <v>0</v>
          </cell>
          <cell r="T440">
            <v>0</v>
          </cell>
        </row>
        <row r="441">
          <cell r="A441">
            <v>479</v>
          </cell>
          <cell r="B441">
            <v>47</v>
          </cell>
          <cell r="C441" t="str">
            <v>BEB.LACTEA SUCOMILHO CEMIL 27X200ML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1386.1</v>
          </cell>
          <cell r="K441">
            <v>0.01</v>
          </cell>
          <cell r="L441">
            <v>29.3</v>
          </cell>
          <cell r="M441">
            <v>0.02</v>
          </cell>
          <cell r="N441">
            <v>1</v>
          </cell>
          <cell r="O441">
            <v>37</v>
          </cell>
          <cell r="P441">
            <v>0.5</v>
          </cell>
          <cell r="Q441">
            <v>0</v>
          </cell>
          <cell r="R441">
            <v>253.8</v>
          </cell>
          <cell r="S441">
            <v>0</v>
          </cell>
          <cell r="T441">
            <v>5.4</v>
          </cell>
        </row>
        <row r="442">
          <cell r="A442">
            <v>1037</v>
          </cell>
          <cell r="B442">
            <v>47</v>
          </cell>
          <cell r="C442" t="str">
            <v>HAMBURGUER FRANGO TEXAS BURGER  36X56GR</v>
          </cell>
          <cell r="D442">
            <v>1858.25</v>
          </cell>
          <cell r="E442">
            <v>0.01</v>
          </cell>
          <cell r="F442">
            <v>50</v>
          </cell>
          <cell r="G442">
            <v>0</v>
          </cell>
          <cell r="H442">
            <v>0</v>
          </cell>
          <cell r="I442">
            <v>0</v>
          </cell>
          <cell r="J442">
            <v>1898.52</v>
          </cell>
          <cell r="K442">
            <v>0.01</v>
          </cell>
          <cell r="L442">
            <v>0</v>
          </cell>
          <cell r="M442">
            <v>0</v>
          </cell>
          <cell r="N442">
            <v>0</v>
          </cell>
          <cell r="O442">
            <v>27</v>
          </cell>
          <cell r="P442">
            <v>0.36</v>
          </cell>
          <cell r="Q442">
            <v>402</v>
          </cell>
          <cell r="R442">
            <v>377.88</v>
          </cell>
          <cell r="S442">
            <v>0</v>
          </cell>
          <cell r="T442">
            <v>0</v>
          </cell>
        </row>
        <row r="443">
          <cell r="A443">
            <v>129</v>
          </cell>
          <cell r="B443">
            <v>47</v>
          </cell>
          <cell r="C443" t="str">
            <v>PEIXE CURIMBA EVISCERADO CX/20KG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22356.720000000001</v>
          </cell>
          <cell r="K443">
            <v>0.1</v>
          </cell>
          <cell r="L443">
            <v>0</v>
          </cell>
          <cell r="M443">
            <v>0</v>
          </cell>
          <cell r="N443">
            <v>0</v>
          </cell>
          <cell r="O443">
            <v>43</v>
          </cell>
          <cell r="P443">
            <v>0.57999999999999996</v>
          </cell>
          <cell r="Q443">
            <v>0</v>
          </cell>
          <cell r="R443">
            <v>940</v>
          </cell>
          <cell r="S443">
            <v>0</v>
          </cell>
          <cell r="T443">
            <v>0</v>
          </cell>
        </row>
        <row r="444">
          <cell r="A444">
            <v>735</v>
          </cell>
          <cell r="B444">
            <v>47</v>
          </cell>
          <cell r="C444" t="str">
            <v>STEAK RECHEADO LEVISSIMO\QUEIJO SEARA CX\25X110GR</v>
          </cell>
          <cell r="D444">
            <v>2270.4</v>
          </cell>
          <cell r="E444">
            <v>0.01</v>
          </cell>
          <cell r="F444">
            <v>30</v>
          </cell>
          <cell r="G444">
            <v>0</v>
          </cell>
          <cell r="H444">
            <v>0</v>
          </cell>
          <cell r="I444">
            <v>0</v>
          </cell>
          <cell r="J444">
            <v>4173.4399999999996</v>
          </cell>
          <cell r="K444">
            <v>0.02</v>
          </cell>
          <cell r="L444">
            <v>87.22</v>
          </cell>
          <cell r="M444">
            <v>0.05</v>
          </cell>
          <cell r="N444">
            <v>1</v>
          </cell>
          <cell r="O444">
            <v>38</v>
          </cell>
          <cell r="P444">
            <v>0.51</v>
          </cell>
          <cell r="Q444">
            <v>82.5</v>
          </cell>
          <cell r="R444">
            <v>129.25</v>
          </cell>
          <cell r="S444">
            <v>0</v>
          </cell>
          <cell r="T444">
            <v>2.75</v>
          </cell>
        </row>
        <row r="445">
          <cell r="A445">
            <v>1035</v>
          </cell>
          <cell r="B445">
            <v>46</v>
          </cell>
          <cell r="C445" t="str">
            <v>GALINHA GORDA BIP CX/20KG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7196.34</v>
          </cell>
          <cell r="K445">
            <v>0.03</v>
          </cell>
          <cell r="L445">
            <v>155.82</v>
          </cell>
          <cell r="M445">
            <v>0.09</v>
          </cell>
          <cell r="N445">
            <v>1</v>
          </cell>
          <cell r="O445">
            <v>37</v>
          </cell>
          <cell r="P445">
            <v>0.5</v>
          </cell>
          <cell r="Q445">
            <v>0</v>
          </cell>
          <cell r="R445">
            <v>920</v>
          </cell>
          <cell r="S445">
            <v>0</v>
          </cell>
          <cell r="T445">
            <v>20</v>
          </cell>
        </row>
        <row r="446">
          <cell r="A446">
            <v>4125</v>
          </cell>
          <cell r="B446">
            <v>46</v>
          </cell>
          <cell r="C446" t="str">
            <v>LING FRANGO FINA LAR CX\15X1KG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8982.24</v>
          </cell>
          <cell r="K446">
            <v>0.04</v>
          </cell>
          <cell r="L446">
            <v>0</v>
          </cell>
          <cell r="M446">
            <v>0</v>
          </cell>
          <cell r="N446">
            <v>0</v>
          </cell>
          <cell r="O446">
            <v>30</v>
          </cell>
          <cell r="P446">
            <v>0.4</v>
          </cell>
          <cell r="Q446">
            <v>0</v>
          </cell>
          <cell r="R446">
            <v>690</v>
          </cell>
          <cell r="S446">
            <v>0</v>
          </cell>
          <cell r="T446">
            <v>0</v>
          </cell>
        </row>
        <row r="447">
          <cell r="A447">
            <v>320</v>
          </cell>
          <cell r="B447">
            <v>46</v>
          </cell>
          <cell r="C447" t="str">
            <v>SUCO UVA 100% TIAL CX/24X200ML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3030.26</v>
          </cell>
          <cell r="K447">
            <v>0.01</v>
          </cell>
          <cell r="L447">
            <v>0</v>
          </cell>
          <cell r="M447">
            <v>0</v>
          </cell>
          <cell r="N447">
            <v>0</v>
          </cell>
          <cell r="O447">
            <v>5</v>
          </cell>
          <cell r="P447">
            <v>7.0000000000000007E-2</v>
          </cell>
          <cell r="Q447">
            <v>0</v>
          </cell>
          <cell r="R447">
            <v>230</v>
          </cell>
          <cell r="S447">
            <v>0</v>
          </cell>
          <cell r="T447">
            <v>0</v>
          </cell>
        </row>
        <row r="448">
          <cell r="A448">
            <v>443</v>
          </cell>
          <cell r="B448">
            <v>45.61</v>
          </cell>
          <cell r="C448" t="str">
            <v>BACON PEDACOS REZENDE KG</v>
          </cell>
          <cell r="D448">
            <v>2047.4</v>
          </cell>
          <cell r="E448">
            <v>0.01</v>
          </cell>
          <cell r="F448">
            <v>69.38</v>
          </cell>
          <cell r="G448">
            <v>0</v>
          </cell>
          <cell r="H448">
            <v>0</v>
          </cell>
          <cell r="I448">
            <v>0</v>
          </cell>
          <cell r="J448">
            <v>1426.67</v>
          </cell>
          <cell r="K448">
            <v>0.01</v>
          </cell>
          <cell r="L448">
            <v>0</v>
          </cell>
          <cell r="M448">
            <v>0</v>
          </cell>
          <cell r="N448">
            <v>0</v>
          </cell>
          <cell r="O448">
            <v>3</v>
          </cell>
          <cell r="P448">
            <v>0.04</v>
          </cell>
          <cell r="Q448">
            <v>69.38</v>
          </cell>
          <cell r="R448">
            <v>45.61</v>
          </cell>
          <cell r="S448">
            <v>0</v>
          </cell>
          <cell r="T448">
            <v>0</v>
          </cell>
        </row>
        <row r="449">
          <cell r="A449">
            <v>791</v>
          </cell>
          <cell r="B449">
            <v>45</v>
          </cell>
          <cell r="C449" t="str">
            <v>COXA IQF SEARA CX\12KG</v>
          </cell>
          <cell r="D449">
            <v>11640</v>
          </cell>
          <cell r="E449">
            <v>7.0000000000000007E-2</v>
          </cell>
          <cell r="F449">
            <v>100</v>
          </cell>
          <cell r="G449">
            <v>0</v>
          </cell>
          <cell r="H449">
            <v>0</v>
          </cell>
          <cell r="I449">
            <v>0</v>
          </cell>
          <cell r="J449">
            <v>5855.9</v>
          </cell>
          <cell r="K449">
            <v>0.03</v>
          </cell>
          <cell r="L449">
            <v>259.7</v>
          </cell>
          <cell r="M449">
            <v>0.15</v>
          </cell>
          <cell r="N449">
            <v>2</v>
          </cell>
          <cell r="O449">
            <v>34</v>
          </cell>
          <cell r="P449">
            <v>0.46</v>
          </cell>
          <cell r="Q449">
            <v>1200</v>
          </cell>
          <cell r="R449">
            <v>540</v>
          </cell>
          <cell r="S449">
            <v>0</v>
          </cell>
          <cell r="T449">
            <v>24</v>
          </cell>
        </row>
        <row r="450">
          <cell r="A450">
            <v>3672</v>
          </cell>
          <cell r="B450">
            <v>45</v>
          </cell>
          <cell r="C450" t="str">
            <v>PAO DE QUEIJO BISCOITO PROVOLONE FORNERIA 5X2KG</v>
          </cell>
          <cell r="D450">
            <v>10794.66</v>
          </cell>
          <cell r="E450">
            <v>7.0000000000000007E-2</v>
          </cell>
          <cell r="F450">
            <v>70</v>
          </cell>
          <cell r="G450">
            <v>0</v>
          </cell>
          <cell r="H450">
            <v>0</v>
          </cell>
          <cell r="I450">
            <v>0</v>
          </cell>
          <cell r="J450">
            <v>8474.16</v>
          </cell>
          <cell r="K450">
            <v>0.04</v>
          </cell>
          <cell r="L450">
            <v>0</v>
          </cell>
          <cell r="M450">
            <v>0</v>
          </cell>
          <cell r="N450">
            <v>0</v>
          </cell>
          <cell r="O450">
            <v>15</v>
          </cell>
          <cell r="P450">
            <v>0.2</v>
          </cell>
          <cell r="Q450">
            <v>700</v>
          </cell>
          <cell r="R450">
            <v>450</v>
          </cell>
          <cell r="S450">
            <v>0</v>
          </cell>
          <cell r="T450">
            <v>0</v>
          </cell>
        </row>
        <row r="451">
          <cell r="A451">
            <v>4005</v>
          </cell>
          <cell r="B451">
            <v>44</v>
          </cell>
          <cell r="C451" t="str">
            <v>SALAME FATIADO HAMBURGUES SEARA GOURMET CX\10X100GR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3889.8</v>
          </cell>
          <cell r="K451">
            <v>0.02</v>
          </cell>
          <cell r="L451">
            <v>0</v>
          </cell>
          <cell r="M451">
            <v>0</v>
          </cell>
          <cell r="N451">
            <v>0</v>
          </cell>
          <cell r="O451">
            <v>25</v>
          </cell>
          <cell r="P451">
            <v>0.34</v>
          </cell>
          <cell r="Q451">
            <v>0</v>
          </cell>
          <cell r="R451">
            <v>44</v>
          </cell>
          <cell r="S451">
            <v>0</v>
          </cell>
          <cell r="T451">
            <v>0</v>
          </cell>
        </row>
        <row r="452">
          <cell r="A452">
            <v>751</v>
          </cell>
          <cell r="B452">
            <v>44</v>
          </cell>
          <cell r="C452" t="str">
            <v>TEKITOS SEARA CX\2X2,5KG</v>
          </cell>
          <cell r="D452">
            <v>3270</v>
          </cell>
          <cell r="E452">
            <v>0.02</v>
          </cell>
          <cell r="F452">
            <v>50</v>
          </cell>
          <cell r="G452">
            <v>0</v>
          </cell>
          <cell r="H452">
            <v>0</v>
          </cell>
          <cell r="I452">
            <v>0</v>
          </cell>
          <cell r="J452">
            <v>3413.11</v>
          </cell>
          <cell r="K452">
            <v>0.01</v>
          </cell>
          <cell r="L452">
            <v>0</v>
          </cell>
          <cell r="M452">
            <v>0</v>
          </cell>
          <cell r="N452">
            <v>0</v>
          </cell>
          <cell r="O452">
            <v>31</v>
          </cell>
          <cell r="P452">
            <v>0.42</v>
          </cell>
          <cell r="Q452">
            <v>250</v>
          </cell>
          <cell r="R452">
            <v>220</v>
          </cell>
          <cell r="S452">
            <v>0</v>
          </cell>
          <cell r="T452">
            <v>0</v>
          </cell>
        </row>
        <row r="453">
          <cell r="A453">
            <v>3353</v>
          </cell>
          <cell r="B453">
            <v>43</v>
          </cell>
          <cell r="C453" t="str">
            <v>AZEITONA SACHE TOZZI  24X80GR</v>
          </cell>
          <cell r="D453">
            <v>12525.4</v>
          </cell>
          <cell r="E453">
            <v>0.08</v>
          </cell>
          <cell r="F453">
            <v>252</v>
          </cell>
          <cell r="G453">
            <v>0</v>
          </cell>
          <cell r="H453">
            <v>0</v>
          </cell>
          <cell r="I453">
            <v>0</v>
          </cell>
          <cell r="J453">
            <v>2482.36</v>
          </cell>
          <cell r="K453">
            <v>0.01</v>
          </cell>
          <cell r="L453">
            <v>0</v>
          </cell>
          <cell r="M453">
            <v>0</v>
          </cell>
          <cell r="N453">
            <v>0</v>
          </cell>
          <cell r="O453">
            <v>39</v>
          </cell>
          <cell r="P453">
            <v>0.53</v>
          </cell>
          <cell r="Q453">
            <v>504</v>
          </cell>
          <cell r="R453">
            <v>86</v>
          </cell>
          <cell r="S453">
            <v>0</v>
          </cell>
          <cell r="T453">
            <v>0</v>
          </cell>
        </row>
        <row r="454">
          <cell r="A454">
            <v>498</v>
          </cell>
          <cell r="B454">
            <v>43</v>
          </cell>
          <cell r="C454" t="str">
            <v>COCO RALADO MENINA CX/48X50GR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3445.82</v>
          </cell>
          <cell r="K454">
            <v>0.02</v>
          </cell>
          <cell r="L454">
            <v>0</v>
          </cell>
          <cell r="M454">
            <v>0</v>
          </cell>
          <cell r="N454">
            <v>0</v>
          </cell>
          <cell r="O454">
            <v>37</v>
          </cell>
          <cell r="P454">
            <v>0.5</v>
          </cell>
          <cell r="Q454">
            <v>0</v>
          </cell>
          <cell r="R454">
            <v>103.2</v>
          </cell>
          <cell r="S454">
            <v>0</v>
          </cell>
          <cell r="T454">
            <v>0</v>
          </cell>
        </row>
        <row r="455">
          <cell r="A455">
            <v>278</v>
          </cell>
          <cell r="B455">
            <v>43</v>
          </cell>
          <cell r="C455" t="str">
            <v>MORTADELA FRANGO SEARA 12X400GR 9164</v>
          </cell>
          <cell r="D455">
            <v>2908.8</v>
          </cell>
          <cell r="E455">
            <v>0.02</v>
          </cell>
          <cell r="F455">
            <v>50</v>
          </cell>
          <cell r="G455">
            <v>0</v>
          </cell>
          <cell r="H455">
            <v>0</v>
          </cell>
          <cell r="I455">
            <v>0</v>
          </cell>
          <cell r="J455">
            <v>2958.96</v>
          </cell>
          <cell r="K455">
            <v>0.01</v>
          </cell>
          <cell r="L455">
            <v>0</v>
          </cell>
          <cell r="M455">
            <v>0</v>
          </cell>
          <cell r="N455">
            <v>0</v>
          </cell>
          <cell r="O455">
            <v>34</v>
          </cell>
          <cell r="P455">
            <v>0.46</v>
          </cell>
          <cell r="Q455">
            <v>240</v>
          </cell>
          <cell r="R455">
            <v>206.4</v>
          </cell>
          <cell r="S455">
            <v>0</v>
          </cell>
          <cell r="T455">
            <v>0</v>
          </cell>
        </row>
        <row r="456">
          <cell r="A456">
            <v>693</v>
          </cell>
          <cell r="B456">
            <v>43</v>
          </cell>
          <cell r="C456" t="str">
            <v>PEITO PERU DEFUMADO SEARA CX\2X2,5KG</v>
          </cell>
          <cell r="D456">
            <v>1852.09</v>
          </cell>
          <cell r="E456">
            <v>0.01</v>
          </cell>
          <cell r="F456">
            <v>20</v>
          </cell>
          <cell r="G456">
            <v>0</v>
          </cell>
          <cell r="H456">
            <v>0</v>
          </cell>
          <cell r="I456">
            <v>0</v>
          </cell>
          <cell r="J456">
            <v>4764.4799999999996</v>
          </cell>
          <cell r="K456">
            <v>0.02</v>
          </cell>
          <cell r="L456">
            <v>0</v>
          </cell>
          <cell r="M456">
            <v>0</v>
          </cell>
          <cell r="N456">
            <v>0</v>
          </cell>
          <cell r="O456">
            <v>21</v>
          </cell>
          <cell r="P456">
            <v>0.28000000000000003</v>
          </cell>
          <cell r="Q456">
            <v>50</v>
          </cell>
          <cell r="R456">
            <v>107.5</v>
          </cell>
          <cell r="S456">
            <v>0</v>
          </cell>
          <cell r="T456">
            <v>0</v>
          </cell>
        </row>
        <row r="457">
          <cell r="A457">
            <v>752</v>
          </cell>
          <cell r="B457">
            <v>43</v>
          </cell>
          <cell r="C457" t="str">
            <v>TEKITOS SEARA QUEIJO/OREGANO CX/5X1KG</v>
          </cell>
          <cell r="D457">
            <v>1377</v>
          </cell>
          <cell r="E457">
            <v>0.01</v>
          </cell>
          <cell r="F457">
            <v>20</v>
          </cell>
          <cell r="G457">
            <v>0</v>
          </cell>
          <cell r="H457">
            <v>0</v>
          </cell>
          <cell r="I457">
            <v>0</v>
          </cell>
          <cell r="J457">
            <v>3503.47</v>
          </cell>
          <cell r="K457">
            <v>0.02</v>
          </cell>
          <cell r="L457">
            <v>0</v>
          </cell>
          <cell r="M457">
            <v>0</v>
          </cell>
          <cell r="N457">
            <v>0</v>
          </cell>
          <cell r="O457">
            <v>24</v>
          </cell>
          <cell r="P457">
            <v>0.32</v>
          </cell>
          <cell r="Q457">
            <v>100</v>
          </cell>
          <cell r="R457">
            <v>215</v>
          </cell>
          <cell r="S457">
            <v>0</v>
          </cell>
          <cell r="T457">
            <v>0</v>
          </cell>
        </row>
        <row r="458">
          <cell r="A458">
            <v>135</v>
          </cell>
          <cell r="B458">
            <v>42</v>
          </cell>
          <cell r="C458" t="str">
            <v>FILE MERLUZA INTERF ARGENTINA CX\21KG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27012.78</v>
          </cell>
          <cell r="K458">
            <v>0.12</v>
          </cell>
          <cell r="L458">
            <v>653.45000000000005</v>
          </cell>
          <cell r="M458">
            <v>0.38</v>
          </cell>
          <cell r="N458">
            <v>1</v>
          </cell>
          <cell r="O458">
            <v>30</v>
          </cell>
          <cell r="P458">
            <v>0.4</v>
          </cell>
          <cell r="Q458">
            <v>0</v>
          </cell>
          <cell r="R458">
            <v>882</v>
          </cell>
          <cell r="S458">
            <v>0</v>
          </cell>
          <cell r="T458">
            <v>21</v>
          </cell>
        </row>
        <row r="459">
          <cell r="A459">
            <v>546</v>
          </cell>
          <cell r="B459">
            <v>42</v>
          </cell>
          <cell r="C459" t="str">
            <v>FILEZINHO SASSAMI BANDEJA SEARA CX\12KG</v>
          </cell>
          <cell r="D459">
            <v>16920</v>
          </cell>
          <cell r="E459">
            <v>0.11</v>
          </cell>
          <cell r="F459">
            <v>100</v>
          </cell>
          <cell r="G459">
            <v>0</v>
          </cell>
          <cell r="H459">
            <v>0</v>
          </cell>
          <cell r="I459">
            <v>0</v>
          </cell>
          <cell r="J459">
            <v>8584.0400000000009</v>
          </cell>
          <cell r="K459">
            <v>0.04</v>
          </cell>
          <cell r="L459">
            <v>0</v>
          </cell>
          <cell r="M459">
            <v>0</v>
          </cell>
          <cell r="N459">
            <v>0</v>
          </cell>
          <cell r="O459">
            <v>28</v>
          </cell>
          <cell r="P459">
            <v>0.38</v>
          </cell>
          <cell r="Q459">
            <v>1200</v>
          </cell>
          <cell r="R459">
            <v>504</v>
          </cell>
          <cell r="S459">
            <v>0</v>
          </cell>
          <cell r="T459">
            <v>0</v>
          </cell>
        </row>
        <row r="460">
          <cell r="A460">
            <v>3248</v>
          </cell>
          <cell r="B460">
            <v>42</v>
          </cell>
          <cell r="C460" t="str">
            <v>LING FRANGO SEARA CX/30X600GR</v>
          </cell>
          <cell r="D460">
            <v>6863.4</v>
          </cell>
          <cell r="E460">
            <v>0.04</v>
          </cell>
          <cell r="F460">
            <v>30</v>
          </cell>
          <cell r="G460">
            <v>0</v>
          </cell>
          <cell r="H460">
            <v>0</v>
          </cell>
          <cell r="I460">
            <v>0</v>
          </cell>
          <cell r="J460">
            <v>11399.47</v>
          </cell>
          <cell r="K460">
            <v>0.05</v>
          </cell>
          <cell r="L460">
            <v>0</v>
          </cell>
          <cell r="M460">
            <v>0</v>
          </cell>
          <cell r="N460">
            <v>0</v>
          </cell>
          <cell r="O460">
            <v>36</v>
          </cell>
          <cell r="P460">
            <v>0.48</v>
          </cell>
          <cell r="Q460">
            <v>540</v>
          </cell>
          <cell r="R460">
            <v>756</v>
          </cell>
          <cell r="S460">
            <v>0</v>
          </cell>
          <cell r="T460">
            <v>0</v>
          </cell>
        </row>
        <row r="461">
          <cell r="A461">
            <v>666</v>
          </cell>
          <cell r="B461">
            <v>42</v>
          </cell>
          <cell r="C461" t="str">
            <v>MISTURA CONDENSADA TRIANGULO CX/27X395GR</v>
          </cell>
          <cell r="D461">
            <v>16386.3</v>
          </cell>
          <cell r="E461">
            <v>0.1</v>
          </cell>
          <cell r="F461">
            <v>210</v>
          </cell>
          <cell r="G461">
            <v>0</v>
          </cell>
          <cell r="H461">
            <v>0</v>
          </cell>
          <cell r="I461">
            <v>0</v>
          </cell>
          <cell r="J461">
            <v>4014.27</v>
          </cell>
          <cell r="K461">
            <v>0.02</v>
          </cell>
          <cell r="L461">
            <v>0</v>
          </cell>
          <cell r="M461">
            <v>0</v>
          </cell>
          <cell r="N461">
            <v>0</v>
          </cell>
          <cell r="O461">
            <v>24</v>
          </cell>
          <cell r="P461">
            <v>0.32</v>
          </cell>
          <cell r="Q461">
            <v>1260</v>
          </cell>
          <cell r="R461">
            <v>252</v>
          </cell>
          <cell r="S461">
            <v>0</v>
          </cell>
          <cell r="T461">
            <v>0</v>
          </cell>
        </row>
        <row r="462">
          <cell r="A462">
            <v>3370</v>
          </cell>
          <cell r="B462">
            <v>42</v>
          </cell>
          <cell r="C462" t="str">
            <v>PEIXE CORVINA POSTAS PEIXE E CIA CX\20X1KG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19741.61</v>
          </cell>
          <cell r="K462">
            <v>0.09</v>
          </cell>
          <cell r="L462">
            <v>0</v>
          </cell>
          <cell r="M462">
            <v>0</v>
          </cell>
          <cell r="N462">
            <v>0</v>
          </cell>
          <cell r="O462">
            <v>33</v>
          </cell>
          <cell r="P462">
            <v>0.44</v>
          </cell>
          <cell r="Q462">
            <v>0</v>
          </cell>
          <cell r="R462">
            <v>840</v>
          </cell>
          <cell r="S462">
            <v>0</v>
          </cell>
          <cell r="T462">
            <v>0</v>
          </cell>
        </row>
        <row r="463">
          <cell r="A463">
            <v>706</v>
          </cell>
          <cell r="B463">
            <v>42</v>
          </cell>
          <cell r="C463" t="str">
            <v>PIZZA CALABRESA SEARA CX12X460GR</v>
          </cell>
          <cell r="D463">
            <v>4631.83</v>
          </cell>
          <cell r="E463">
            <v>0.03</v>
          </cell>
          <cell r="F463">
            <v>30</v>
          </cell>
          <cell r="G463">
            <v>0</v>
          </cell>
          <cell r="H463">
            <v>0</v>
          </cell>
          <cell r="I463">
            <v>0</v>
          </cell>
          <cell r="J463">
            <v>7406.87</v>
          </cell>
          <cell r="K463">
            <v>0.03</v>
          </cell>
          <cell r="L463">
            <v>184.73</v>
          </cell>
          <cell r="M463">
            <v>0.11</v>
          </cell>
          <cell r="N463">
            <v>1</v>
          </cell>
          <cell r="O463">
            <v>36</v>
          </cell>
          <cell r="P463">
            <v>0.48</v>
          </cell>
          <cell r="Q463">
            <v>165.6</v>
          </cell>
          <cell r="R463">
            <v>231.84</v>
          </cell>
          <cell r="S463">
            <v>0</v>
          </cell>
          <cell r="T463">
            <v>5.52</v>
          </cell>
        </row>
        <row r="464">
          <cell r="A464">
            <v>745</v>
          </cell>
          <cell r="B464">
            <v>42</v>
          </cell>
          <cell r="C464" t="str">
            <v>SUCO NECTAR PESSEGO TIAL CX\24X200ML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1610.7</v>
          </cell>
          <cell r="K464">
            <v>0.01</v>
          </cell>
          <cell r="L464">
            <v>0</v>
          </cell>
          <cell r="M464">
            <v>0</v>
          </cell>
          <cell r="N464">
            <v>0</v>
          </cell>
          <cell r="O464">
            <v>32</v>
          </cell>
          <cell r="P464">
            <v>0.43</v>
          </cell>
          <cell r="Q464">
            <v>0</v>
          </cell>
          <cell r="R464">
            <v>201.6</v>
          </cell>
          <cell r="S464">
            <v>0</v>
          </cell>
          <cell r="T464">
            <v>0</v>
          </cell>
        </row>
        <row r="465">
          <cell r="A465">
            <v>759</v>
          </cell>
          <cell r="B465">
            <v>42</v>
          </cell>
          <cell r="C465" t="str">
            <v>UVA PASSA S/SEMENTE POTE TOZZI 12X180GR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2524.34</v>
          </cell>
          <cell r="K465">
            <v>0.01</v>
          </cell>
          <cell r="L465">
            <v>59.93</v>
          </cell>
          <cell r="M465">
            <v>0.03</v>
          </cell>
          <cell r="N465">
            <v>1</v>
          </cell>
          <cell r="O465">
            <v>36</v>
          </cell>
          <cell r="P465">
            <v>0.48</v>
          </cell>
          <cell r="Q465">
            <v>0</v>
          </cell>
          <cell r="R465">
            <v>90.72</v>
          </cell>
          <cell r="S465">
            <v>0</v>
          </cell>
          <cell r="T465">
            <v>2.16</v>
          </cell>
        </row>
        <row r="466">
          <cell r="A466">
            <v>550</v>
          </cell>
          <cell r="B466">
            <v>41</v>
          </cell>
          <cell r="C466" t="str">
            <v>FRANGO CAIPIRA NHO BENTO CX/18KG</v>
          </cell>
          <cell r="D466">
            <v>23760</v>
          </cell>
          <cell r="E466">
            <v>0.15</v>
          </cell>
          <cell r="F466">
            <v>100</v>
          </cell>
          <cell r="G466">
            <v>0</v>
          </cell>
          <cell r="H466">
            <v>0</v>
          </cell>
          <cell r="I466">
            <v>0</v>
          </cell>
          <cell r="J466">
            <v>11923.88</v>
          </cell>
          <cell r="K466">
            <v>0.05</v>
          </cell>
          <cell r="L466">
            <v>300</v>
          </cell>
          <cell r="M466">
            <v>0.17</v>
          </cell>
          <cell r="N466">
            <v>1</v>
          </cell>
          <cell r="O466">
            <v>26</v>
          </cell>
          <cell r="P466">
            <v>0.35</v>
          </cell>
          <cell r="Q466">
            <v>1800</v>
          </cell>
          <cell r="R466">
            <v>738</v>
          </cell>
          <cell r="S466">
            <v>0</v>
          </cell>
          <cell r="T466">
            <v>18</v>
          </cell>
        </row>
        <row r="467">
          <cell r="A467">
            <v>3998</v>
          </cell>
          <cell r="B467">
            <v>41</v>
          </cell>
          <cell r="C467" t="str">
            <v>SALAME FATIADO C/PIMENTA SEARA GOURMET CX\10X100GR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3965.22</v>
          </cell>
          <cell r="K467">
            <v>0.02</v>
          </cell>
          <cell r="L467">
            <v>97.02</v>
          </cell>
          <cell r="M467">
            <v>0.06</v>
          </cell>
          <cell r="N467">
            <v>1</v>
          </cell>
          <cell r="O467">
            <v>27</v>
          </cell>
          <cell r="P467">
            <v>0.36</v>
          </cell>
          <cell r="Q467">
            <v>0</v>
          </cell>
          <cell r="R467">
            <v>41</v>
          </cell>
          <cell r="S467">
            <v>0</v>
          </cell>
          <cell r="T467">
            <v>1</v>
          </cell>
        </row>
        <row r="468">
          <cell r="A468">
            <v>3933</v>
          </cell>
          <cell r="B468">
            <v>40</v>
          </cell>
          <cell r="C468" t="str">
            <v>BATATA CHIPS CEBOLA/SALSA FAVORITOOS CX\24X40G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2112.63</v>
          </cell>
          <cell r="K468">
            <v>0.01</v>
          </cell>
          <cell r="L468">
            <v>0</v>
          </cell>
          <cell r="M468">
            <v>0</v>
          </cell>
          <cell r="N468">
            <v>0</v>
          </cell>
          <cell r="O468">
            <v>33</v>
          </cell>
          <cell r="P468">
            <v>0.44</v>
          </cell>
          <cell r="Q468">
            <v>0</v>
          </cell>
          <cell r="R468">
            <v>38.4</v>
          </cell>
          <cell r="S468">
            <v>0</v>
          </cell>
          <cell r="T468">
            <v>0</v>
          </cell>
        </row>
        <row r="469">
          <cell r="A469">
            <v>396</v>
          </cell>
          <cell r="B469">
            <v>40</v>
          </cell>
          <cell r="C469" t="str">
            <v>COXA SOBRECOXA ENVEL  REAL CX 20KG</v>
          </cell>
          <cell r="D469">
            <v>78819.02</v>
          </cell>
          <cell r="E469">
            <v>0.5</v>
          </cell>
          <cell r="F469">
            <v>650</v>
          </cell>
          <cell r="G469">
            <v>0</v>
          </cell>
          <cell r="H469">
            <v>0</v>
          </cell>
          <cell r="I469">
            <v>0</v>
          </cell>
          <cell r="J469">
            <v>6088.5</v>
          </cell>
          <cell r="K469">
            <v>0.03</v>
          </cell>
          <cell r="L469">
            <v>0</v>
          </cell>
          <cell r="M469">
            <v>0</v>
          </cell>
          <cell r="N469">
            <v>0</v>
          </cell>
          <cell r="O469">
            <v>14</v>
          </cell>
          <cell r="P469">
            <v>0.19</v>
          </cell>
          <cell r="Q469">
            <v>13000</v>
          </cell>
          <cell r="R469">
            <v>800</v>
          </cell>
          <cell r="S469">
            <v>0</v>
          </cell>
          <cell r="T469">
            <v>0</v>
          </cell>
        </row>
        <row r="470">
          <cell r="A470">
            <v>220</v>
          </cell>
          <cell r="B470">
            <v>40</v>
          </cell>
          <cell r="C470" t="str">
            <v>GOIABADA STELLA D´ORO CX\16X1,01KG</v>
          </cell>
          <cell r="D470">
            <v>32910.81</v>
          </cell>
          <cell r="E470">
            <v>0.21</v>
          </cell>
          <cell r="F470">
            <v>195</v>
          </cell>
          <cell r="G470">
            <v>0</v>
          </cell>
          <cell r="H470">
            <v>0</v>
          </cell>
          <cell r="I470">
            <v>0</v>
          </cell>
          <cell r="J470">
            <v>7286.85</v>
          </cell>
          <cell r="K470">
            <v>0.03</v>
          </cell>
          <cell r="L470">
            <v>0</v>
          </cell>
          <cell r="M470">
            <v>0</v>
          </cell>
          <cell r="N470">
            <v>0</v>
          </cell>
          <cell r="O470">
            <v>32</v>
          </cell>
          <cell r="P470">
            <v>0.43</v>
          </cell>
          <cell r="Q470">
            <v>3151.2</v>
          </cell>
          <cell r="R470">
            <v>646.4</v>
          </cell>
          <cell r="S470">
            <v>0</v>
          </cell>
          <cell r="T470">
            <v>0</v>
          </cell>
        </row>
        <row r="471">
          <cell r="A471">
            <v>3184</v>
          </cell>
          <cell r="B471">
            <v>40</v>
          </cell>
          <cell r="C471" t="str">
            <v>MEIO DA ASA TEMPERADO IQF LAR CX\20X700GR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13122.4</v>
          </cell>
          <cell r="K471">
            <v>0.06</v>
          </cell>
          <cell r="L471">
            <v>0</v>
          </cell>
          <cell r="M471">
            <v>0</v>
          </cell>
          <cell r="N471">
            <v>0</v>
          </cell>
          <cell r="O471">
            <v>37</v>
          </cell>
          <cell r="P471">
            <v>0.5</v>
          </cell>
          <cell r="Q471">
            <v>0</v>
          </cell>
          <cell r="R471">
            <v>560</v>
          </cell>
          <cell r="S471">
            <v>0</v>
          </cell>
          <cell r="T471">
            <v>0</v>
          </cell>
        </row>
        <row r="472">
          <cell r="A472">
            <v>4300</v>
          </cell>
          <cell r="B472">
            <v>40</v>
          </cell>
          <cell r="C472" t="str">
            <v>PRESUNTO  RETANGULAR SEARA 3,5KG FS</v>
          </cell>
          <cell r="D472">
            <v>2462.4899999999998</v>
          </cell>
          <cell r="E472">
            <v>0.02</v>
          </cell>
          <cell r="F472">
            <v>40</v>
          </cell>
          <cell r="G472">
            <v>0</v>
          </cell>
          <cell r="H472">
            <v>0</v>
          </cell>
          <cell r="I472">
            <v>0</v>
          </cell>
          <cell r="J472">
            <v>2917.08</v>
          </cell>
          <cell r="K472">
            <v>0.01</v>
          </cell>
          <cell r="L472">
            <v>0</v>
          </cell>
          <cell r="M472">
            <v>0</v>
          </cell>
          <cell r="N472">
            <v>0</v>
          </cell>
          <cell r="O472">
            <v>20</v>
          </cell>
          <cell r="P472">
            <v>0.27</v>
          </cell>
          <cell r="Q472">
            <v>140</v>
          </cell>
          <cell r="R472">
            <v>140</v>
          </cell>
          <cell r="S472">
            <v>0</v>
          </cell>
          <cell r="T472">
            <v>0</v>
          </cell>
        </row>
        <row r="473">
          <cell r="A473">
            <v>3129</v>
          </cell>
          <cell r="B473">
            <v>40</v>
          </cell>
          <cell r="C473" t="str">
            <v>REQUEIJAO LIGHT COPO SCALA CX/12X200GR</v>
          </cell>
          <cell r="D473">
            <v>2045.65</v>
          </cell>
          <cell r="E473">
            <v>0.01</v>
          </cell>
          <cell r="F473">
            <v>30</v>
          </cell>
          <cell r="G473">
            <v>0</v>
          </cell>
          <cell r="H473">
            <v>0</v>
          </cell>
          <cell r="I473">
            <v>0</v>
          </cell>
          <cell r="J473">
            <v>3577.86</v>
          </cell>
          <cell r="K473">
            <v>0.02</v>
          </cell>
          <cell r="L473">
            <v>186.2</v>
          </cell>
          <cell r="M473">
            <v>0.11</v>
          </cell>
          <cell r="N473">
            <v>2</v>
          </cell>
          <cell r="O473">
            <v>32</v>
          </cell>
          <cell r="P473">
            <v>0.43</v>
          </cell>
          <cell r="Q473">
            <v>72</v>
          </cell>
          <cell r="R473">
            <v>96</v>
          </cell>
          <cell r="S473">
            <v>0</v>
          </cell>
          <cell r="T473">
            <v>4.8</v>
          </cell>
        </row>
        <row r="474">
          <cell r="A474">
            <v>1415</v>
          </cell>
          <cell r="B474">
            <v>39</v>
          </cell>
          <cell r="C474" t="str">
            <v>LING PERNIL SEARA CX\4X5KG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3297.59</v>
          </cell>
          <cell r="K474">
            <v>0.01</v>
          </cell>
          <cell r="L474">
            <v>0</v>
          </cell>
          <cell r="M474">
            <v>0</v>
          </cell>
          <cell r="N474">
            <v>0</v>
          </cell>
          <cell r="O474">
            <v>20</v>
          </cell>
          <cell r="P474">
            <v>0.27</v>
          </cell>
          <cell r="Q474">
            <v>0</v>
          </cell>
          <cell r="R474">
            <v>195</v>
          </cell>
          <cell r="S474">
            <v>0</v>
          </cell>
          <cell r="T474">
            <v>0</v>
          </cell>
        </row>
        <row r="475">
          <cell r="A475">
            <v>624</v>
          </cell>
          <cell r="B475">
            <v>39</v>
          </cell>
          <cell r="C475" t="str">
            <v>LING T.CALABRESA SEARA CX\12X400GR</v>
          </cell>
          <cell r="D475">
            <v>5412</v>
          </cell>
          <cell r="E475">
            <v>0.03</v>
          </cell>
          <cell r="F475">
            <v>55</v>
          </cell>
          <cell r="G475">
            <v>0</v>
          </cell>
          <cell r="H475">
            <v>0</v>
          </cell>
          <cell r="I475">
            <v>0</v>
          </cell>
          <cell r="J475">
            <v>4471.2</v>
          </cell>
          <cell r="K475">
            <v>0.02</v>
          </cell>
          <cell r="L475">
            <v>0</v>
          </cell>
          <cell r="M475">
            <v>0</v>
          </cell>
          <cell r="N475">
            <v>0</v>
          </cell>
          <cell r="O475">
            <v>29</v>
          </cell>
          <cell r="P475">
            <v>0.39</v>
          </cell>
          <cell r="Q475">
            <v>264</v>
          </cell>
          <cell r="R475">
            <v>187.2</v>
          </cell>
          <cell r="S475">
            <v>0</v>
          </cell>
          <cell r="T475">
            <v>0</v>
          </cell>
        </row>
        <row r="476">
          <cell r="A476">
            <v>2870</v>
          </cell>
          <cell r="B476">
            <v>39</v>
          </cell>
          <cell r="C476" t="str">
            <v>MARGARINA DELICIA S/SAL CX\12X500GR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3241.86</v>
          </cell>
          <cell r="K476">
            <v>0.01</v>
          </cell>
          <cell r="L476">
            <v>0</v>
          </cell>
          <cell r="M476">
            <v>0</v>
          </cell>
          <cell r="N476">
            <v>0</v>
          </cell>
          <cell r="O476">
            <v>26</v>
          </cell>
          <cell r="P476">
            <v>0.35</v>
          </cell>
          <cell r="Q476">
            <v>0</v>
          </cell>
          <cell r="R476">
            <v>234</v>
          </cell>
          <cell r="S476">
            <v>0</v>
          </cell>
          <cell r="T476">
            <v>0</v>
          </cell>
        </row>
        <row r="477">
          <cell r="A477">
            <v>663</v>
          </cell>
          <cell r="B477">
            <v>39</v>
          </cell>
          <cell r="C477" t="str">
            <v>MEIO DA ASA TEMPERADO PIF PAF CX\12X1KG</v>
          </cell>
          <cell r="D477">
            <v>23791.22</v>
          </cell>
          <cell r="E477">
            <v>0.15</v>
          </cell>
          <cell r="F477">
            <v>80</v>
          </cell>
          <cell r="G477">
            <v>0</v>
          </cell>
          <cell r="H477">
            <v>0</v>
          </cell>
          <cell r="I477">
            <v>0</v>
          </cell>
          <cell r="J477">
            <v>13812.5</v>
          </cell>
          <cell r="K477">
            <v>0.06</v>
          </cell>
          <cell r="L477">
            <v>0</v>
          </cell>
          <cell r="M477">
            <v>0</v>
          </cell>
          <cell r="N477">
            <v>0</v>
          </cell>
          <cell r="O477">
            <v>30</v>
          </cell>
          <cell r="P477">
            <v>0.4</v>
          </cell>
          <cell r="Q477">
            <v>960</v>
          </cell>
          <cell r="R477">
            <v>468</v>
          </cell>
          <cell r="S477">
            <v>0</v>
          </cell>
          <cell r="T477">
            <v>0</v>
          </cell>
        </row>
        <row r="478">
          <cell r="A478">
            <v>222</v>
          </cell>
          <cell r="B478">
            <v>39</v>
          </cell>
          <cell r="C478" t="str">
            <v>UVA PASSA S/SEMENTE TOZZI  10KG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6724.52</v>
          </cell>
          <cell r="K478">
            <v>0.03</v>
          </cell>
          <cell r="L478">
            <v>0</v>
          </cell>
          <cell r="M478">
            <v>0</v>
          </cell>
          <cell r="N478">
            <v>0</v>
          </cell>
          <cell r="O478">
            <v>27</v>
          </cell>
          <cell r="P478">
            <v>0.36</v>
          </cell>
          <cell r="Q478">
            <v>0</v>
          </cell>
          <cell r="R478">
            <v>390</v>
          </cell>
          <cell r="S478">
            <v>0</v>
          </cell>
          <cell r="T478">
            <v>0</v>
          </cell>
        </row>
        <row r="479">
          <cell r="A479">
            <v>885</v>
          </cell>
          <cell r="B479">
            <v>38</v>
          </cell>
          <cell r="C479" t="str">
            <v>COSTELA SUINA EM TIRAS PIF PAF CX/20KG</v>
          </cell>
          <cell r="D479">
            <v>9471.2199999999993</v>
          </cell>
          <cell r="E479">
            <v>0.06</v>
          </cell>
          <cell r="F479">
            <v>29</v>
          </cell>
          <cell r="G479">
            <v>0</v>
          </cell>
          <cell r="H479">
            <v>0</v>
          </cell>
          <cell r="I479">
            <v>0</v>
          </cell>
          <cell r="J479">
            <v>14136.7</v>
          </cell>
          <cell r="K479">
            <v>0.06</v>
          </cell>
          <cell r="L479">
            <v>0</v>
          </cell>
          <cell r="M479">
            <v>0</v>
          </cell>
          <cell r="N479">
            <v>0</v>
          </cell>
          <cell r="O479">
            <v>26</v>
          </cell>
          <cell r="P479">
            <v>0.35</v>
          </cell>
          <cell r="Q479">
            <v>580</v>
          </cell>
          <cell r="R479">
            <v>760</v>
          </cell>
          <cell r="S479">
            <v>0</v>
          </cell>
          <cell r="T479">
            <v>0</v>
          </cell>
        </row>
        <row r="480">
          <cell r="A480">
            <v>883</v>
          </cell>
          <cell r="B480">
            <v>38</v>
          </cell>
          <cell r="C480" t="str">
            <v>LASANHA MIX PIF PAF CX.10X600GR</v>
          </cell>
          <cell r="D480">
            <v>5034.68</v>
          </cell>
          <cell r="E480">
            <v>0.03</v>
          </cell>
          <cell r="F480">
            <v>60</v>
          </cell>
          <cell r="G480">
            <v>0</v>
          </cell>
          <cell r="H480">
            <v>0</v>
          </cell>
          <cell r="I480">
            <v>0</v>
          </cell>
          <cell r="J480">
            <v>4114</v>
          </cell>
          <cell r="K480">
            <v>0.02</v>
          </cell>
          <cell r="L480">
            <v>0</v>
          </cell>
          <cell r="M480">
            <v>0</v>
          </cell>
          <cell r="N480">
            <v>0</v>
          </cell>
          <cell r="O480">
            <v>34</v>
          </cell>
          <cell r="P480">
            <v>0.46</v>
          </cell>
          <cell r="Q480">
            <v>360</v>
          </cell>
          <cell r="R480">
            <v>228</v>
          </cell>
          <cell r="S480">
            <v>0</v>
          </cell>
          <cell r="T480">
            <v>0</v>
          </cell>
        </row>
        <row r="481">
          <cell r="A481">
            <v>3117</v>
          </cell>
          <cell r="B481">
            <v>38</v>
          </cell>
          <cell r="C481" t="str">
            <v>MASSA PASTEL ROLO VILA ITALIA 24X500GR</v>
          </cell>
          <cell r="D481">
            <v>10408.9</v>
          </cell>
          <cell r="E481">
            <v>7.0000000000000007E-2</v>
          </cell>
          <cell r="F481">
            <v>80</v>
          </cell>
          <cell r="G481">
            <v>0</v>
          </cell>
          <cell r="H481">
            <v>0</v>
          </cell>
          <cell r="I481">
            <v>0</v>
          </cell>
          <cell r="J481">
            <v>5900.94</v>
          </cell>
          <cell r="K481">
            <v>0.03</v>
          </cell>
          <cell r="L481">
            <v>159</v>
          </cell>
          <cell r="M481">
            <v>0.09</v>
          </cell>
          <cell r="N481">
            <v>1</v>
          </cell>
          <cell r="O481">
            <v>35</v>
          </cell>
          <cell r="P481">
            <v>0.47</v>
          </cell>
          <cell r="Q481">
            <v>960</v>
          </cell>
          <cell r="R481">
            <v>456</v>
          </cell>
          <cell r="S481">
            <v>0</v>
          </cell>
          <cell r="T481">
            <v>12</v>
          </cell>
        </row>
        <row r="482">
          <cell r="A482">
            <v>881</v>
          </cell>
          <cell r="B482">
            <v>38</v>
          </cell>
          <cell r="C482" t="str">
            <v>MISTURA CONDENSADA HABITUS CX\27X395GR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4801</v>
          </cell>
          <cell r="K482">
            <v>0.02</v>
          </cell>
          <cell r="L482">
            <v>0</v>
          </cell>
          <cell r="M482">
            <v>0</v>
          </cell>
          <cell r="N482">
            <v>0</v>
          </cell>
          <cell r="O482">
            <v>18</v>
          </cell>
          <cell r="P482">
            <v>0.24</v>
          </cell>
          <cell r="Q482">
            <v>0</v>
          </cell>
          <cell r="R482">
            <v>418</v>
          </cell>
          <cell r="S482">
            <v>0</v>
          </cell>
          <cell r="T482">
            <v>0</v>
          </cell>
        </row>
        <row r="483">
          <cell r="A483">
            <v>1163</v>
          </cell>
          <cell r="B483">
            <v>38</v>
          </cell>
          <cell r="C483" t="str">
            <v>MOLHO TOMATE SACHE SALSARETTI 36X300GR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2560.5300000000002</v>
          </cell>
          <cell r="K483">
            <v>0.01</v>
          </cell>
          <cell r="L483">
            <v>0</v>
          </cell>
          <cell r="M483">
            <v>0</v>
          </cell>
          <cell r="N483">
            <v>0</v>
          </cell>
          <cell r="O483">
            <v>25</v>
          </cell>
          <cell r="P483">
            <v>0.34</v>
          </cell>
          <cell r="Q483">
            <v>0</v>
          </cell>
          <cell r="R483">
            <v>199.5</v>
          </cell>
          <cell r="S483">
            <v>0</v>
          </cell>
          <cell r="T483">
            <v>0</v>
          </cell>
        </row>
        <row r="484">
          <cell r="A484">
            <v>4176</v>
          </cell>
          <cell r="B484">
            <v>38</v>
          </cell>
          <cell r="C484" t="str">
            <v>PETISCO TILAPIA BARRIGA C VALE CX 20X500G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13341.74</v>
          </cell>
          <cell r="K484">
            <v>0.06</v>
          </cell>
          <cell r="L484">
            <v>0</v>
          </cell>
          <cell r="M484">
            <v>0</v>
          </cell>
          <cell r="N484">
            <v>0</v>
          </cell>
          <cell r="O484">
            <v>36</v>
          </cell>
          <cell r="P484">
            <v>0.48</v>
          </cell>
          <cell r="Q484">
            <v>0</v>
          </cell>
          <cell r="R484">
            <v>380</v>
          </cell>
          <cell r="S484">
            <v>0</v>
          </cell>
          <cell r="T484">
            <v>0</v>
          </cell>
        </row>
        <row r="485">
          <cell r="A485">
            <v>619</v>
          </cell>
          <cell r="B485">
            <v>37</v>
          </cell>
          <cell r="C485" t="str">
            <v>LING SUINA REZENDE CX/32X700G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12642.6</v>
          </cell>
          <cell r="K485">
            <v>0.06</v>
          </cell>
          <cell r="L485">
            <v>0</v>
          </cell>
          <cell r="M485">
            <v>0</v>
          </cell>
          <cell r="N485">
            <v>0</v>
          </cell>
          <cell r="O485">
            <v>26</v>
          </cell>
          <cell r="P485">
            <v>0.35</v>
          </cell>
          <cell r="Q485">
            <v>0</v>
          </cell>
          <cell r="R485">
            <v>828.8</v>
          </cell>
          <cell r="S485">
            <v>0</v>
          </cell>
          <cell r="T485">
            <v>0</v>
          </cell>
        </row>
        <row r="486">
          <cell r="A486">
            <v>2944</v>
          </cell>
          <cell r="B486">
            <v>36</v>
          </cell>
          <cell r="C486" t="str">
            <v>DOCE DE LEITE BALDE CRISTAULAT 4,6KG</v>
          </cell>
          <cell r="D486">
            <v>5221.2299999999996</v>
          </cell>
          <cell r="E486">
            <v>0.03</v>
          </cell>
          <cell r="F486">
            <v>70</v>
          </cell>
          <cell r="G486">
            <v>0</v>
          </cell>
          <cell r="H486">
            <v>0</v>
          </cell>
          <cell r="I486">
            <v>0</v>
          </cell>
          <cell r="J486">
            <v>3501.15</v>
          </cell>
          <cell r="K486">
            <v>0.02</v>
          </cell>
          <cell r="L486">
            <v>0</v>
          </cell>
          <cell r="M486">
            <v>0</v>
          </cell>
          <cell r="N486">
            <v>0</v>
          </cell>
          <cell r="O486">
            <v>20</v>
          </cell>
          <cell r="P486">
            <v>0.27</v>
          </cell>
          <cell r="Q486">
            <v>322</v>
          </cell>
          <cell r="R486">
            <v>165.6</v>
          </cell>
          <cell r="S486">
            <v>0</v>
          </cell>
          <cell r="T486">
            <v>0</v>
          </cell>
        </row>
        <row r="487">
          <cell r="A487">
            <v>569</v>
          </cell>
          <cell r="B487">
            <v>36</v>
          </cell>
          <cell r="C487" t="str">
            <v>HOT HIT CHEDDAR SEARA CX\18X145G</v>
          </cell>
          <cell r="D487">
            <v>2468.8000000000002</v>
          </cell>
          <cell r="E487">
            <v>0.02</v>
          </cell>
          <cell r="F487">
            <v>30</v>
          </cell>
          <cell r="G487">
            <v>0</v>
          </cell>
          <cell r="H487">
            <v>0</v>
          </cell>
          <cell r="I487">
            <v>0</v>
          </cell>
          <cell r="J487">
            <v>3783.54</v>
          </cell>
          <cell r="K487">
            <v>0.02</v>
          </cell>
          <cell r="L487">
            <v>0</v>
          </cell>
          <cell r="M487">
            <v>0</v>
          </cell>
          <cell r="N487">
            <v>0</v>
          </cell>
          <cell r="O487">
            <v>29</v>
          </cell>
          <cell r="P487">
            <v>0.39</v>
          </cell>
          <cell r="Q487">
            <v>78.3</v>
          </cell>
          <cell r="R487">
            <v>93.96</v>
          </cell>
          <cell r="S487">
            <v>0</v>
          </cell>
          <cell r="T487">
            <v>0</v>
          </cell>
        </row>
        <row r="488">
          <cell r="A488">
            <v>291</v>
          </cell>
          <cell r="B488">
            <v>36</v>
          </cell>
          <cell r="C488" t="str">
            <v>ISCAS FRANGO EMPANADA SEARA CX/16X300G</v>
          </cell>
          <cell r="D488">
            <v>8075.76</v>
          </cell>
          <cell r="E488">
            <v>0.05</v>
          </cell>
          <cell r="F488">
            <v>55</v>
          </cell>
          <cell r="G488">
            <v>0</v>
          </cell>
          <cell r="H488">
            <v>0</v>
          </cell>
          <cell r="I488">
            <v>0</v>
          </cell>
          <cell r="J488">
            <v>6366.86</v>
          </cell>
          <cell r="K488">
            <v>0.03</v>
          </cell>
          <cell r="L488">
            <v>175.91</v>
          </cell>
          <cell r="M488">
            <v>0.1</v>
          </cell>
          <cell r="N488">
            <v>1</v>
          </cell>
          <cell r="O488">
            <v>28</v>
          </cell>
          <cell r="P488">
            <v>0.38</v>
          </cell>
          <cell r="Q488">
            <v>264</v>
          </cell>
          <cell r="R488">
            <v>172.8</v>
          </cell>
          <cell r="S488">
            <v>0</v>
          </cell>
          <cell r="T488">
            <v>4.8</v>
          </cell>
        </row>
        <row r="489">
          <cell r="A489">
            <v>3190</v>
          </cell>
          <cell r="B489">
            <v>36</v>
          </cell>
          <cell r="C489" t="str">
            <v>LEITE EM PO INTEGRAL DAMARE FD\25X400G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13075.8</v>
          </cell>
          <cell r="K489">
            <v>0.06</v>
          </cell>
          <cell r="L489">
            <v>1087.8</v>
          </cell>
          <cell r="M489">
            <v>0.63</v>
          </cell>
          <cell r="N489">
            <v>3</v>
          </cell>
          <cell r="O489">
            <v>32</v>
          </cell>
          <cell r="P489">
            <v>0.43</v>
          </cell>
          <cell r="Q489">
            <v>0</v>
          </cell>
          <cell r="R489">
            <v>360</v>
          </cell>
          <cell r="S489">
            <v>0</v>
          </cell>
          <cell r="T489">
            <v>30</v>
          </cell>
        </row>
        <row r="490">
          <cell r="A490">
            <v>2004</v>
          </cell>
          <cell r="B490">
            <v>36</v>
          </cell>
          <cell r="C490" t="str">
            <v>LING T.PAIO SEARA CX/6X2,5KG</v>
          </cell>
          <cell r="D490">
            <v>1417.5</v>
          </cell>
          <cell r="E490">
            <v>0.01</v>
          </cell>
          <cell r="F490">
            <v>30</v>
          </cell>
          <cell r="G490">
            <v>0</v>
          </cell>
          <cell r="H490">
            <v>0</v>
          </cell>
          <cell r="I490">
            <v>0</v>
          </cell>
          <cell r="J490">
            <v>1792.42</v>
          </cell>
          <cell r="K490">
            <v>0.01</v>
          </cell>
          <cell r="L490">
            <v>0</v>
          </cell>
          <cell r="M490">
            <v>0</v>
          </cell>
          <cell r="N490">
            <v>0</v>
          </cell>
          <cell r="O490">
            <v>9</v>
          </cell>
          <cell r="P490">
            <v>0.12</v>
          </cell>
          <cell r="Q490">
            <v>75</v>
          </cell>
          <cell r="R490">
            <v>90</v>
          </cell>
          <cell r="S490">
            <v>0</v>
          </cell>
          <cell r="T490">
            <v>0</v>
          </cell>
        </row>
        <row r="491">
          <cell r="A491">
            <v>215</v>
          </cell>
          <cell r="B491">
            <v>35</v>
          </cell>
          <cell r="C491" t="str">
            <v>BACON CUBOS REZENDE CX/12X700GR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10189.299999999999</v>
          </cell>
          <cell r="K491">
            <v>0.04</v>
          </cell>
          <cell r="L491">
            <v>289.10000000000002</v>
          </cell>
          <cell r="M491">
            <v>0.17</v>
          </cell>
          <cell r="N491">
            <v>1</v>
          </cell>
          <cell r="O491">
            <v>13</v>
          </cell>
          <cell r="P491">
            <v>0.18</v>
          </cell>
          <cell r="Q491">
            <v>0</v>
          </cell>
          <cell r="R491">
            <v>294</v>
          </cell>
          <cell r="S491">
            <v>0</v>
          </cell>
          <cell r="T491">
            <v>8.4</v>
          </cell>
        </row>
        <row r="492">
          <cell r="A492">
            <v>3195</v>
          </cell>
          <cell r="B492">
            <v>35</v>
          </cell>
          <cell r="C492" t="str">
            <v>FILEZINHO SUINO SEARA CX/18KG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10413.64</v>
          </cell>
          <cell r="K492">
            <v>0.05</v>
          </cell>
          <cell r="L492">
            <v>296.83999999999997</v>
          </cell>
          <cell r="M492">
            <v>0.17</v>
          </cell>
          <cell r="N492">
            <v>1</v>
          </cell>
          <cell r="O492">
            <v>29</v>
          </cell>
          <cell r="P492">
            <v>0.39</v>
          </cell>
          <cell r="Q492">
            <v>0</v>
          </cell>
          <cell r="R492">
            <v>630</v>
          </cell>
          <cell r="S492">
            <v>0</v>
          </cell>
          <cell r="T492">
            <v>18</v>
          </cell>
        </row>
        <row r="493">
          <cell r="A493">
            <v>4139</v>
          </cell>
          <cell r="B493">
            <v>35</v>
          </cell>
          <cell r="C493" t="str">
            <v>MANDIOCA EM CUBOS RIPA 20X400GR</v>
          </cell>
          <cell r="D493">
            <v>2800</v>
          </cell>
          <cell r="E493">
            <v>0.02</v>
          </cell>
          <cell r="F493">
            <v>35</v>
          </cell>
          <cell r="G493">
            <v>0</v>
          </cell>
          <cell r="H493">
            <v>0</v>
          </cell>
          <cell r="I493">
            <v>0</v>
          </cell>
          <cell r="J493">
            <v>3277.12</v>
          </cell>
          <cell r="K493">
            <v>0.01</v>
          </cell>
          <cell r="L493">
            <v>96.04</v>
          </cell>
          <cell r="M493">
            <v>0.06</v>
          </cell>
          <cell r="N493">
            <v>1</v>
          </cell>
          <cell r="O493">
            <v>33</v>
          </cell>
          <cell r="P493">
            <v>0.44</v>
          </cell>
          <cell r="Q493">
            <v>280</v>
          </cell>
          <cell r="R493">
            <v>280</v>
          </cell>
          <cell r="S493">
            <v>0</v>
          </cell>
          <cell r="T493">
            <v>8</v>
          </cell>
        </row>
        <row r="494">
          <cell r="A494">
            <v>3625</v>
          </cell>
          <cell r="B494">
            <v>34.06</v>
          </cell>
          <cell r="C494" t="str">
            <v>ALCATRA SUINA TEMPERADA DI MELHOR KG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697.55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2</v>
          </cell>
          <cell r="P494">
            <v>0.03</v>
          </cell>
          <cell r="Q494">
            <v>0</v>
          </cell>
          <cell r="R494">
            <v>34.06</v>
          </cell>
          <cell r="S494">
            <v>0</v>
          </cell>
          <cell r="T494">
            <v>0</v>
          </cell>
        </row>
        <row r="495">
          <cell r="A495">
            <v>3946</v>
          </cell>
          <cell r="B495">
            <v>34</v>
          </cell>
          <cell r="C495" t="str">
            <v>BACON CUBOS ADEEL CX/10X200GR</v>
          </cell>
          <cell r="D495">
            <v>10059.129999999999</v>
          </cell>
          <cell r="E495">
            <v>0.06</v>
          </cell>
          <cell r="F495">
            <v>193.6</v>
          </cell>
          <cell r="G495">
            <v>0</v>
          </cell>
          <cell r="H495">
            <v>0</v>
          </cell>
          <cell r="I495">
            <v>0</v>
          </cell>
          <cell r="J495">
            <v>2172.3000000000002</v>
          </cell>
          <cell r="K495">
            <v>0.01</v>
          </cell>
          <cell r="L495">
            <v>0</v>
          </cell>
          <cell r="M495">
            <v>0</v>
          </cell>
          <cell r="N495">
            <v>0</v>
          </cell>
          <cell r="O495">
            <v>27</v>
          </cell>
          <cell r="P495">
            <v>0.36</v>
          </cell>
          <cell r="Q495">
            <v>387.2</v>
          </cell>
          <cell r="R495">
            <v>68</v>
          </cell>
          <cell r="S495">
            <v>0</v>
          </cell>
          <cell r="T495">
            <v>0</v>
          </cell>
        </row>
        <row r="496">
          <cell r="A496">
            <v>2783</v>
          </cell>
          <cell r="B496">
            <v>34</v>
          </cell>
          <cell r="C496" t="str">
            <v>COCO FLOCOS DUCOCO 1KG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1301.04</v>
          </cell>
          <cell r="K496">
            <v>0.01</v>
          </cell>
          <cell r="L496">
            <v>0</v>
          </cell>
          <cell r="M496">
            <v>0</v>
          </cell>
          <cell r="N496">
            <v>0</v>
          </cell>
          <cell r="O496">
            <v>12</v>
          </cell>
          <cell r="P496">
            <v>0.16</v>
          </cell>
          <cell r="Q496">
            <v>0</v>
          </cell>
          <cell r="R496">
            <v>34</v>
          </cell>
          <cell r="S496">
            <v>0</v>
          </cell>
          <cell r="T496">
            <v>0</v>
          </cell>
        </row>
        <row r="497">
          <cell r="A497">
            <v>3630</v>
          </cell>
          <cell r="B497">
            <v>34</v>
          </cell>
          <cell r="C497" t="str">
            <v>NUTRIBOM MULTICEREAIS 24X180G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3244</v>
          </cell>
          <cell r="K497">
            <v>0.01</v>
          </cell>
          <cell r="L497">
            <v>0</v>
          </cell>
          <cell r="M497">
            <v>0</v>
          </cell>
          <cell r="N497">
            <v>0</v>
          </cell>
          <cell r="O497">
            <v>20</v>
          </cell>
          <cell r="P497">
            <v>0.27</v>
          </cell>
          <cell r="Q497">
            <v>0</v>
          </cell>
          <cell r="R497">
            <v>146.88</v>
          </cell>
          <cell r="S497">
            <v>0</v>
          </cell>
          <cell r="T497">
            <v>0</v>
          </cell>
        </row>
        <row r="498">
          <cell r="A498">
            <v>4201</v>
          </cell>
          <cell r="B498">
            <v>33</v>
          </cell>
          <cell r="C498" t="str">
            <v>AGUA COCO DUCOCO  BLEND CX/12X1LT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3176.44</v>
          </cell>
          <cell r="K498">
            <v>0.01</v>
          </cell>
          <cell r="L498">
            <v>479.2</v>
          </cell>
          <cell r="M498">
            <v>0.28000000000000003</v>
          </cell>
          <cell r="N498">
            <v>5</v>
          </cell>
          <cell r="O498">
            <v>22</v>
          </cell>
          <cell r="P498">
            <v>0.3</v>
          </cell>
          <cell r="Q498">
            <v>0</v>
          </cell>
          <cell r="R498">
            <v>396</v>
          </cell>
          <cell r="S498">
            <v>0</v>
          </cell>
          <cell r="T498">
            <v>60</v>
          </cell>
        </row>
        <row r="499">
          <cell r="A499">
            <v>3685</v>
          </cell>
          <cell r="B499">
            <v>33</v>
          </cell>
          <cell r="C499" t="str">
            <v>BARRA CEREAL AVEIA BANANA MEL NUTRY 24X22G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1108.54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30</v>
          </cell>
          <cell r="P499">
            <v>0.4</v>
          </cell>
          <cell r="Q499">
            <v>0</v>
          </cell>
          <cell r="R499">
            <v>17.420000000000002</v>
          </cell>
          <cell r="S499">
            <v>0</v>
          </cell>
          <cell r="T499">
            <v>0</v>
          </cell>
        </row>
        <row r="500">
          <cell r="A500">
            <v>3934</v>
          </cell>
          <cell r="B500">
            <v>33</v>
          </cell>
          <cell r="C500" t="str">
            <v>BATATA CHIPS CHURRASCO FAVORITOOS CX\24X40G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1743.17</v>
          </cell>
          <cell r="K500">
            <v>0.01</v>
          </cell>
          <cell r="L500">
            <v>0</v>
          </cell>
          <cell r="M500">
            <v>0</v>
          </cell>
          <cell r="N500">
            <v>0</v>
          </cell>
          <cell r="O500">
            <v>30</v>
          </cell>
          <cell r="P500">
            <v>0.4</v>
          </cell>
          <cell r="Q500">
            <v>0</v>
          </cell>
          <cell r="R500">
            <v>31.68</v>
          </cell>
          <cell r="S500">
            <v>0</v>
          </cell>
          <cell r="T500">
            <v>0</v>
          </cell>
        </row>
        <row r="501">
          <cell r="A501">
            <v>3645</v>
          </cell>
          <cell r="B501">
            <v>33</v>
          </cell>
          <cell r="C501" t="str">
            <v>LING T.CALABRESA FATIADA SEARA CX\8X1KG</v>
          </cell>
          <cell r="D501">
            <v>9520</v>
          </cell>
          <cell r="E501">
            <v>0.06</v>
          </cell>
          <cell r="F501">
            <v>50</v>
          </cell>
          <cell r="G501">
            <v>0</v>
          </cell>
          <cell r="H501">
            <v>0</v>
          </cell>
          <cell r="I501">
            <v>0</v>
          </cell>
          <cell r="J501">
            <v>7753.05</v>
          </cell>
          <cell r="K501">
            <v>0.03</v>
          </cell>
          <cell r="L501">
            <v>0</v>
          </cell>
          <cell r="M501">
            <v>0</v>
          </cell>
          <cell r="N501">
            <v>0</v>
          </cell>
          <cell r="O501">
            <v>11</v>
          </cell>
          <cell r="P501">
            <v>0.15</v>
          </cell>
          <cell r="Q501">
            <v>400</v>
          </cell>
          <cell r="R501">
            <v>264</v>
          </cell>
          <cell r="S501">
            <v>0</v>
          </cell>
          <cell r="T501">
            <v>0</v>
          </cell>
        </row>
        <row r="502">
          <cell r="A502">
            <v>1608</v>
          </cell>
          <cell r="B502">
            <v>33</v>
          </cell>
          <cell r="C502" t="str">
            <v>STEAK RECHEADO CHEDDER\BACON SEARA CX\25X110GR</v>
          </cell>
          <cell r="D502">
            <v>2270.4</v>
          </cell>
          <cell r="E502">
            <v>0.01</v>
          </cell>
          <cell r="F502">
            <v>30</v>
          </cell>
          <cell r="G502">
            <v>0</v>
          </cell>
          <cell r="H502">
            <v>0</v>
          </cell>
          <cell r="I502">
            <v>0</v>
          </cell>
          <cell r="J502">
            <v>2879.83</v>
          </cell>
          <cell r="K502">
            <v>0.01</v>
          </cell>
          <cell r="L502">
            <v>0</v>
          </cell>
          <cell r="M502">
            <v>0</v>
          </cell>
          <cell r="N502">
            <v>0</v>
          </cell>
          <cell r="O502">
            <v>28</v>
          </cell>
          <cell r="P502">
            <v>0.38</v>
          </cell>
          <cell r="Q502">
            <v>82.5</v>
          </cell>
          <cell r="R502">
            <v>90.75</v>
          </cell>
          <cell r="S502">
            <v>0</v>
          </cell>
          <cell r="T502">
            <v>0</v>
          </cell>
        </row>
        <row r="503">
          <cell r="A503">
            <v>753</v>
          </cell>
          <cell r="B503">
            <v>33</v>
          </cell>
          <cell r="C503" t="str">
            <v>TEKITOS SEARA QUEIJO/OREGANO CX\16X300GR</v>
          </cell>
          <cell r="D503">
            <v>1935.36</v>
          </cell>
          <cell r="E503">
            <v>0.01</v>
          </cell>
          <cell r="F503">
            <v>20</v>
          </cell>
          <cell r="G503">
            <v>0</v>
          </cell>
          <cell r="H503">
            <v>0</v>
          </cell>
          <cell r="I503">
            <v>0</v>
          </cell>
          <cell r="J503">
            <v>3166.62</v>
          </cell>
          <cell r="K503">
            <v>0.01</v>
          </cell>
          <cell r="L503">
            <v>95.06</v>
          </cell>
          <cell r="M503">
            <v>0.05</v>
          </cell>
          <cell r="N503">
            <v>1</v>
          </cell>
          <cell r="O503">
            <v>29</v>
          </cell>
          <cell r="P503">
            <v>0.39</v>
          </cell>
          <cell r="Q503">
            <v>96</v>
          </cell>
          <cell r="R503">
            <v>158.4</v>
          </cell>
          <cell r="S503">
            <v>0</v>
          </cell>
          <cell r="T503">
            <v>4.8</v>
          </cell>
        </row>
        <row r="504">
          <cell r="A504">
            <v>864</v>
          </cell>
          <cell r="B504">
            <v>33</v>
          </cell>
          <cell r="C504" t="str">
            <v>VITAMINA FRUTAS IBITURUNA CX/12X1LT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1863</v>
          </cell>
          <cell r="K504">
            <v>0.01</v>
          </cell>
          <cell r="L504">
            <v>56.35</v>
          </cell>
          <cell r="M504">
            <v>0.03</v>
          </cell>
          <cell r="N504">
            <v>1</v>
          </cell>
          <cell r="O504">
            <v>26</v>
          </cell>
          <cell r="P504">
            <v>0.35</v>
          </cell>
          <cell r="Q504">
            <v>0</v>
          </cell>
          <cell r="R504">
            <v>396</v>
          </cell>
          <cell r="S504">
            <v>0</v>
          </cell>
          <cell r="T504">
            <v>12</v>
          </cell>
        </row>
        <row r="505">
          <cell r="A505">
            <v>3935</v>
          </cell>
          <cell r="B505">
            <v>32</v>
          </cell>
          <cell r="C505" t="str">
            <v>BATATA CHIPS NATURAL FAVORITOOS CX\24X40G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1691.59</v>
          </cell>
          <cell r="K505">
            <v>0.01</v>
          </cell>
          <cell r="L505">
            <v>0</v>
          </cell>
          <cell r="M505">
            <v>0</v>
          </cell>
          <cell r="N505">
            <v>0</v>
          </cell>
          <cell r="O505">
            <v>27</v>
          </cell>
          <cell r="P505">
            <v>0.36</v>
          </cell>
          <cell r="Q505">
            <v>0</v>
          </cell>
          <cell r="R505">
            <v>30.72</v>
          </cell>
          <cell r="S505">
            <v>0</v>
          </cell>
          <cell r="T505">
            <v>0</v>
          </cell>
        </row>
        <row r="506">
          <cell r="A506">
            <v>39</v>
          </cell>
          <cell r="B506">
            <v>32</v>
          </cell>
          <cell r="C506" t="str">
            <v>FIGADO DE FRANGO FREDINI CX/20KG</v>
          </cell>
          <cell r="D506">
            <v>7578.76</v>
          </cell>
          <cell r="E506">
            <v>0.05</v>
          </cell>
          <cell r="F506">
            <v>150</v>
          </cell>
          <cell r="G506">
            <v>0</v>
          </cell>
          <cell r="H506">
            <v>0</v>
          </cell>
          <cell r="I506">
            <v>0</v>
          </cell>
          <cell r="J506">
            <v>2563.9899999999998</v>
          </cell>
          <cell r="K506">
            <v>0.01</v>
          </cell>
          <cell r="L506">
            <v>0</v>
          </cell>
          <cell r="M506">
            <v>0</v>
          </cell>
          <cell r="N506">
            <v>0</v>
          </cell>
          <cell r="O506">
            <v>29</v>
          </cell>
          <cell r="P506">
            <v>0.39</v>
          </cell>
          <cell r="Q506">
            <v>3000</v>
          </cell>
          <cell r="R506">
            <v>640</v>
          </cell>
          <cell r="S506">
            <v>0</v>
          </cell>
          <cell r="T506">
            <v>0</v>
          </cell>
        </row>
        <row r="507">
          <cell r="A507">
            <v>1648</v>
          </cell>
          <cell r="B507">
            <v>32</v>
          </cell>
          <cell r="C507" t="str">
            <v>FILEZINHO SASSAMI IQF SEARA CX\12KG</v>
          </cell>
          <cell r="D507">
            <v>17040</v>
          </cell>
          <cell r="E507">
            <v>0.11</v>
          </cell>
          <cell r="F507">
            <v>100</v>
          </cell>
          <cell r="G507">
            <v>0</v>
          </cell>
          <cell r="H507">
            <v>0</v>
          </cell>
          <cell r="I507">
            <v>0</v>
          </cell>
          <cell r="J507">
            <v>6794.3</v>
          </cell>
          <cell r="K507">
            <v>0.03</v>
          </cell>
          <cell r="L507">
            <v>0</v>
          </cell>
          <cell r="M507">
            <v>0</v>
          </cell>
          <cell r="N507">
            <v>0</v>
          </cell>
          <cell r="O507">
            <v>18</v>
          </cell>
          <cell r="P507">
            <v>0.24</v>
          </cell>
          <cell r="Q507">
            <v>1200</v>
          </cell>
          <cell r="R507">
            <v>384</v>
          </cell>
          <cell r="S507">
            <v>0</v>
          </cell>
          <cell r="T507">
            <v>0</v>
          </cell>
        </row>
        <row r="508">
          <cell r="A508">
            <v>568</v>
          </cell>
          <cell r="B508">
            <v>32</v>
          </cell>
          <cell r="C508" t="str">
            <v>HOT HIT BARBECUE SEARA CX\18X145G</v>
          </cell>
          <cell r="D508">
            <v>1645.87</v>
          </cell>
          <cell r="E508">
            <v>0.01</v>
          </cell>
          <cell r="F508">
            <v>20</v>
          </cell>
          <cell r="G508">
            <v>0</v>
          </cell>
          <cell r="H508">
            <v>0</v>
          </cell>
          <cell r="I508">
            <v>0</v>
          </cell>
          <cell r="J508">
            <v>3205.62</v>
          </cell>
          <cell r="K508">
            <v>0.01</v>
          </cell>
          <cell r="L508">
            <v>0</v>
          </cell>
          <cell r="M508">
            <v>0</v>
          </cell>
          <cell r="N508">
            <v>0</v>
          </cell>
          <cell r="O508">
            <v>28</v>
          </cell>
          <cell r="P508">
            <v>0.38</v>
          </cell>
          <cell r="Q508">
            <v>52.2</v>
          </cell>
          <cell r="R508">
            <v>83.52</v>
          </cell>
          <cell r="S508">
            <v>0</v>
          </cell>
          <cell r="T508">
            <v>0</v>
          </cell>
        </row>
        <row r="509">
          <cell r="A509">
            <v>3246</v>
          </cell>
          <cell r="B509">
            <v>32</v>
          </cell>
          <cell r="C509" t="str">
            <v>LING PERNIL SEARA CX/30X600GR</v>
          </cell>
          <cell r="D509">
            <v>942.48</v>
          </cell>
          <cell r="E509">
            <v>0.01</v>
          </cell>
          <cell r="F509">
            <v>4</v>
          </cell>
          <cell r="G509">
            <v>0</v>
          </cell>
          <cell r="H509">
            <v>0</v>
          </cell>
          <cell r="I509">
            <v>0</v>
          </cell>
          <cell r="J509">
            <v>10027.06</v>
          </cell>
          <cell r="K509">
            <v>0.04</v>
          </cell>
          <cell r="L509">
            <v>0</v>
          </cell>
          <cell r="M509">
            <v>0</v>
          </cell>
          <cell r="N509">
            <v>0</v>
          </cell>
          <cell r="O509">
            <v>30</v>
          </cell>
          <cell r="P509">
            <v>0.4</v>
          </cell>
          <cell r="Q509">
            <v>72</v>
          </cell>
          <cell r="R509">
            <v>576</v>
          </cell>
          <cell r="S509">
            <v>0</v>
          </cell>
          <cell r="T509">
            <v>0</v>
          </cell>
        </row>
        <row r="510">
          <cell r="A510">
            <v>177</v>
          </cell>
          <cell r="B510">
            <v>32</v>
          </cell>
          <cell r="C510" t="str">
            <v>MAIONESE SACHE TEMPERADA LANCHERO 1KG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252.48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6</v>
          </cell>
          <cell r="P510">
            <v>0.08</v>
          </cell>
          <cell r="Q510">
            <v>0</v>
          </cell>
          <cell r="R510">
            <v>32</v>
          </cell>
          <cell r="S510">
            <v>0</v>
          </cell>
          <cell r="T510">
            <v>0</v>
          </cell>
        </row>
        <row r="511">
          <cell r="A511">
            <v>1979</v>
          </cell>
          <cell r="B511">
            <v>32</v>
          </cell>
          <cell r="C511" t="str">
            <v>SUCO NECTAR LARANJA TIAL CX\12X1LT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2201.21</v>
          </cell>
          <cell r="K511">
            <v>0.01</v>
          </cell>
          <cell r="L511">
            <v>0</v>
          </cell>
          <cell r="M511">
            <v>0</v>
          </cell>
          <cell r="N511">
            <v>0</v>
          </cell>
          <cell r="O511">
            <v>28</v>
          </cell>
          <cell r="P511">
            <v>0.38</v>
          </cell>
          <cell r="Q511">
            <v>0</v>
          </cell>
          <cell r="R511">
            <v>384</v>
          </cell>
          <cell r="S511">
            <v>0</v>
          </cell>
          <cell r="T511">
            <v>0</v>
          </cell>
        </row>
        <row r="512">
          <cell r="A512">
            <v>3687</v>
          </cell>
          <cell r="B512">
            <v>31</v>
          </cell>
          <cell r="C512" t="str">
            <v>BARRA CEREAL BOLO CHOCOLATE NUTRY 24X22G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1037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26</v>
          </cell>
          <cell r="P512">
            <v>0.35</v>
          </cell>
          <cell r="Q512">
            <v>0</v>
          </cell>
          <cell r="R512">
            <v>16.37</v>
          </cell>
          <cell r="S512">
            <v>0</v>
          </cell>
          <cell r="T512">
            <v>0</v>
          </cell>
        </row>
        <row r="513">
          <cell r="A513">
            <v>3254</v>
          </cell>
          <cell r="B513">
            <v>31</v>
          </cell>
          <cell r="C513" t="str">
            <v>CREME DE LEITE CEMIL CX\12X1,030KG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5585.17</v>
          </cell>
          <cell r="K513">
            <v>0.02</v>
          </cell>
          <cell r="L513">
            <v>183.6</v>
          </cell>
          <cell r="M513">
            <v>0.11</v>
          </cell>
          <cell r="N513">
            <v>1</v>
          </cell>
          <cell r="O513">
            <v>9</v>
          </cell>
          <cell r="P513">
            <v>0.12</v>
          </cell>
          <cell r="Q513">
            <v>0</v>
          </cell>
          <cell r="R513">
            <v>383.16</v>
          </cell>
          <cell r="S513">
            <v>0</v>
          </cell>
          <cell r="T513">
            <v>12.36</v>
          </cell>
        </row>
        <row r="514">
          <cell r="A514">
            <v>4177</v>
          </cell>
          <cell r="B514">
            <v>31</v>
          </cell>
          <cell r="C514" t="str">
            <v>FILE TILAPIA PEDACOS C VALE CX 22X500G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15377.34</v>
          </cell>
          <cell r="K514">
            <v>7.0000000000000007E-2</v>
          </cell>
          <cell r="L514">
            <v>0</v>
          </cell>
          <cell r="M514">
            <v>0</v>
          </cell>
          <cell r="N514">
            <v>0</v>
          </cell>
          <cell r="O514">
            <v>27</v>
          </cell>
          <cell r="P514">
            <v>0.36</v>
          </cell>
          <cell r="Q514">
            <v>0</v>
          </cell>
          <cell r="R514">
            <v>341</v>
          </cell>
          <cell r="S514">
            <v>0</v>
          </cell>
          <cell r="T514">
            <v>0</v>
          </cell>
        </row>
        <row r="515">
          <cell r="A515">
            <v>1154</v>
          </cell>
          <cell r="B515">
            <v>31</v>
          </cell>
          <cell r="C515" t="str">
            <v>MOLHO BARBECUE SACHE SALSARETTI 144X7GR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432.88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8</v>
          </cell>
          <cell r="P515">
            <v>0.11</v>
          </cell>
          <cell r="Q515">
            <v>0</v>
          </cell>
          <cell r="R515">
            <v>62</v>
          </cell>
          <cell r="S515">
            <v>0</v>
          </cell>
          <cell r="T515">
            <v>0</v>
          </cell>
        </row>
        <row r="516">
          <cell r="A516">
            <v>856</v>
          </cell>
          <cell r="B516">
            <v>31</v>
          </cell>
          <cell r="C516" t="str">
            <v>SALAME ITALIANO GRANDE GOURMET SEARA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1436.32</v>
          </cell>
          <cell r="K516">
            <v>0.01</v>
          </cell>
          <cell r="L516">
            <v>0</v>
          </cell>
          <cell r="M516">
            <v>0</v>
          </cell>
          <cell r="N516">
            <v>0</v>
          </cell>
          <cell r="O516">
            <v>10</v>
          </cell>
          <cell r="P516">
            <v>0.13</v>
          </cell>
          <cell r="Q516">
            <v>0</v>
          </cell>
          <cell r="R516">
            <v>31</v>
          </cell>
          <cell r="S516">
            <v>0</v>
          </cell>
          <cell r="T516">
            <v>0</v>
          </cell>
        </row>
        <row r="517">
          <cell r="A517">
            <v>494</v>
          </cell>
          <cell r="B517">
            <v>30</v>
          </cell>
          <cell r="C517" t="str">
            <v>CHICKEN CRISPY SEARA CX/16X300GR</v>
          </cell>
          <cell r="D517">
            <v>3687.84</v>
          </cell>
          <cell r="E517">
            <v>0.02</v>
          </cell>
          <cell r="F517">
            <v>30</v>
          </cell>
          <cell r="G517">
            <v>0</v>
          </cell>
          <cell r="H517">
            <v>0</v>
          </cell>
          <cell r="I517">
            <v>0</v>
          </cell>
          <cell r="J517">
            <v>3805.34</v>
          </cell>
          <cell r="K517">
            <v>0.02</v>
          </cell>
          <cell r="L517">
            <v>0</v>
          </cell>
          <cell r="M517">
            <v>0</v>
          </cell>
          <cell r="N517">
            <v>0</v>
          </cell>
          <cell r="O517">
            <v>26</v>
          </cell>
          <cell r="P517">
            <v>0.35</v>
          </cell>
          <cell r="Q517">
            <v>144</v>
          </cell>
          <cell r="R517">
            <v>144</v>
          </cell>
          <cell r="S517">
            <v>0</v>
          </cell>
          <cell r="T517">
            <v>0</v>
          </cell>
        </row>
        <row r="518">
          <cell r="A518">
            <v>709</v>
          </cell>
          <cell r="B518">
            <v>30</v>
          </cell>
          <cell r="C518" t="str">
            <v>PIZZA FRANGO/CATUPIRY SEARA CX\12X460GR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5291</v>
          </cell>
          <cell r="K518">
            <v>0.02</v>
          </cell>
          <cell r="L518">
            <v>0</v>
          </cell>
          <cell r="M518">
            <v>0</v>
          </cell>
          <cell r="N518">
            <v>0</v>
          </cell>
          <cell r="O518">
            <v>27</v>
          </cell>
          <cell r="P518">
            <v>0.36</v>
          </cell>
          <cell r="Q518">
            <v>0</v>
          </cell>
          <cell r="R518">
            <v>165.6</v>
          </cell>
          <cell r="S518">
            <v>0</v>
          </cell>
          <cell r="T518">
            <v>0</v>
          </cell>
        </row>
        <row r="519">
          <cell r="A519">
            <v>1410</v>
          </cell>
          <cell r="B519">
            <v>30</v>
          </cell>
          <cell r="C519" t="str">
            <v>SOBRECOXA SEARA IQF CX\12KG</v>
          </cell>
          <cell r="D519">
            <v>12840</v>
          </cell>
          <cell r="E519">
            <v>0.08</v>
          </cell>
          <cell r="F519">
            <v>100</v>
          </cell>
          <cell r="G519">
            <v>0</v>
          </cell>
          <cell r="H519">
            <v>0</v>
          </cell>
          <cell r="I519">
            <v>0</v>
          </cell>
          <cell r="J519">
            <v>4507.38</v>
          </cell>
          <cell r="K519">
            <v>0.02</v>
          </cell>
          <cell r="L519">
            <v>153</v>
          </cell>
          <cell r="M519">
            <v>0.09</v>
          </cell>
          <cell r="N519">
            <v>1</v>
          </cell>
          <cell r="O519">
            <v>16</v>
          </cell>
          <cell r="P519">
            <v>0.22</v>
          </cell>
          <cell r="Q519">
            <v>1200</v>
          </cell>
          <cell r="R519">
            <v>360</v>
          </cell>
          <cell r="S519">
            <v>0</v>
          </cell>
          <cell r="T519">
            <v>12</v>
          </cell>
        </row>
        <row r="520">
          <cell r="A520">
            <v>734</v>
          </cell>
          <cell r="B520">
            <v>30</v>
          </cell>
          <cell r="C520" t="str">
            <v>STEAK SABOR QUEIJO SEARA CX\72X100GR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3639.72</v>
          </cell>
          <cell r="K520">
            <v>0.02</v>
          </cell>
          <cell r="L520">
            <v>0</v>
          </cell>
          <cell r="M520">
            <v>0</v>
          </cell>
          <cell r="N520">
            <v>0</v>
          </cell>
          <cell r="O520">
            <v>26</v>
          </cell>
          <cell r="P520">
            <v>0.35</v>
          </cell>
          <cell r="Q520">
            <v>0</v>
          </cell>
          <cell r="R520">
            <v>216</v>
          </cell>
          <cell r="S520">
            <v>0</v>
          </cell>
          <cell r="T520">
            <v>0</v>
          </cell>
        </row>
        <row r="521">
          <cell r="A521">
            <v>733</v>
          </cell>
          <cell r="B521">
            <v>30</v>
          </cell>
          <cell r="C521" t="str">
            <v>STEAK TRADICIONAL REZENDE CX\72X100GR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2800.6</v>
          </cell>
          <cell r="K521">
            <v>0.01</v>
          </cell>
          <cell r="L521">
            <v>186.2</v>
          </cell>
          <cell r="M521">
            <v>0.11</v>
          </cell>
          <cell r="N521">
            <v>2</v>
          </cell>
          <cell r="O521">
            <v>21</v>
          </cell>
          <cell r="P521">
            <v>0.28000000000000003</v>
          </cell>
          <cell r="Q521">
            <v>0</v>
          </cell>
          <cell r="R521">
            <v>216</v>
          </cell>
          <cell r="S521">
            <v>0</v>
          </cell>
          <cell r="T521">
            <v>14.4</v>
          </cell>
        </row>
        <row r="522">
          <cell r="A522">
            <v>4271</v>
          </cell>
          <cell r="B522">
            <v>29</v>
          </cell>
          <cell r="C522" t="str">
            <v>BEB.LACTEA ABACAXI CEMIL CX\27X200ML</v>
          </cell>
          <cell r="D522">
            <v>6099.2</v>
          </cell>
          <cell r="E522">
            <v>0.04</v>
          </cell>
          <cell r="F522">
            <v>170</v>
          </cell>
          <cell r="G522">
            <v>0</v>
          </cell>
          <cell r="H522">
            <v>0</v>
          </cell>
          <cell r="I522">
            <v>0</v>
          </cell>
          <cell r="J522">
            <v>1249.3399999999999</v>
          </cell>
          <cell r="K522">
            <v>0.01</v>
          </cell>
          <cell r="L522">
            <v>0</v>
          </cell>
          <cell r="M522">
            <v>0</v>
          </cell>
          <cell r="N522">
            <v>0</v>
          </cell>
          <cell r="O522">
            <v>23</v>
          </cell>
          <cell r="P522">
            <v>0.31</v>
          </cell>
          <cell r="Q522">
            <v>918</v>
          </cell>
          <cell r="R522">
            <v>156.6</v>
          </cell>
          <cell r="S522">
            <v>0</v>
          </cell>
          <cell r="T522">
            <v>0</v>
          </cell>
        </row>
        <row r="523">
          <cell r="A523">
            <v>3820</v>
          </cell>
          <cell r="B523">
            <v>29</v>
          </cell>
          <cell r="C523" t="str">
            <v>COXINHA DE FRANGO PIF PAF CX\20X300GR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5226.08</v>
          </cell>
          <cell r="K523">
            <v>0.02</v>
          </cell>
          <cell r="L523">
            <v>0</v>
          </cell>
          <cell r="M523">
            <v>0</v>
          </cell>
          <cell r="N523">
            <v>0</v>
          </cell>
          <cell r="O523">
            <v>24</v>
          </cell>
          <cell r="P523">
            <v>0.32</v>
          </cell>
          <cell r="Q523">
            <v>0</v>
          </cell>
          <cell r="R523">
            <v>174</v>
          </cell>
          <cell r="S523">
            <v>0</v>
          </cell>
          <cell r="T523">
            <v>0</v>
          </cell>
        </row>
        <row r="524">
          <cell r="A524">
            <v>611</v>
          </cell>
          <cell r="B524">
            <v>29</v>
          </cell>
          <cell r="C524" t="str">
            <v>LING DEF.FINA SEARA CX\24X215KG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3553.48</v>
          </cell>
          <cell r="K524">
            <v>0.02</v>
          </cell>
          <cell r="L524">
            <v>126.91</v>
          </cell>
          <cell r="M524">
            <v>7.0000000000000007E-2</v>
          </cell>
          <cell r="N524">
            <v>1</v>
          </cell>
          <cell r="O524">
            <v>25</v>
          </cell>
          <cell r="P524">
            <v>0.34</v>
          </cell>
          <cell r="Q524">
            <v>0</v>
          </cell>
          <cell r="R524">
            <v>149.63999999999999</v>
          </cell>
          <cell r="S524">
            <v>0</v>
          </cell>
          <cell r="T524">
            <v>5.16</v>
          </cell>
        </row>
        <row r="525">
          <cell r="A525">
            <v>3880</v>
          </cell>
          <cell r="B525">
            <v>29</v>
          </cell>
          <cell r="C525" t="str">
            <v>MARGARINA CREMOSY 50%  CX\12X1KG</v>
          </cell>
          <cell r="D525">
            <v>2013.6</v>
          </cell>
          <cell r="E525">
            <v>0.01</v>
          </cell>
          <cell r="F525">
            <v>20</v>
          </cell>
          <cell r="G525">
            <v>0</v>
          </cell>
          <cell r="H525">
            <v>0</v>
          </cell>
          <cell r="I525">
            <v>0</v>
          </cell>
          <cell r="J525">
            <v>2699.28</v>
          </cell>
          <cell r="K525">
            <v>0.01</v>
          </cell>
          <cell r="L525">
            <v>0</v>
          </cell>
          <cell r="M525">
            <v>0</v>
          </cell>
          <cell r="N525">
            <v>0</v>
          </cell>
          <cell r="O525">
            <v>9</v>
          </cell>
          <cell r="P525">
            <v>0.12</v>
          </cell>
          <cell r="Q525">
            <v>240</v>
          </cell>
          <cell r="R525">
            <v>348</v>
          </cell>
          <cell r="S525">
            <v>0</v>
          </cell>
          <cell r="T525">
            <v>0</v>
          </cell>
        </row>
        <row r="526">
          <cell r="A526">
            <v>838</v>
          </cell>
          <cell r="B526">
            <v>29</v>
          </cell>
          <cell r="C526" t="str">
            <v>MORTADELA BOLONHA REZENDE CX/2X5KG</v>
          </cell>
          <cell r="D526">
            <v>1580</v>
          </cell>
          <cell r="E526">
            <v>0.01</v>
          </cell>
          <cell r="F526">
            <v>40</v>
          </cell>
          <cell r="G526">
            <v>0</v>
          </cell>
          <cell r="H526">
            <v>0</v>
          </cell>
          <cell r="I526">
            <v>0</v>
          </cell>
          <cell r="J526">
            <v>1336.68</v>
          </cell>
          <cell r="K526">
            <v>0.01</v>
          </cell>
          <cell r="L526">
            <v>0</v>
          </cell>
          <cell r="M526">
            <v>0</v>
          </cell>
          <cell r="N526">
            <v>0</v>
          </cell>
          <cell r="O526">
            <v>11</v>
          </cell>
          <cell r="P526">
            <v>0.15</v>
          </cell>
          <cell r="Q526">
            <v>200</v>
          </cell>
          <cell r="R526">
            <v>145</v>
          </cell>
          <cell r="S526">
            <v>0</v>
          </cell>
          <cell r="T526">
            <v>0</v>
          </cell>
        </row>
        <row r="527">
          <cell r="A527">
            <v>4025</v>
          </cell>
          <cell r="B527">
            <v>29</v>
          </cell>
          <cell r="C527" t="str">
            <v>OLEO DE ALGODAO ELOGIATA CX\20X900ML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6208.64</v>
          </cell>
          <cell r="K527">
            <v>0.03</v>
          </cell>
          <cell r="L527">
            <v>213.64</v>
          </cell>
          <cell r="M527">
            <v>0.12</v>
          </cell>
          <cell r="N527">
            <v>1</v>
          </cell>
          <cell r="O527">
            <v>20</v>
          </cell>
          <cell r="P527">
            <v>0.27</v>
          </cell>
          <cell r="Q527">
            <v>0</v>
          </cell>
          <cell r="R527">
            <v>522</v>
          </cell>
          <cell r="S527">
            <v>0</v>
          </cell>
          <cell r="T527">
            <v>18</v>
          </cell>
        </row>
        <row r="528">
          <cell r="A528">
            <v>128</v>
          </cell>
          <cell r="B528">
            <v>29</v>
          </cell>
          <cell r="C528" t="str">
            <v>PEIXE TRAIRA ARGENTINA CX\20KG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12741.12</v>
          </cell>
          <cell r="K528">
            <v>0.06</v>
          </cell>
          <cell r="L528">
            <v>439.04</v>
          </cell>
          <cell r="M528">
            <v>0.25</v>
          </cell>
          <cell r="N528">
            <v>1</v>
          </cell>
          <cell r="O528">
            <v>28</v>
          </cell>
          <cell r="P528">
            <v>0.38</v>
          </cell>
          <cell r="Q528">
            <v>0</v>
          </cell>
          <cell r="R528">
            <v>580</v>
          </cell>
          <cell r="S528">
            <v>0</v>
          </cell>
          <cell r="T528">
            <v>20</v>
          </cell>
        </row>
        <row r="529">
          <cell r="A529">
            <v>1600</v>
          </cell>
          <cell r="B529">
            <v>29</v>
          </cell>
          <cell r="C529" t="str">
            <v>PEIXE TRAIRA DESOSSADA CX\20KG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17762.5</v>
          </cell>
          <cell r="K529">
            <v>0.08</v>
          </cell>
          <cell r="L529">
            <v>0</v>
          </cell>
          <cell r="M529">
            <v>0</v>
          </cell>
          <cell r="N529">
            <v>0</v>
          </cell>
          <cell r="O529">
            <v>28</v>
          </cell>
          <cell r="P529">
            <v>0.38</v>
          </cell>
          <cell r="Q529">
            <v>0</v>
          </cell>
          <cell r="R529">
            <v>580</v>
          </cell>
          <cell r="S529">
            <v>0</v>
          </cell>
          <cell r="T529">
            <v>0</v>
          </cell>
        </row>
        <row r="530">
          <cell r="A530">
            <v>808</v>
          </cell>
          <cell r="B530">
            <v>28</v>
          </cell>
          <cell r="C530" t="str">
            <v>FRANGO PASSARINHO PADARIA  IQF TEMP .SEARA 12X1KG</v>
          </cell>
          <cell r="D530">
            <v>26400</v>
          </cell>
          <cell r="E530">
            <v>0.17</v>
          </cell>
          <cell r="F530">
            <v>200</v>
          </cell>
          <cell r="G530">
            <v>0</v>
          </cell>
          <cell r="H530">
            <v>0</v>
          </cell>
          <cell r="I530">
            <v>0</v>
          </cell>
          <cell r="J530">
            <v>4340.51</v>
          </cell>
          <cell r="K530">
            <v>0.02</v>
          </cell>
          <cell r="L530">
            <v>155.91999999999999</v>
          </cell>
          <cell r="M530">
            <v>0.09</v>
          </cell>
          <cell r="N530">
            <v>1</v>
          </cell>
          <cell r="O530">
            <v>25</v>
          </cell>
          <cell r="P530">
            <v>0.34</v>
          </cell>
          <cell r="Q530">
            <v>2400</v>
          </cell>
          <cell r="R530">
            <v>336</v>
          </cell>
          <cell r="S530">
            <v>0</v>
          </cell>
          <cell r="T530">
            <v>12</v>
          </cell>
        </row>
        <row r="531">
          <cell r="A531">
            <v>4261</v>
          </cell>
          <cell r="B531">
            <v>28</v>
          </cell>
          <cell r="C531" t="str">
            <v>GALINHA GORDA ROSAVES CX/20KG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4802.55</v>
          </cell>
          <cell r="K531">
            <v>0.02</v>
          </cell>
          <cell r="L531">
            <v>0</v>
          </cell>
          <cell r="M531">
            <v>0</v>
          </cell>
          <cell r="N531">
            <v>0</v>
          </cell>
          <cell r="O531">
            <v>16</v>
          </cell>
          <cell r="P531">
            <v>0.22</v>
          </cell>
          <cell r="Q531">
            <v>0</v>
          </cell>
          <cell r="R531">
            <v>560</v>
          </cell>
          <cell r="S531">
            <v>0</v>
          </cell>
          <cell r="T531">
            <v>0</v>
          </cell>
        </row>
        <row r="532">
          <cell r="A532">
            <v>740</v>
          </cell>
          <cell r="B532">
            <v>28</v>
          </cell>
          <cell r="C532" t="str">
            <v>SUCO NECTAR MANGA TIAL  CX/12X1LT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1930.05</v>
          </cell>
          <cell r="K532">
            <v>0.01</v>
          </cell>
          <cell r="L532">
            <v>0</v>
          </cell>
          <cell r="M532">
            <v>0</v>
          </cell>
          <cell r="N532">
            <v>0</v>
          </cell>
          <cell r="O532">
            <v>22</v>
          </cell>
          <cell r="P532">
            <v>0.3</v>
          </cell>
          <cell r="Q532">
            <v>0</v>
          </cell>
          <cell r="R532">
            <v>336</v>
          </cell>
          <cell r="S532">
            <v>0</v>
          </cell>
          <cell r="T532">
            <v>0</v>
          </cell>
        </row>
        <row r="533">
          <cell r="A533">
            <v>748</v>
          </cell>
          <cell r="B533">
            <v>28</v>
          </cell>
          <cell r="C533" t="str">
            <v>SUCO UVA 100% TIAL CX/12X1LT</v>
          </cell>
          <cell r="D533">
            <v>8568</v>
          </cell>
          <cell r="E533">
            <v>0.05</v>
          </cell>
          <cell r="F533">
            <v>85</v>
          </cell>
          <cell r="G533">
            <v>0</v>
          </cell>
          <cell r="H533">
            <v>0</v>
          </cell>
          <cell r="I533">
            <v>0</v>
          </cell>
          <cell r="J533">
            <v>2934.47</v>
          </cell>
          <cell r="K533">
            <v>0.01</v>
          </cell>
          <cell r="L533">
            <v>0</v>
          </cell>
          <cell r="M533">
            <v>0</v>
          </cell>
          <cell r="N533">
            <v>0</v>
          </cell>
          <cell r="O533">
            <v>16</v>
          </cell>
          <cell r="P533">
            <v>0.22</v>
          </cell>
          <cell r="Q533">
            <v>1020</v>
          </cell>
          <cell r="R533">
            <v>336</v>
          </cell>
          <cell r="S533">
            <v>0</v>
          </cell>
          <cell r="T533">
            <v>0</v>
          </cell>
        </row>
        <row r="534">
          <cell r="A534">
            <v>3690</v>
          </cell>
          <cell r="B534">
            <v>27</v>
          </cell>
          <cell r="C534" t="str">
            <v>BARRA CEREAL FRUTAS VERMELHAS NUTRY  24X22G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903.04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21</v>
          </cell>
          <cell r="P534">
            <v>0.28000000000000003</v>
          </cell>
          <cell r="Q534">
            <v>0</v>
          </cell>
          <cell r="R534">
            <v>14.26</v>
          </cell>
          <cell r="S534">
            <v>0</v>
          </cell>
          <cell r="T534">
            <v>0</v>
          </cell>
        </row>
        <row r="535">
          <cell r="A535">
            <v>798</v>
          </cell>
          <cell r="B535">
            <v>27</v>
          </cell>
          <cell r="C535" t="str">
            <v>DOCE DE LEITE TRIANGULO MINEIRO 12X300G</v>
          </cell>
          <cell r="D535">
            <v>5975.04</v>
          </cell>
          <cell r="E535">
            <v>0.04</v>
          </cell>
          <cell r="F535">
            <v>128</v>
          </cell>
          <cell r="G535">
            <v>0</v>
          </cell>
          <cell r="H535">
            <v>0</v>
          </cell>
          <cell r="I535">
            <v>0</v>
          </cell>
          <cell r="J535">
            <v>1538.17</v>
          </cell>
          <cell r="K535">
            <v>0.01</v>
          </cell>
          <cell r="L535">
            <v>0</v>
          </cell>
          <cell r="M535">
            <v>0</v>
          </cell>
          <cell r="N535">
            <v>0</v>
          </cell>
          <cell r="O535">
            <v>27</v>
          </cell>
          <cell r="P535">
            <v>0.36</v>
          </cell>
          <cell r="Q535">
            <v>460.8</v>
          </cell>
          <cell r="R535">
            <v>97.2</v>
          </cell>
          <cell r="S535">
            <v>0</v>
          </cell>
          <cell r="T535">
            <v>0</v>
          </cell>
        </row>
        <row r="536">
          <cell r="A536">
            <v>594</v>
          </cell>
          <cell r="B536">
            <v>27</v>
          </cell>
          <cell r="C536" t="str">
            <v>LASANHA FRANGO SEARA CX/10X600GR</v>
          </cell>
          <cell r="D536">
            <v>3319.2</v>
          </cell>
          <cell r="E536">
            <v>0.02</v>
          </cell>
          <cell r="F536">
            <v>30</v>
          </cell>
          <cell r="G536">
            <v>0</v>
          </cell>
          <cell r="H536">
            <v>0</v>
          </cell>
          <cell r="I536">
            <v>0</v>
          </cell>
          <cell r="J536">
            <v>3654.68</v>
          </cell>
          <cell r="K536">
            <v>0.02</v>
          </cell>
          <cell r="L536">
            <v>268.52</v>
          </cell>
          <cell r="M536">
            <v>0.15</v>
          </cell>
          <cell r="N536">
            <v>2</v>
          </cell>
          <cell r="O536">
            <v>26</v>
          </cell>
          <cell r="P536">
            <v>0.35</v>
          </cell>
          <cell r="Q536">
            <v>180</v>
          </cell>
          <cell r="R536">
            <v>162</v>
          </cell>
          <cell r="S536">
            <v>0</v>
          </cell>
          <cell r="T536">
            <v>12</v>
          </cell>
        </row>
        <row r="537">
          <cell r="A537">
            <v>345</v>
          </cell>
          <cell r="B537">
            <v>27</v>
          </cell>
          <cell r="C537" t="str">
            <v>PEITO FRANGO DESFIADO TROPEIRA CX\25X400KG</v>
          </cell>
          <cell r="D537">
            <v>10735.82</v>
          </cell>
          <cell r="E537">
            <v>7.0000000000000007E-2</v>
          </cell>
          <cell r="F537">
            <v>40</v>
          </cell>
          <cell r="G537">
            <v>0</v>
          </cell>
          <cell r="H537">
            <v>0</v>
          </cell>
          <cell r="I537">
            <v>0</v>
          </cell>
          <cell r="J537">
            <v>9322.6</v>
          </cell>
          <cell r="K537">
            <v>0.04</v>
          </cell>
          <cell r="L537">
            <v>0</v>
          </cell>
          <cell r="M537">
            <v>0</v>
          </cell>
          <cell r="N537">
            <v>0</v>
          </cell>
          <cell r="O537">
            <v>20</v>
          </cell>
          <cell r="P537">
            <v>0.27</v>
          </cell>
          <cell r="Q537">
            <v>384</v>
          </cell>
          <cell r="R537">
            <v>259.2</v>
          </cell>
          <cell r="S537">
            <v>0</v>
          </cell>
          <cell r="T537">
            <v>0</v>
          </cell>
        </row>
        <row r="538">
          <cell r="A538">
            <v>1965</v>
          </cell>
          <cell r="B538">
            <v>26</v>
          </cell>
          <cell r="C538" t="str">
            <v>CHICKEN CROC CROCANT LEBON 5X1KG</v>
          </cell>
          <cell r="D538">
            <v>1755</v>
          </cell>
          <cell r="E538">
            <v>0.01</v>
          </cell>
          <cell r="F538">
            <v>30</v>
          </cell>
          <cell r="G538">
            <v>0</v>
          </cell>
          <cell r="H538">
            <v>0</v>
          </cell>
          <cell r="I538">
            <v>0</v>
          </cell>
          <cell r="J538">
            <v>1768.44</v>
          </cell>
          <cell r="K538">
            <v>0.01</v>
          </cell>
          <cell r="L538">
            <v>0</v>
          </cell>
          <cell r="M538">
            <v>0</v>
          </cell>
          <cell r="N538">
            <v>0</v>
          </cell>
          <cell r="O538">
            <v>14</v>
          </cell>
          <cell r="P538">
            <v>0.19</v>
          </cell>
          <cell r="Q538">
            <v>150</v>
          </cell>
          <cell r="R538">
            <v>130</v>
          </cell>
          <cell r="S538">
            <v>0</v>
          </cell>
          <cell r="T538">
            <v>0</v>
          </cell>
        </row>
        <row r="539">
          <cell r="A539">
            <v>2647</v>
          </cell>
          <cell r="B539">
            <v>26</v>
          </cell>
          <cell r="C539" t="str">
            <v>KETCHUP PREDILECTA CX\24X400GR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3108.56</v>
          </cell>
          <cell r="K539">
            <v>0.01</v>
          </cell>
          <cell r="L539">
            <v>0</v>
          </cell>
          <cell r="M539">
            <v>0</v>
          </cell>
          <cell r="N539">
            <v>0</v>
          </cell>
          <cell r="O539">
            <v>23</v>
          </cell>
          <cell r="P539">
            <v>0.31</v>
          </cell>
          <cell r="Q539">
            <v>0</v>
          </cell>
          <cell r="R539">
            <v>249.6</v>
          </cell>
          <cell r="S539">
            <v>0</v>
          </cell>
          <cell r="T539">
            <v>0</v>
          </cell>
        </row>
        <row r="540">
          <cell r="A540">
            <v>613</v>
          </cell>
          <cell r="B540">
            <v>26</v>
          </cell>
          <cell r="C540" t="str">
            <v>LING FRANGO LEBON CX\32X600GR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7510.49</v>
          </cell>
          <cell r="K540">
            <v>0.03</v>
          </cell>
          <cell r="L540">
            <v>0</v>
          </cell>
          <cell r="M540">
            <v>0</v>
          </cell>
          <cell r="N540">
            <v>0</v>
          </cell>
          <cell r="O540">
            <v>21</v>
          </cell>
          <cell r="P540">
            <v>0.28000000000000003</v>
          </cell>
          <cell r="Q540">
            <v>0</v>
          </cell>
          <cell r="R540">
            <v>499.2</v>
          </cell>
          <cell r="S540">
            <v>0</v>
          </cell>
          <cell r="T540">
            <v>0</v>
          </cell>
        </row>
        <row r="541">
          <cell r="A541">
            <v>283</v>
          </cell>
          <cell r="B541">
            <v>26</v>
          </cell>
          <cell r="C541" t="str">
            <v>LOMBO SUINO SEARA CX/20KG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9154.5</v>
          </cell>
          <cell r="K541">
            <v>0.04</v>
          </cell>
          <cell r="L541">
            <v>351.82</v>
          </cell>
          <cell r="M541">
            <v>0.2</v>
          </cell>
          <cell r="N541">
            <v>1</v>
          </cell>
          <cell r="O541">
            <v>12</v>
          </cell>
          <cell r="P541">
            <v>0.16</v>
          </cell>
          <cell r="Q541">
            <v>0</v>
          </cell>
          <cell r="R541">
            <v>520</v>
          </cell>
          <cell r="S541">
            <v>0</v>
          </cell>
          <cell r="T541">
            <v>20</v>
          </cell>
        </row>
        <row r="542">
          <cell r="A542">
            <v>3628</v>
          </cell>
          <cell r="B542">
            <v>26</v>
          </cell>
          <cell r="C542" t="str">
            <v>NUTRIBOM BANANA MACA 24X180G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2470</v>
          </cell>
          <cell r="K542">
            <v>0.01</v>
          </cell>
          <cell r="L542">
            <v>0</v>
          </cell>
          <cell r="M542">
            <v>0</v>
          </cell>
          <cell r="N542">
            <v>0</v>
          </cell>
          <cell r="O542">
            <v>10</v>
          </cell>
          <cell r="P542">
            <v>0.13</v>
          </cell>
          <cell r="Q542">
            <v>0</v>
          </cell>
          <cell r="R542">
            <v>112.32</v>
          </cell>
          <cell r="S542">
            <v>0</v>
          </cell>
          <cell r="T542">
            <v>0</v>
          </cell>
        </row>
        <row r="543">
          <cell r="A543">
            <v>3594</v>
          </cell>
          <cell r="B543">
            <v>26</v>
          </cell>
          <cell r="C543" t="str">
            <v>PAO DE QUEIJO C\REQUEIJAO FORNERIA CX\20X400GR</v>
          </cell>
          <cell r="D543">
            <v>14845.36</v>
          </cell>
          <cell r="E543">
            <v>0.09</v>
          </cell>
          <cell r="F543">
            <v>70</v>
          </cell>
          <cell r="G543">
            <v>0</v>
          </cell>
          <cell r="H543">
            <v>0</v>
          </cell>
          <cell r="I543">
            <v>0</v>
          </cell>
          <cell r="J543">
            <v>6661.2</v>
          </cell>
          <cell r="K543">
            <v>0.03</v>
          </cell>
          <cell r="L543">
            <v>0</v>
          </cell>
          <cell r="M543">
            <v>0</v>
          </cell>
          <cell r="N543">
            <v>0</v>
          </cell>
          <cell r="O543">
            <v>19</v>
          </cell>
          <cell r="P543">
            <v>0.26</v>
          </cell>
          <cell r="Q543">
            <v>560</v>
          </cell>
          <cell r="R543">
            <v>208</v>
          </cell>
          <cell r="S543">
            <v>0</v>
          </cell>
          <cell r="T543">
            <v>0</v>
          </cell>
        </row>
        <row r="544">
          <cell r="A544">
            <v>4225</v>
          </cell>
          <cell r="B544">
            <v>26</v>
          </cell>
          <cell r="C544" t="str">
            <v>SALAME PISTACHE SEARA GOURMET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272.04000000000002</v>
          </cell>
          <cell r="K544">
            <v>0</v>
          </cell>
          <cell r="L544">
            <v>15</v>
          </cell>
          <cell r="M544">
            <v>0.01</v>
          </cell>
          <cell r="N544">
            <v>1</v>
          </cell>
          <cell r="O544">
            <v>11</v>
          </cell>
          <cell r="P544">
            <v>0.15</v>
          </cell>
          <cell r="Q544">
            <v>0</v>
          </cell>
          <cell r="R544">
            <v>4.16</v>
          </cell>
          <cell r="S544">
            <v>0</v>
          </cell>
          <cell r="T544">
            <v>0.16</v>
          </cell>
        </row>
        <row r="545">
          <cell r="A545">
            <v>4179</v>
          </cell>
          <cell r="B545">
            <v>26</v>
          </cell>
          <cell r="C545" t="str">
            <v>TILAPIA POSTA C VALE CX 16X800G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9125.08</v>
          </cell>
          <cell r="K545">
            <v>0.04</v>
          </cell>
          <cell r="L545">
            <v>703.64</v>
          </cell>
          <cell r="M545">
            <v>0.4</v>
          </cell>
          <cell r="N545">
            <v>2</v>
          </cell>
          <cell r="O545">
            <v>23</v>
          </cell>
          <cell r="P545">
            <v>0.31</v>
          </cell>
          <cell r="Q545">
            <v>0</v>
          </cell>
          <cell r="R545">
            <v>332.8</v>
          </cell>
          <cell r="S545">
            <v>0</v>
          </cell>
          <cell r="T545">
            <v>25.6</v>
          </cell>
        </row>
        <row r="546">
          <cell r="A546">
            <v>1474</v>
          </cell>
          <cell r="B546">
            <v>25</v>
          </cell>
          <cell r="C546" t="str">
            <v>LING T.CALABRESA REZENDE CX\12X400GR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2672.68</v>
          </cell>
          <cell r="K546">
            <v>0.01</v>
          </cell>
          <cell r="L546">
            <v>0</v>
          </cell>
          <cell r="M546">
            <v>0</v>
          </cell>
          <cell r="N546">
            <v>0</v>
          </cell>
          <cell r="O546">
            <v>18</v>
          </cell>
          <cell r="P546">
            <v>0.24</v>
          </cell>
          <cell r="Q546">
            <v>0</v>
          </cell>
          <cell r="R546">
            <v>120</v>
          </cell>
          <cell r="S546">
            <v>0</v>
          </cell>
          <cell r="T546">
            <v>0</v>
          </cell>
        </row>
        <row r="547">
          <cell r="A547">
            <v>972</v>
          </cell>
          <cell r="B547">
            <v>25</v>
          </cell>
          <cell r="C547" t="str">
            <v>MOSTARDA D´AJUDA GALAO  3,2KG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645.84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16</v>
          </cell>
          <cell r="P547">
            <v>0.22</v>
          </cell>
          <cell r="Q547">
            <v>0</v>
          </cell>
          <cell r="R547">
            <v>125</v>
          </cell>
          <cell r="S547">
            <v>0</v>
          </cell>
          <cell r="T547">
            <v>0</v>
          </cell>
        </row>
        <row r="548">
          <cell r="A548">
            <v>3627</v>
          </cell>
          <cell r="B548">
            <v>25</v>
          </cell>
          <cell r="C548" t="str">
            <v>NUTRIBOM AVEIA E ARROZ CX 24X180G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2366</v>
          </cell>
          <cell r="K548">
            <v>0.01</v>
          </cell>
          <cell r="L548">
            <v>0</v>
          </cell>
          <cell r="M548">
            <v>0</v>
          </cell>
          <cell r="N548">
            <v>0</v>
          </cell>
          <cell r="O548">
            <v>16</v>
          </cell>
          <cell r="P548">
            <v>0.22</v>
          </cell>
          <cell r="Q548">
            <v>0</v>
          </cell>
          <cell r="R548">
            <v>108</v>
          </cell>
          <cell r="S548">
            <v>0</v>
          </cell>
          <cell r="T548">
            <v>0</v>
          </cell>
        </row>
        <row r="549">
          <cell r="A549">
            <v>3629</v>
          </cell>
          <cell r="B549">
            <v>25</v>
          </cell>
          <cell r="C549" t="str">
            <v>NUTRIBOM MILHO 24X180G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2364</v>
          </cell>
          <cell r="K549">
            <v>0.01</v>
          </cell>
          <cell r="L549">
            <v>0</v>
          </cell>
          <cell r="M549">
            <v>0</v>
          </cell>
          <cell r="N549">
            <v>0</v>
          </cell>
          <cell r="O549">
            <v>13</v>
          </cell>
          <cell r="P549">
            <v>0.18</v>
          </cell>
          <cell r="Q549">
            <v>0</v>
          </cell>
          <cell r="R549">
            <v>108</v>
          </cell>
          <cell r="S549">
            <v>0</v>
          </cell>
          <cell r="T549">
            <v>0</v>
          </cell>
        </row>
        <row r="550">
          <cell r="A550">
            <v>3592</v>
          </cell>
          <cell r="B550">
            <v>25</v>
          </cell>
          <cell r="C550" t="str">
            <v>PAO DE QUEIJO C\FRANGO FORNERIA CX\20X400GR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6375.2</v>
          </cell>
          <cell r="K550">
            <v>0.03</v>
          </cell>
          <cell r="L550">
            <v>0</v>
          </cell>
          <cell r="M550">
            <v>0</v>
          </cell>
          <cell r="N550">
            <v>0</v>
          </cell>
          <cell r="O550">
            <v>19</v>
          </cell>
          <cell r="P550">
            <v>0.26</v>
          </cell>
          <cell r="Q550">
            <v>0</v>
          </cell>
          <cell r="R550">
            <v>200</v>
          </cell>
          <cell r="S550">
            <v>0</v>
          </cell>
          <cell r="T550">
            <v>0</v>
          </cell>
        </row>
        <row r="551">
          <cell r="A551">
            <v>3131</v>
          </cell>
          <cell r="B551">
            <v>25</v>
          </cell>
          <cell r="C551" t="str">
            <v>REQUEIJAO COPO SCALA CX/12X380GR</v>
          </cell>
          <cell r="D551">
            <v>2514.61</v>
          </cell>
          <cell r="E551">
            <v>0.02</v>
          </cell>
          <cell r="F551">
            <v>20</v>
          </cell>
          <cell r="G551">
            <v>0</v>
          </cell>
          <cell r="H551">
            <v>0</v>
          </cell>
          <cell r="I551">
            <v>0</v>
          </cell>
          <cell r="J551">
            <v>3973.2</v>
          </cell>
          <cell r="K551">
            <v>0.02</v>
          </cell>
          <cell r="L551">
            <v>159.49</v>
          </cell>
          <cell r="M551">
            <v>0.09</v>
          </cell>
          <cell r="N551">
            <v>1</v>
          </cell>
          <cell r="O551">
            <v>19</v>
          </cell>
          <cell r="P551">
            <v>0.26</v>
          </cell>
          <cell r="Q551">
            <v>91.2</v>
          </cell>
          <cell r="R551">
            <v>114</v>
          </cell>
          <cell r="S551">
            <v>0</v>
          </cell>
          <cell r="T551">
            <v>4.5599999999999996</v>
          </cell>
        </row>
        <row r="552">
          <cell r="A552">
            <v>317</v>
          </cell>
          <cell r="B552">
            <v>25</v>
          </cell>
          <cell r="C552" t="str">
            <v>SUCO NECTAR CAJU TIAL CX/24X200ML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959.4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22</v>
          </cell>
          <cell r="P552">
            <v>0.3</v>
          </cell>
          <cell r="Q552">
            <v>0</v>
          </cell>
          <cell r="R552">
            <v>125</v>
          </cell>
          <cell r="S552">
            <v>0</v>
          </cell>
          <cell r="T552">
            <v>0</v>
          </cell>
        </row>
        <row r="553">
          <cell r="A553">
            <v>4126</v>
          </cell>
          <cell r="B553">
            <v>25</v>
          </cell>
          <cell r="C553" t="str">
            <v>TIRINHAS DE FRANGO LAR CX\10X700GR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2729.32</v>
          </cell>
          <cell r="K553">
            <v>0.01</v>
          </cell>
          <cell r="L553">
            <v>0</v>
          </cell>
          <cell r="M553">
            <v>0</v>
          </cell>
          <cell r="N553">
            <v>0</v>
          </cell>
          <cell r="O553">
            <v>20</v>
          </cell>
          <cell r="P553">
            <v>0.27</v>
          </cell>
          <cell r="Q553">
            <v>0</v>
          </cell>
          <cell r="R553">
            <v>175</v>
          </cell>
          <cell r="S553">
            <v>0</v>
          </cell>
          <cell r="T553">
            <v>0</v>
          </cell>
        </row>
        <row r="554">
          <cell r="A554">
            <v>4071</v>
          </cell>
          <cell r="B554">
            <v>24</v>
          </cell>
          <cell r="C554" t="str">
            <v>COSTELA INTEIRA SUINA SEARA CX\15KG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6585.6</v>
          </cell>
          <cell r="K554">
            <v>0.03</v>
          </cell>
          <cell r="L554">
            <v>0</v>
          </cell>
          <cell r="M554">
            <v>0</v>
          </cell>
          <cell r="N554">
            <v>0</v>
          </cell>
          <cell r="O554">
            <v>9</v>
          </cell>
          <cell r="P554">
            <v>0.12</v>
          </cell>
          <cell r="Q554">
            <v>0</v>
          </cell>
          <cell r="R554">
            <v>360</v>
          </cell>
          <cell r="S554">
            <v>0</v>
          </cell>
          <cell r="T554">
            <v>0</v>
          </cell>
        </row>
        <row r="555">
          <cell r="A555">
            <v>3844</v>
          </cell>
          <cell r="B555">
            <v>24</v>
          </cell>
          <cell r="C555" t="str">
            <v>MARGARINA BALDE 60% PRIMOR 3KG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620.91999999999996</v>
          </cell>
          <cell r="K555">
            <v>0</v>
          </cell>
          <cell r="L555">
            <v>25.19</v>
          </cell>
          <cell r="M555">
            <v>0.01</v>
          </cell>
          <cell r="N555">
            <v>1</v>
          </cell>
          <cell r="O555">
            <v>20</v>
          </cell>
          <cell r="P555">
            <v>0.27</v>
          </cell>
          <cell r="Q555">
            <v>0</v>
          </cell>
          <cell r="R555">
            <v>72</v>
          </cell>
          <cell r="S555">
            <v>0</v>
          </cell>
          <cell r="T555">
            <v>3</v>
          </cell>
        </row>
        <row r="556">
          <cell r="A556">
            <v>3843</v>
          </cell>
          <cell r="B556">
            <v>24</v>
          </cell>
          <cell r="C556" t="str">
            <v>PIZZA BACON AIRFRYER  CX12X250GR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2373.6</v>
          </cell>
          <cell r="K556">
            <v>0.01</v>
          </cell>
          <cell r="L556">
            <v>0</v>
          </cell>
          <cell r="M556">
            <v>0</v>
          </cell>
          <cell r="N556">
            <v>0</v>
          </cell>
          <cell r="O556">
            <v>20</v>
          </cell>
          <cell r="P556">
            <v>0.27</v>
          </cell>
          <cell r="Q556">
            <v>0</v>
          </cell>
          <cell r="R556">
            <v>72</v>
          </cell>
          <cell r="S556">
            <v>0</v>
          </cell>
          <cell r="T556">
            <v>0</v>
          </cell>
        </row>
        <row r="557">
          <cell r="A557">
            <v>3130</v>
          </cell>
          <cell r="B557">
            <v>24</v>
          </cell>
          <cell r="C557" t="str">
            <v>REQUEIJAO ZERO LACTOSE COPO SCALA CX/12X200GR</v>
          </cell>
          <cell r="D557">
            <v>2216.79</v>
          </cell>
          <cell r="E557">
            <v>0.01</v>
          </cell>
          <cell r="F557">
            <v>25</v>
          </cell>
          <cell r="G557">
            <v>0</v>
          </cell>
          <cell r="H557">
            <v>0</v>
          </cell>
          <cell r="I557">
            <v>0</v>
          </cell>
          <cell r="J557">
            <v>2707.1</v>
          </cell>
          <cell r="K557">
            <v>0.01</v>
          </cell>
          <cell r="L557">
            <v>0</v>
          </cell>
          <cell r="M557">
            <v>0</v>
          </cell>
          <cell r="N557">
            <v>0</v>
          </cell>
          <cell r="O557">
            <v>20</v>
          </cell>
          <cell r="P557">
            <v>0.27</v>
          </cell>
          <cell r="Q557">
            <v>60</v>
          </cell>
          <cell r="R557">
            <v>57.6</v>
          </cell>
          <cell r="S557">
            <v>0</v>
          </cell>
          <cell r="T557">
            <v>0</v>
          </cell>
        </row>
        <row r="558">
          <cell r="A558">
            <v>3686</v>
          </cell>
          <cell r="B558">
            <v>23</v>
          </cell>
          <cell r="C558" t="str">
            <v>BARRA CEREAL AVELA CHOCOLATE NUTRY 24X22G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768.4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21</v>
          </cell>
          <cell r="P558">
            <v>0.28000000000000003</v>
          </cell>
          <cell r="Q558">
            <v>0</v>
          </cell>
          <cell r="R558">
            <v>12.14</v>
          </cell>
          <cell r="S558">
            <v>0</v>
          </cell>
          <cell r="T558">
            <v>0</v>
          </cell>
        </row>
        <row r="559">
          <cell r="A559">
            <v>4296</v>
          </cell>
          <cell r="B559">
            <v>23</v>
          </cell>
          <cell r="C559" t="str">
            <v>CARNE BOVINA MOIDA CRUZEIRO DO SUL CX/24X1KG</v>
          </cell>
          <cell r="D559">
            <v>93533.43</v>
          </cell>
          <cell r="E559">
            <v>0.6</v>
          </cell>
          <cell r="F559">
            <v>236</v>
          </cell>
          <cell r="G559">
            <v>0</v>
          </cell>
          <cell r="H559">
            <v>0</v>
          </cell>
          <cell r="I559">
            <v>0</v>
          </cell>
          <cell r="J559">
            <v>10819.2</v>
          </cell>
          <cell r="K559">
            <v>0.05</v>
          </cell>
          <cell r="L559">
            <v>0</v>
          </cell>
          <cell r="M559">
            <v>0</v>
          </cell>
          <cell r="N559">
            <v>0</v>
          </cell>
          <cell r="O559">
            <v>18</v>
          </cell>
          <cell r="P559">
            <v>0.24</v>
          </cell>
          <cell r="Q559">
            <v>2832</v>
          </cell>
          <cell r="R559">
            <v>276</v>
          </cell>
          <cell r="S559">
            <v>0</v>
          </cell>
          <cell r="T559">
            <v>0</v>
          </cell>
        </row>
        <row r="560">
          <cell r="A560">
            <v>3626</v>
          </cell>
          <cell r="B560">
            <v>23</v>
          </cell>
          <cell r="C560" t="str">
            <v>NUTRIBOM ARROZ CX 24X180G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2142.33</v>
          </cell>
          <cell r="K560">
            <v>0.01</v>
          </cell>
          <cell r="L560">
            <v>0</v>
          </cell>
          <cell r="M560">
            <v>0</v>
          </cell>
          <cell r="N560">
            <v>0</v>
          </cell>
          <cell r="O560">
            <v>14</v>
          </cell>
          <cell r="P560">
            <v>0.19</v>
          </cell>
          <cell r="Q560">
            <v>0</v>
          </cell>
          <cell r="R560">
            <v>99.36</v>
          </cell>
          <cell r="S560">
            <v>0</v>
          </cell>
          <cell r="T560">
            <v>0</v>
          </cell>
        </row>
        <row r="561">
          <cell r="A561">
            <v>4018</v>
          </cell>
          <cell r="B561">
            <v>23</v>
          </cell>
          <cell r="C561" t="str">
            <v>PESSEGO CALDA LT TOZZI CX 12X450GR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2760.15</v>
          </cell>
          <cell r="K561">
            <v>0.01</v>
          </cell>
          <cell r="L561">
            <v>0</v>
          </cell>
          <cell r="M561">
            <v>0</v>
          </cell>
          <cell r="N561">
            <v>0</v>
          </cell>
          <cell r="O561">
            <v>21</v>
          </cell>
          <cell r="P561">
            <v>0.28000000000000003</v>
          </cell>
          <cell r="Q561">
            <v>0</v>
          </cell>
          <cell r="R561">
            <v>124.2</v>
          </cell>
          <cell r="S561">
            <v>0</v>
          </cell>
          <cell r="T561">
            <v>0</v>
          </cell>
        </row>
        <row r="562">
          <cell r="A562">
            <v>3416</v>
          </cell>
          <cell r="B562">
            <v>23</v>
          </cell>
          <cell r="C562" t="str">
            <v>PONTA COSTELA SUINA FRICASA PIF PAF 8X1KG</v>
          </cell>
          <cell r="D562">
            <v>7000</v>
          </cell>
          <cell r="E562">
            <v>0.04</v>
          </cell>
          <cell r="F562">
            <v>100</v>
          </cell>
          <cell r="G562">
            <v>0</v>
          </cell>
          <cell r="H562">
            <v>0</v>
          </cell>
          <cell r="I562">
            <v>0</v>
          </cell>
          <cell r="J562">
            <v>2154.6</v>
          </cell>
          <cell r="K562">
            <v>0.01</v>
          </cell>
          <cell r="L562">
            <v>0</v>
          </cell>
          <cell r="M562">
            <v>0</v>
          </cell>
          <cell r="N562">
            <v>0</v>
          </cell>
          <cell r="O562">
            <v>20</v>
          </cell>
          <cell r="P562">
            <v>0.27</v>
          </cell>
          <cell r="Q562">
            <v>800</v>
          </cell>
          <cell r="R562">
            <v>184</v>
          </cell>
          <cell r="S562">
            <v>0</v>
          </cell>
          <cell r="T562">
            <v>0</v>
          </cell>
        </row>
        <row r="563">
          <cell r="A563">
            <v>2089</v>
          </cell>
          <cell r="B563">
            <v>22</v>
          </cell>
          <cell r="C563" t="str">
            <v>BATATA PALHA OURO MINAS 40X120G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2206.4</v>
          </cell>
          <cell r="K563">
            <v>0.01</v>
          </cell>
          <cell r="L563">
            <v>0</v>
          </cell>
          <cell r="M563">
            <v>0</v>
          </cell>
          <cell r="N563">
            <v>0</v>
          </cell>
          <cell r="O563">
            <v>21</v>
          </cell>
          <cell r="P563">
            <v>0.28000000000000003</v>
          </cell>
          <cell r="Q563">
            <v>0</v>
          </cell>
          <cell r="R563">
            <v>105.6</v>
          </cell>
          <cell r="S563">
            <v>0</v>
          </cell>
          <cell r="T563">
            <v>0</v>
          </cell>
        </row>
        <row r="564">
          <cell r="A564">
            <v>543</v>
          </cell>
          <cell r="B564">
            <v>22</v>
          </cell>
          <cell r="C564" t="str">
            <v>FILE PIRAMUTABA PEIXE&amp;CIA CX\20X1KG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12096</v>
          </cell>
          <cell r="K564">
            <v>0.05</v>
          </cell>
          <cell r="L564">
            <v>0</v>
          </cell>
          <cell r="M564">
            <v>0</v>
          </cell>
          <cell r="N564">
            <v>0</v>
          </cell>
          <cell r="O564">
            <v>19</v>
          </cell>
          <cell r="P564">
            <v>0.26</v>
          </cell>
          <cell r="Q564">
            <v>0</v>
          </cell>
          <cell r="R564">
            <v>440</v>
          </cell>
          <cell r="S564">
            <v>0</v>
          </cell>
          <cell r="T564">
            <v>0</v>
          </cell>
        </row>
        <row r="565">
          <cell r="A565">
            <v>3774</v>
          </cell>
          <cell r="B565">
            <v>22</v>
          </cell>
          <cell r="C565" t="str">
            <v>GORDURA BALDE FRY ELOGIATA 14,5KG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4290.4399999999996</v>
          </cell>
          <cell r="K565">
            <v>0.02</v>
          </cell>
          <cell r="L565">
            <v>0</v>
          </cell>
          <cell r="M565">
            <v>0</v>
          </cell>
          <cell r="N565">
            <v>0</v>
          </cell>
          <cell r="O565">
            <v>6</v>
          </cell>
          <cell r="P565">
            <v>0.08</v>
          </cell>
          <cell r="Q565">
            <v>0</v>
          </cell>
          <cell r="R565">
            <v>319</v>
          </cell>
          <cell r="S565">
            <v>0</v>
          </cell>
          <cell r="T565">
            <v>0</v>
          </cell>
        </row>
        <row r="566">
          <cell r="A566">
            <v>4133</v>
          </cell>
          <cell r="B566">
            <v>22</v>
          </cell>
          <cell r="C566" t="str">
            <v>PASTA ALHO SEARA CX\24X200GR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2425.65</v>
          </cell>
          <cell r="K566">
            <v>0.01</v>
          </cell>
          <cell r="L566">
            <v>0</v>
          </cell>
          <cell r="M566">
            <v>0</v>
          </cell>
          <cell r="N566">
            <v>0</v>
          </cell>
          <cell r="O566">
            <v>20</v>
          </cell>
          <cell r="P566">
            <v>0.27</v>
          </cell>
          <cell r="Q566">
            <v>0</v>
          </cell>
          <cell r="R566">
            <v>105.6</v>
          </cell>
          <cell r="S566">
            <v>0</v>
          </cell>
          <cell r="T566">
            <v>0</v>
          </cell>
        </row>
        <row r="567">
          <cell r="A567">
            <v>3174</v>
          </cell>
          <cell r="B567">
            <v>21.26</v>
          </cell>
          <cell r="C567" t="str">
            <v>PALETA S/MUSCULO BOVINA CARA BRANCA KG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762.67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1</v>
          </cell>
          <cell r="P567">
            <v>0.01</v>
          </cell>
          <cell r="Q567">
            <v>0</v>
          </cell>
          <cell r="R567">
            <v>21.26</v>
          </cell>
          <cell r="S567">
            <v>0</v>
          </cell>
          <cell r="T567">
            <v>0</v>
          </cell>
        </row>
        <row r="568">
          <cell r="A568">
            <v>3821</v>
          </cell>
          <cell r="B568">
            <v>21</v>
          </cell>
          <cell r="C568" t="str">
            <v>COXINHA DE FRANGO C/ REQUIJAO PIF PAF CX\20X300GR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3780.1</v>
          </cell>
          <cell r="K568">
            <v>0.02</v>
          </cell>
          <cell r="L568">
            <v>0</v>
          </cell>
          <cell r="M568">
            <v>0</v>
          </cell>
          <cell r="N568">
            <v>0</v>
          </cell>
          <cell r="O568">
            <v>18</v>
          </cell>
          <cell r="P568">
            <v>0.24</v>
          </cell>
          <cell r="Q568">
            <v>0</v>
          </cell>
          <cell r="R568">
            <v>126</v>
          </cell>
          <cell r="S568">
            <v>0</v>
          </cell>
          <cell r="T568">
            <v>0</v>
          </cell>
        </row>
        <row r="569">
          <cell r="A569">
            <v>589</v>
          </cell>
          <cell r="B569">
            <v>21</v>
          </cell>
          <cell r="C569" t="str">
            <v>LASANHA BOLONHESA MENU SEARA  12X350G</v>
          </cell>
          <cell r="D569">
            <v>2982.63</v>
          </cell>
          <cell r="E569">
            <v>0.02</v>
          </cell>
          <cell r="F569">
            <v>35</v>
          </cell>
          <cell r="G569">
            <v>0</v>
          </cell>
          <cell r="H569">
            <v>0</v>
          </cell>
          <cell r="I569">
            <v>0</v>
          </cell>
          <cell r="J569">
            <v>2239.92</v>
          </cell>
          <cell r="K569">
            <v>0.01</v>
          </cell>
          <cell r="L569">
            <v>0</v>
          </cell>
          <cell r="M569">
            <v>0</v>
          </cell>
          <cell r="N569">
            <v>0</v>
          </cell>
          <cell r="O569">
            <v>20</v>
          </cell>
          <cell r="P569">
            <v>0.27</v>
          </cell>
          <cell r="Q569">
            <v>147</v>
          </cell>
          <cell r="R569">
            <v>88.2</v>
          </cell>
          <cell r="S569">
            <v>0</v>
          </cell>
          <cell r="T569">
            <v>0</v>
          </cell>
        </row>
        <row r="570">
          <cell r="A570">
            <v>1230</v>
          </cell>
          <cell r="B570">
            <v>21</v>
          </cell>
          <cell r="C570" t="str">
            <v>LING DEF.FINA REZENDE CX\24X215GR</v>
          </cell>
          <cell r="D570">
            <v>2000.02</v>
          </cell>
          <cell r="E570">
            <v>0.01</v>
          </cell>
          <cell r="F570">
            <v>20</v>
          </cell>
          <cell r="G570">
            <v>0</v>
          </cell>
          <cell r="H570">
            <v>0</v>
          </cell>
          <cell r="I570">
            <v>0</v>
          </cell>
          <cell r="J570">
            <v>2474.4</v>
          </cell>
          <cell r="K570">
            <v>0.01</v>
          </cell>
          <cell r="L570">
            <v>0</v>
          </cell>
          <cell r="M570">
            <v>0</v>
          </cell>
          <cell r="N570">
            <v>0</v>
          </cell>
          <cell r="O570">
            <v>18</v>
          </cell>
          <cell r="P570">
            <v>0.24</v>
          </cell>
          <cell r="Q570">
            <v>103.28</v>
          </cell>
          <cell r="R570">
            <v>108.44</v>
          </cell>
          <cell r="S570">
            <v>0</v>
          </cell>
          <cell r="T570">
            <v>0</v>
          </cell>
        </row>
        <row r="571">
          <cell r="A571">
            <v>3590</v>
          </cell>
          <cell r="B571">
            <v>21</v>
          </cell>
          <cell r="C571" t="str">
            <v>PAO DE QUEIJO MINI BISCOITO DE PROVOLONE FORNERIA 8X1KG</v>
          </cell>
          <cell r="D571">
            <v>3837.18</v>
          </cell>
          <cell r="E571">
            <v>0.02</v>
          </cell>
          <cell r="F571">
            <v>30</v>
          </cell>
          <cell r="G571">
            <v>0</v>
          </cell>
          <cell r="H571">
            <v>0</v>
          </cell>
          <cell r="I571">
            <v>0</v>
          </cell>
          <cell r="J571">
            <v>3288.4</v>
          </cell>
          <cell r="K571">
            <v>0.01</v>
          </cell>
          <cell r="L571">
            <v>0</v>
          </cell>
          <cell r="M571">
            <v>0</v>
          </cell>
          <cell r="N571">
            <v>0</v>
          </cell>
          <cell r="O571">
            <v>14</v>
          </cell>
          <cell r="P571">
            <v>0.19</v>
          </cell>
          <cell r="Q571">
            <v>240</v>
          </cell>
          <cell r="R571">
            <v>168</v>
          </cell>
          <cell r="S571">
            <v>0</v>
          </cell>
          <cell r="T571">
            <v>0</v>
          </cell>
        </row>
        <row r="572">
          <cell r="A572">
            <v>3133</v>
          </cell>
          <cell r="B572">
            <v>21</v>
          </cell>
          <cell r="C572" t="str">
            <v>QUEIJO COALHO ESPETO SCALA CX/16X285GR</v>
          </cell>
          <cell r="D572">
            <v>4322.99</v>
          </cell>
          <cell r="E572">
            <v>0.03</v>
          </cell>
          <cell r="F572">
            <v>20</v>
          </cell>
          <cell r="G572">
            <v>0</v>
          </cell>
          <cell r="H572">
            <v>0</v>
          </cell>
          <cell r="I572">
            <v>0</v>
          </cell>
          <cell r="J572">
            <v>5659.12</v>
          </cell>
          <cell r="K572">
            <v>0.02</v>
          </cell>
          <cell r="L572">
            <v>270.48</v>
          </cell>
          <cell r="M572">
            <v>0.16</v>
          </cell>
          <cell r="N572">
            <v>1</v>
          </cell>
          <cell r="O572">
            <v>17</v>
          </cell>
          <cell r="P572">
            <v>0.23</v>
          </cell>
          <cell r="Q572">
            <v>91.2</v>
          </cell>
          <cell r="R572">
            <v>95.76</v>
          </cell>
          <cell r="S572">
            <v>0</v>
          </cell>
          <cell r="T572">
            <v>4.5599999999999996</v>
          </cell>
        </row>
        <row r="573">
          <cell r="A573">
            <v>742</v>
          </cell>
          <cell r="B573">
            <v>21</v>
          </cell>
          <cell r="C573" t="str">
            <v>SUCO NECTAR MARACUJA TIAL CX 12X1LT</v>
          </cell>
          <cell r="D573">
            <v>4845</v>
          </cell>
          <cell r="E573">
            <v>0.03</v>
          </cell>
          <cell r="F573">
            <v>85</v>
          </cell>
          <cell r="G573">
            <v>0</v>
          </cell>
          <cell r="H573">
            <v>0</v>
          </cell>
          <cell r="I573">
            <v>0</v>
          </cell>
          <cell r="J573">
            <v>1442.85</v>
          </cell>
          <cell r="K573">
            <v>0.01</v>
          </cell>
          <cell r="L573">
            <v>0</v>
          </cell>
          <cell r="M573">
            <v>0</v>
          </cell>
          <cell r="N573">
            <v>0</v>
          </cell>
          <cell r="O573">
            <v>21</v>
          </cell>
          <cell r="P573">
            <v>0.28000000000000003</v>
          </cell>
          <cell r="Q573">
            <v>1020</v>
          </cell>
          <cell r="R573">
            <v>252</v>
          </cell>
          <cell r="S573">
            <v>0</v>
          </cell>
          <cell r="T573">
            <v>0</v>
          </cell>
        </row>
        <row r="574">
          <cell r="A574">
            <v>3814</v>
          </cell>
          <cell r="B574">
            <v>20</v>
          </cell>
          <cell r="C574" t="str">
            <v>BANHA AURORA CX\15X1KG</v>
          </cell>
          <cell r="D574">
            <v>26415</v>
          </cell>
          <cell r="E574">
            <v>0.17</v>
          </cell>
          <cell r="F574">
            <v>150</v>
          </cell>
          <cell r="G574">
            <v>0</v>
          </cell>
          <cell r="H574">
            <v>0</v>
          </cell>
          <cell r="I574">
            <v>0</v>
          </cell>
          <cell r="J574">
            <v>3451.12</v>
          </cell>
          <cell r="K574">
            <v>0.02</v>
          </cell>
          <cell r="L574">
            <v>0</v>
          </cell>
          <cell r="M574">
            <v>0</v>
          </cell>
          <cell r="N574">
            <v>0</v>
          </cell>
          <cell r="O574">
            <v>12</v>
          </cell>
          <cell r="P574">
            <v>0.16</v>
          </cell>
          <cell r="Q574">
            <v>2250</v>
          </cell>
          <cell r="R574">
            <v>300</v>
          </cell>
          <cell r="S574">
            <v>0</v>
          </cell>
          <cell r="T574">
            <v>0</v>
          </cell>
        </row>
        <row r="575">
          <cell r="A575">
            <v>408</v>
          </cell>
          <cell r="B575">
            <v>20</v>
          </cell>
          <cell r="C575" t="str">
            <v>COXINHA EMPANADA SEARA CX/5X900GR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1566.14</v>
          </cell>
          <cell r="K575">
            <v>0.01</v>
          </cell>
          <cell r="L575">
            <v>0</v>
          </cell>
          <cell r="M575">
            <v>0</v>
          </cell>
          <cell r="N575">
            <v>0</v>
          </cell>
          <cell r="O575">
            <v>10</v>
          </cell>
          <cell r="P575">
            <v>0.13</v>
          </cell>
          <cell r="Q575">
            <v>0</v>
          </cell>
          <cell r="R575">
            <v>90</v>
          </cell>
          <cell r="S575">
            <v>0</v>
          </cell>
          <cell r="T575">
            <v>0</v>
          </cell>
        </row>
        <row r="576">
          <cell r="A576">
            <v>549</v>
          </cell>
          <cell r="B576">
            <v>20</v>
          </cell>
          <cell r="C576" t="str">
            <v>FRANGO CAIPIRA CORTADO NHO BENTO CX/18KG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5949.92</v>
          </cell>
          <cell r="K576">
            <v>0.03</v>
          </cell>
          <cell r="L576">
            <v>0</v>
          </cell>
          <cell r="M576">
            <v>0</v>
          </cell>
          <cell r="N576">
            <v>0</v>
          </cell>
          <cell r="O576">
            <v>13</v>
          </cell>
          <cell r="P576">
            <v>0.18</v>
          </cell>
          <cell r="Q576">
            <v>0</v>
          </cell>
          <cell r="R576">
            <v>360</v>
          </cell>
          <cell r="S576">
            <v>0</v>
          </cell>
          <cell r="T576">
            <v>0</v>
          </cell>
        </row>
        <row r="577">
          <cell r="A577">
            <v>4127</v>
          </cell>
          <cell r="B577">
            <v>20</v>
          </cell>
          <cell r="C577" t="str">
            <v>LING FRANGO PETISCO LAR CX\20X700GR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4198.38</v>
          </cell>
          <cell r="K577">
            <v>0.02</v>
          </cell>
          <cell r="L577">
            <v>209.91</v>
          </cell>
          <cell r="M577">
            <v>0.12</v>
          </cell>
          <cell r="N577">
            <v>1</v>
          </cell>
          <cell r="O577">
            <v>15</v>
          </cell>
          <cell r="P577">
            <v>0.2</v>
          </cell>
          <cell r="Q577">
            <v>0</v>
          </cell>
          <cell r="R577">
            <v>280</v>
          </cell>
          <cell r="S577">
            <v>0</v>
          </cell>
          <cell r="T577">
            <v>14</v>
          </cell>
        </row>
        <row r="578">
          <cell r="A578">
            <v>668</v>
          </cell>
          <cell r="B578">
            <v>20</v>
          </cell>
          <cell r="C578" t="str">
            <v>MOLHO BARBECUE D'MAIS  SACHE CX\150X7G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304.42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3</v>
          </cell>
          <cell r="P578">
            <v>0.04</v>
          </cell>
          <cell r="Q578">
            <v>0</v>
          </cell>
          <cell r="R578">
            <v>30</v>
          </cell>
          <cell r="S578">
            <v>0</v>
          </cell>
          <cell r="T578">
            <v>0</v>
          </cell>
        </row>
        <row r="579">
          <cell r="A579">
            <v>744</v>
          </cell>
          <cell r="B579">
            <v>20</v>
          </cell>
          <cell r="C579" t="str">
            <v>SUCO NECTAR PESSEGO TIAL CX/12X1LT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1374.54</v>
          </cell>
          <cell r="K579">
            <v>0.01</v>
          </cell>
          <cell r="L579">
            <v>0</v>
          </cell>
          <cell r="M579">
            <v>0</v>
          </cell>
          <cell r="N579">
            <v>0</v>
          </cell>
          <cell r="O579">
            <v>19</v>
          </cell>
          <cell r="P579">
            <v>0.26</v>
          </cell>
          <cell r="Q579">
            <v>0</v>
          </cell>
          <cell r="R579">
            <v>240</v>
          </cell>
          <cell r="S579">
            <v>0</v>
          </cell>
          <cell r="T579">
            <v>0</v>
          </cell>
        </row>
        <row r="580">
          <cell r="A580">
            <v>756</v>
          </cell>
          <cell r="B580">
            <v>20</v>
          </cell>
          <cell r="C580" t="str">
            <v>TORRESMO UAI DAS GERAIS CX\20X60GR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1790.1</v>
          </cell>
          <cell r="K580">
            <v>0.01</v>
          </cell>
          <cell r="L580">
            <v>81.5</v>
          </cell>
          <cell r="M580">
            <v>0.05</v>
          </cell>
          <cell r="N580">
            <v>1</v>
          </cell>
          <cell r="O580">
            <v>19</v>
          </cell>
          <cell r="P580">
            <v>0.26</v>
          </cell>
          <cell r="Q580">
            <v>0</v>
          </cell>
          <cell r="R580">
            <v>24</v>
          </cell>
          <cell r="S580">
            <v>0</v>
          </cell>
          <cell r="T580">
            <v>1.2</v>
          </cell>
        </row>
        <row r="581">
          <cell r="A581">
            <v>3689</v>
          </cell>
          <cell r="B581">
            <v>19</v>
          </cell>
          <cell r="C581" t="str">
            <v>BARRA CEREAL COCO CHOCOLATE NUTRY 24X22G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636.48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16</v>
          </cell>
          <cell r="P581">
            <v>0.22</v>
          </cell>
          <cell r="Q581">
            <v>0</v>
          </cell>
          <cell r="R581">
            <v>10.029999999999999</v>
          </cell>
          <cell r="S581">
            <v>0</v>
          </cell>
          <cell r="T581">
            <v>0</v>
          </cell>
        </row>
        <row r="582">
          <cell r="A582">
            <v>2001</v>
          </cell>
          <cell r="B582">
            <v>19</v>
          </cell>
          <cell r="C582" t="str">
            <v>CORACAO FRANGO TEMP LAR CX\26X700G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10753.47</v>
          </cell>
          <cell r="K582">
            <v>0.05</v>
          </cell>
          <cell r="L582">
            <v>575.6</v>
          </cell>
          <cell r="M582">
            <v>0.33</v>
          </cell>
          <cell r="N582">
            <v>1</v>
          </cell>
          <cell r="O582">
            <v>16</v>
          </cell>
          <cell r="P582">
            <v>0.22</v>
          </cell>
          <cell r="Q582">
            <v>0</v>
          </cell>
          <cell r="R582">
            <v>345.8</v>
          </cell>
          <cell r="S582">
            <v>0</v>
          </cell>
          <cell r="T582">
            <v>18.2</v>
          </cell>
        </row>
        <row r="583">
          <cell r="A583">
            <v>4180</v>
          </cell>
          <cell r="B583">
            <v>19</v>
          </cell>
          <cell r="C583" t="str">
            <v>COXINHA DA ASA PCT TEMP C VALE CX 18X1KG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3966.06</v>
          </cell>
          <cell r="K583">
            <v>0.02</v>
          </cell>
          <cell r="L583">
            <v>0</v>
          </cell>
          <cell r="M583">
            <v>0</v>
          </cell>
          <cell r="N583">
            <v>0</v>
          </cell>
          <cell r="O583">
            <v>17</v>
          </cell>
          <cell r="P583">
            <v>0.23</v>
          </cell>
          <cell r="Q583">
            <v>0</v>
          </cell>
          <cell r="R583">
            <v>342</v>
          </cell>
          <cell r="S583">
            <v>0</v>
          </cell>
          <cell r="T583">
            <v>0</v>
          </cell>
        </row>
        <row r="584">
          <cell r="A584">
            <v>936</v>
          </cell>
          <cell r="B584">
            <v>19</v>
          </cell>
          <cell r="C584" t="str">
            <v>FILE COXA\SOBRECOXA BDJ SEARA 12X1KG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3532.19</v>
          </cell>
          <cell r="K584">
            <v>0.02</v>
          </cell>
          <cell r="L584">
            <v>185.91</v>
          </cell>
          <cell r="M584">
            <v>0.11</v>
          </cell>
          <cell r="N584">
            <v>1</v>
          </cell>
          <cell r="O584">
            <v>12</v>
          </cell>
          <cell r="P584">
            <v>0.16</v>
          </cell>
          <cell r="Q584">
            <v>0</v>
          </cell>
          <cell r="R584">
            <v>228</v>
          </cell>
          <cell r="S584">
            <v>0</v>
          </cell>
          <cell r="T584">
            <v>12</v>
          </cell>
        </row>
        <row r="585">
          <cell r="A585">
            <v>4189</v>
          </cell>
          <cell r="B585">
            <v>19</v>
          </cell>
          <cell r="C585" t="str">
            <v>FILEZINHO DE PEITO BDJ PIF PAF CX\12X1KG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4138.08</v>
          </cell>
          <cell r="K585">
            <v>0.02</v>
          </cell>
          <cell r="L585">
            <v>0</v>
          </cell>
          <cell r="M585">
            <v>0</v>
          </cell>
          <cell r="N585">
            <v>0</v>
          </cell>
          <cell r="O585">
            <v>12</v>
          </cell>
          <cell r="P585">
            <v>0.16</v>
          </cell>
          <cell r="Q585">
            <v>0</v>
          </cell>
          <cell r="R585">
            <v>228</v>
          </cell>
          <cell r="S585">
            <v>0</v>
          </cell>
          <cell r="T585">
            <v>0</v>
          </cell>
        </row>
        <row r="586">
          <cell r="A586">
            <v>1606</v>
          </cell>
          <cell r="B586">
            <v>19</v>
          </cell>
          <cell r="C586" t="str">
            <v>GALO GORDO NOROESTE CX/18KG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2332.33</v>
          </cell>
          <cell r="K586">
            <v>0.01</v>
          </cell>
          <cell r="L586">
            <v>0</v>
          </cell>
          <cell r="M586">
            <v>0</v>
          </cell>
          <cell r="N586">
            <v>0</v>
          </cell>
          <cell r="O586">
            <v>15</v>
          </cell>
          <cell r="P586">
            <v>0.2</v>
          </cell>
          <cell r="Q586">
            <v>0</v>
          </cell>
          <cell r="R586">
            <v>342</v>
          </cell>
          <cell r="S586">
            <v>0</v>
          </cell>
          <cell r="T586">
            <v>0</v>
          </cell>
        </row>
        <row r="587">
          <cell r="A587">
            <v>300</v>
          </cell>
          <cell r="B587">
            <v>18</v>
          </cell>
          <cell r="C587" t="str">
            <v>COXINHA EMPANADA SEARA CX/12X400GR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3094</v>
          </cell>
          <cell r="K587">
            <v>0.01</v>
          </cell>
          <cell r="L587">
            <v>0</v>
          </cell>
          <cell r="M587">
            <v>0</v>
          </cell>
          <cell r="N587">
            <v>0</v>
          </cell>
          <cell r="O587">
            <v>15</v>
          </cell>
          <cell r="P587">
            <v>0.2</v>
          </cell>
          <cell r="Q587">
            <v>0</v>
          </cell>
          <cell r="R587">
            <v>86.4</v>
          </cell>
          <cell r="S587">
            <v>0</v>
          </cell>
          <cell r="T587">
            <v>0</v>
          </cell>
        </row>
        <row r="588">
          <cell r="A588">
            <v>580</v>
          </cell>
          <cell r="B588">
            <v>18</v>
          </cell>
          <cell r="C588" t="str">
            <v>ISCAS FRANGO EMPA APIMEN SEARA CX/16X300</v>
          </cell>
          <cell r="D588">
            <v>7341.6</v>
          </cell>
          <cell r="E588">
            <v>0.05</v>
          </cell>
          <cell r="F588">
            <v>50</v>
          </cell>
          <cell r="G588">
            <v>0</v>
          </cell>
          <cell r="H588">
            <v>0</v>
          </cell>
          <cell r="I588">
            <v>0</v>
          </cell>
          <cell r="J588">
            <v>3172.51</v>
          </cell>
          <cell r="K588">
            <v>0.01</v>
          </cell>
          <cell r="L588">
            <v>0</v>
          </cell>
          <cell r="M588">
            <v>0</v>
          </cell>
          <cell r="N588">
            <v>0</v>
          </cell>
          <cell r="O588">
            <v>18</v>
          </cell>
          <cell r="P588">
            <v>0.24</v>
          </cell>
          <cell r="Q588">
            <v>240</v>
          </cell>
          <cell r="R588">
            <v>86.4</v>
          </cell>
          <cell r="S588">
            <v>0</v>
          </cell>
          <cell r="T588">
            <v>0</v>
          </cell>
        </row>
        <row r="589">
          <cell r="A589">
            <v>3245</v>
          </cell>
          <cell r="B589">
            <v>18</v>
          </cell>
          <cell r="C589" t="str">
            <v>LING CHIMICHURRI SEARA CX/30X600GR</v>
          </cell>
          <cell r="D589">
            <v>6426</v>
          </cell>
          <cell r="E589">
            <v>0.04</v>
          </cell>
          <cell r="F589">
            <v>30</v>
          </cell>
          <cell r="G589">
            <v>0</v>
          </cell>
          <cell r="H589">
            <v>0</v>
          </cell>
          <cell r="I589">
            <v>0</v>
          </cell>
          <cell r="J589">
            <v>5269.89</v>
          </cell>
          <cell r="K589">
            <v>0.02</v>
          </cell>
          <cell r="L589">
            <v>293.8</v>
          </cell>
          <cell r="M589">
            <v>0.17</v>
          </cell>
          <cell r="N589">
            <v>1</v>
          </cell>
          <cell r="O589">
            <v>14</v>
          </cell>
          <cell r="P589">
            <v>0.19</v>
          </cell>
          <cell r="Q589">
            <v>540</v>
          </cell>
          <cell r="R589">
            <v>324</v>
          </cell>
          <cell r="S589">
            <v>0</v>
          </cell>
          <cell r="T589">
            <v>18</v>
          </cell>
        </row>
        <row r="590">
          <cell r="A590">
            <v>4102</v>
          </cell>
          <cell r="B590">
            <v>18</v>
          </cell>
          <cell r="C590" t="str">
            <v>MAIONESE SOYA BALDE 3KG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507.27</v>
          </cell>
          <cell r="K590">
            <v>0</v>
          </cell>
          <cell r="L590">
            <v>23.9</v>
          </cell>
          <cell r="M590">
            <v>0.01</v>
          </cell>
          <cell r="N590">
            <v>1</v>
          </cell>
          <cell r="O590">
            <v>8</v>
          </cell>
          <cell r="P590">
            <v>0.11</v>
          </cell>
          <cell r="Q590">
            <v>0</v>
          </cell>
          <cell r="R590">
            <v>54</v>
          </cell>
          <cell r="S590">
            <v>0</v>
          </cell>
          <cell r="T590">
            <v>3</v>
          </cell>
        </row>
        <row r="591">
          <cell r="A591">
            <v>679</v>
          </cell>
          <cell r="B591">
            <v>18</v>
          </cell>
          <cell r="C591" t="str">
            <v>MORTADELA PIF PAF CX\23X400GR</v>
          </cell>
          <cell r="D591">
            <v>1673.79</v>
          </cell>
          <cell r="E591">
            <v>0.01</v>
          </cell>
          <cell r="F591">
            <v>20</v>
          </cell>
          <cell r="G591">
            <v>0</v>
          </cell>
          <cell r="H591">
            <v>0</v>
          </cell>
          <cell r="I591">
            <v>0</v>
          </cell>
          <cell r="J591">
            <v>1854.3</v>
          </cell>
          <cell r="K591">
            <v>0.01</v>
          </cell>
          <cell r="L591">
            <v>102.9</v>
          </cell>
          <cell r="M591">
            <v>0.06</v>
          </cell>
          <cell r="N591">
            <v>1</v>
          </cell>
          <cell r="O591">
            <v>15</v>
          </cell>
          <cell r="P591">
            <v>0.2</v>
          </cell>
          <cell r="Q591">
            <v>184</v>
          </cell>
          <cell r="R591">
            <v>165.6</v>
          </cell>
          <cell r="S591">
            <v>0</v>
          </cell>
          <cell r="T591">
            <v>9.1999999999999993</v>
          </cell>
        </row>
        <row r="592">
          <cell r="A592">
            <v>4132</v>
          </cell>
          <cell r="B592">
            <v>18</v>
          </cell>
          <cell r="C592" t="str">
            <v>PAO DE QUEIJO LEVE MINAS TRADICIONAL CX\12X1KG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3616.2</v>
          </cell>
          <cell r="K592">
            <v>0.02</v>
          </cell>
          <cell r="L592">
            <v>0</v>
          </cell>
          <cell r="M592">
            <v>0</v>
          </cell>
          <cell r="N592">
            <v>0</v>
          </cell>
          <cell r="O592">
            <v>7</v>
          </cell>
          <cell r="P592">
            <v>0.09</v>
          </cell>
          <cell r="Q592">
            <v>0</v>
          </cell>
          <cell r="R592">
            <v>216</v>
          </cell>
          <cell r="S592">
            <v>0</v>
          </cell>
          <cell r="T592">
            <v>0</v>
          </cell>
        </row>
        <row r="593">
          <cell r="A593">
            <v>111</v>
          </cell>
          <cell r="B593">
            <v>18</v>
          </cell>
          <cell r="C593" t="str">
            <v>TOUCINHO SUINO PICADO PALADAR CX\20X1KG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8988.94</v>
          </cell>
          <cell r="K593">
            <v>0.04</v>
          </cell>
          <cell r="L593">
            <v>498.82</v>
          </cell>
          <cell r="M593">
            <v>0.28999999999999998</v>
          </cell>
          <cell r="N593">
            <v>1</v>
          </cell>
          <cell r="O593">
            <v>14</v>
          </cell>
          <cell r="P593">
            <v>0.19</v>
          </cell>
          <cell r="Q593">
            <v>0</v>
          </cell>
          <cell r="R593">
            <v>360</v>
          </cell>
          <cell r="S593">
            <v>0</v>
          </cell>
          <cell r="T593">
            <v>20</v>
          </cell>
        </row>
        <row r="594">
          <cell r="A594">
            <v>226</v>
          </cell>
          <cell r="B594">
            <v>17</v>
          </cell>
          <cell r="C594" t="str">
            <v>AMEIXA S/CAROCO SACHE TOZZI 24X70GR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1334.77</v>
          </cell>
          <cell r="K594">
            <v>0.01</v>
          </cell>
          <cell r="L594">
            <v>0</v>
          </cell>
          <cell r="M594">
            <v>0</v>
          </cell>
          <cell r="N594">
            <v>0</v>
          </cell>
          <cell r="O594">
            <v>17</v>
          </cell>
          <cell r="P594">
            <v>0.23</v>
          </cell>
          <cell r="Q594">
            <v>0</v>
          </cell>
          <cell r="R594">
            <v>34</v>
          </cell>
          <cell r="S594">
            <v>0</v>
          </cell>
          <cell r="T594">
            <v>0</v>
          </cell>
        </row>
        <row r="595">
          <cell r="A595">
            <v>1051</v>
          </cell>
          <cell r="B595">
            <v>17</v>
          </cell>
          <cell r="C595" t="str">
            <v>BACON FATIAS 2,4MM GOURMET SEARA 2,5KG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2074.96</v>
          </cell>
          <cell r="K595">
            <v>0.01</v>
          </cell>
          <cell r="L595">
            <v>0</v>
          </cell>
          <cell r="M595">
            <v>0</v>
          </cell>
          <cell r="N595">
            <v>0</v>
          </cell>
          <cell r="O595">
            <v>8</v>
          </cell>
          <cell r="P595">
            <v>0.11</v>
          </cell>
          <cell r="Q595">
            <v>0</v>
          </cell>
          <cell r="R595">
            <v>42.5</v>
          </cell>
          <cell r="S595">
            <v>0</v>
          </cell>
          <cell r="T595">
            <v>0</v>
          </cell>
        </row>
        <row r="596">
          <cell r="A596">
            <v>3936</v>
          </cell>
          <cell r="B596">
            <v>17</v>
          </cell>
          <cell r="C596" t="str">
            <v>BATATA CHIPS BRASA MOMENTOS CX\26X90G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2032.41</v>
          </cell>
          <cell r="K596">
            <v>0.01</v>
          </cell>
          <cell r="L596">
            <v>0</v>
          </cell>
          <cell r="M596">
            <v>0</v>
          </cell>
          <cell r="N596">
            <v>0</v>
          </cell>
          <cell r="O596">
            <v>16</v>
          </cell>
          <cell r="P596">
            <v>0.22</v>
          </cell>
          <cell r="Q596">
            <v>0</v>
          </cell>
          <cell r="R596">
            <v>39.78</v>
          </cell>
          <cell r="S596">
            <v>0</v>
          </cell>
          <cell r="T596">
            <v>0</v>
          </cell>
        </row>
        <row r="597">
          <cell r="A597">
            <v>560</v>
          </cell>
          <cell r="B597">
            <v>17</v>
          </cell>
          <cell r="C597" t="str">
            <v>GALO GORDO BIP CX/18KG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1831.2</v>
          </cell>
          <cell r="K597">
            <v>0.01</v>
          </cell>
          <cell r="L597">
            <v>0</v>
          </cell>
          <cell r="M597">
            <v>0</v>
          </cell>
          <cell r="N597">
            <v>0</v>
          </cell>
          <cell r="O597">
            <v>15</v>
          </cell>
          <cell r="P597">
            <v>0.2</v>
          </cell>
          <cell r="Q597">
            <v>0</v>
          </cell>
          <cell r="R597">
            <v>306</v>
          </cell>
          <cell r="S597">
            <v>0</v>
          </cell>
          <cell r="T597">
            <v>0</v>
          </cell>
        </row>
        <row r="598">
          <cell r="A598">
            <v>4313</v>
          </cell>
          <cell r="B598">
            <v>17</v>
          </cell>
          <cell r="C598" t="str">
            <v>IOGURTE POUCH TURMA MILK FD\30X100GR</v>
          </cell>
          <cell r="D598">
            <v>1330.88</v>
          </cell>
          <cell r="E598">
            <v>0.01</v>
          </cell>
          <cell r="F598">
            <v>55</v>
          </cell>
          <cell r="G598">
            <v>0</v>
          </cell>
          <cell r="H598">
            <v>0</v>
          </cell>
          <cell r="I598">
            <v>0</v>
          </cell>
          <cell r="J598">
            <v>505.4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15</v>
          </cell>
          <cell r="P598">
            <v>0.2</v>
          </cell>
          <cell r="Q598">
            <v>99</v>
          </cell>
          <cell r="R598">
            <v>30.6</v>
          </cell>
          <cell r="S598">
            <v>0</v>
          </cell>
          <cell r="T598">
            <v>0</v>
          </cell>
        </row>
        <row r="599">
          <cell r="A599">
            <v>3249</v>
          </cell>
          <cell r="B599">
            <v>17</v>
          </cell>
          <cell r="C599" t="str">
            <v>LING TOSCANA SEARA CX/30X600GR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4631.1000000000004</v>
          </cell>
          <cell r="K599">
            <v>0.02</v>
          </cell>
          <cell r="L599">
            <v>0</v>
          </cell>
          <cell r="M599">
            <v>0</v>
          </cell>
          <cell r="N599">
            <v>0</v>
          </cell>
          <cell r="O599">
            <v>16</v>
          </cell>
          <cell r="P599">
            <v>0.22</v>
          </cell>
          <cell r="Q599">
            <v>0</v>
          </cell>
          <cell r="R599">
            <v>306</v>
          </cell>
          <cell r="S599">
            <v>0</v>
          </cell>
          <cell r="T599">
            <v>0</v>
          </cell>
        </row>
        <row r="600">
          <cell r="A600">
            <v>3479</v>
          </cell>
          <cell r="B600">
            <v>17</v>
          </cell>
          <cell r="C600" t="str">
            <v>MAIONESE SOYA PET CX/12X500GR</v>
          </cell>
          <cell r="D600">
            <v>1816.8</v>
          </cell>
          <cell r="E600">
            <v>0.01</v>
          </cell>
          <cell r="F600">
            <v>40</v>
          </cell>
          <cell r="G600">
            <v>0</v>
          </cell>
          <cell r="H600">
            <v>0</v>
          </cell>
          <cell r="I600">
            <v>0</v>
          </cell>
          <cell r="J600">
            <v>912.33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15</v>
          </cell>
          <cell r="P600">
            <v>0.2</v>
          </cell>
          <cell r="Q600">
            <v>240</v>
          </cell>
          <cell r="R600">
            <v>102</v>
          </cell>
          <cell r="S600">
            <v>0</v>
          </cell>
          <cell r="T600">
            <v>0</v>
          </cell>
        </row>
        <row r="601">
          <cell r="A601">
            <v>3642</v>
          </cell>
          <cell r="B601">
            <v>17</v>
          </cell>
          <cell r="C601" t="str">
            <v>MAIONESE SOYA SACHE CX24X200GR</v>
          </cell>
          <cell r="D601">
            <v>1144.8</v>
          </cell>
          <cell r="E601">
            <v>0.01</v>
          </cell>
          <cell r="F601">
            <v>30</v>
          </cell>
          <cell r="G601">
            <v>0</v>
          </cell>
          <cell r="H601">
            <v>0</v>
          </cell>
          <cell r="I601">
            <v>0</v>
          </cell>
          <cell r="J601">
            <v>770.04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14</v>
          </cell>
          <cell r="P601">
            <v>0.19</v>
          </cell>
          <cell r="Q601">
            <v>144</v>
          </cell>
          <cell r="R601">
            <v>81.599999999999994</v>
          </cell>
          <cell r="S601">
            <v>0</v>
          </cell>
          <cell r="T601">
            <v>0</v>
          </cell>
        </row>
        <row r="602">
          <cell r="A602">
            <v>3995</v>
          </cell>
          <cell r="B602">
            <v>17</v>
          </cell>
          <cell r="C602" t="str">
            <v>PAO DE QUEIJO C\CARNE SECA FORNERIA CX\20X400GR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4495.7</v>
          </cell>
          <cell r="K602">
            <v>0.02</v>
          </cell>
          <cell r="L602">
            <v>0</v>
          </cell>
          <cell r="M602">
            <v>0</v>
          </cell>
          <cell r="N602">
            <v>0</v>
          </cell>
          <cell r="O602">
            <v>13</v>
          </cell>
          <cell r="P602">
            <v>0.18</v>
          </cell>
          <cell r="Q602">
            <v>0</v>
          </cell>
          <cell r="R602">
            <v>136</v>
          </cell>
          <cell r="S602">
            <v>0</v>
          </cell>
          <cell r="T602">
            <v>0</v>
          </cell>
        </row>
        <row r="603">
          <cell r="A603">
            <v>695</v>
          </cell>
          <cell r="B603">
            <v>17</v>
          </cell>
          <cell r="C603" t="str">
            <v>PEITO FRANGO ENVELOPADO REAL CX\18KG</v>
          </cell>
          <cell r="D603">
            <v>29477.11</v>
          </cell>
          <cell r="E603">
            <v>0.19</v>
          </cell>
          <cell r="F603">
            <v>222</v>
          </cell>
          <cell r="G603">
            <v>0</v>
          </cell>
          <cell r="H603">
            <v>0</v>
          </cell>
          <cell r="I603">
            <v>0</v>
          </cell>
          <cell r="J603">
            <v>2986.84</v>
          </cell>
          <cell r="K603">
            <v>0.01</v>
          </cell>
          <cell r="L603">
            <v>0</v>
          </cell>
          <cell r="M603">
            <v>0</v>
          </cell>
          <cell r="N603">
            <v>0</v>
          </cell>
          <cell r="O603">
            <v>14</v>
          </cell>
          <cell r="P603">
            <v>0.19</v>
          </cell>
          <cell r="Q603">
            <v>3996</v>
          </cell>
          <cell r="R603">
            <v>306</v>
          </cell>
          <cell r="S603">
            <v>0</v>
          </cell>
          <cell r="T603">
            <v>0</v>
          </cell>
        </row>
        <row r="604">
          <cell r="A604">
            <v>769</v>
          </cell>
          <cell r="B604">
            <v>16.73</v>
          </cell>
          <cell r="C604" t="str">
            <v>DOBRADINHA BOVINA FRIGODIAS KG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258.98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1</v>
          </cell>
          <cell r="P604">
            <v>0.01</v>
          </cell>
          <cell r="Q604">
            <v>0</v>
          </cell>
          <cell r="R604">
            <v>16.73</v>
          </cell>
          <cell r="S604">
            <v>0</v>
          </cell>
          <cell r="T604">
            <v>0</v>
          </cell>
        </row>
        <row r="605">
          <cell r="A605">
            <v>2919</v>
          </cell>
          <cell r="B605">
            <v>16</v>
          </cell>
          <cell r="C605" t="str">
            <v>KETCHUP PREDILECTA CX\24X200GR</v>
          </cell>
          <cell r="D605">
            <v>4066.3</v>
          </cell>
          <cell r="E605">
            <v>0.03</v>
          </cell>
          <cell r="F605">
            <v>50</v>
          </cell>
          <cell r="G605">
            <v>0</v>
          </cell>
          <cell r="H605">
            <v>0</v>
          </cell>
          <cell r="I605">
            <v>0</v>
          </cell>
          <cell r="J605">
            <v>1515.98</v>
          </cell>
          <cell r="K605">
            <v>0.01</v>
          </cell>
          <cell r="L605">
            <v>0</v>
          </cell>
          <cell r="M605">
            <v>0</v>
          </cell>
          <cell r="N605">
            <v>0</v>
          </cell>
          <cell r="O605">
            <v>17</v>
          </cell>
          <cell r="P605">
            <v>0.23</v>
          </cell>
          <cell r="Q605">
            <v>240</v>
          </cell>
          <cell r="R605">
            <v>76.8</v>
          </cell>
          <cell r="S605">
            <v>0</v>
          </cell>
          <cell r="T605">
            <v>0</v>
          </cell>
        </row>
        <row r="606">
          <cell r="A606">
            <v>1748</v>
          </cell>
          <cell r="B606">
            <v>16</v>
          </cell>
          <cell r="C606" t="str">
            <v>SAMBIQUIRA FRANGO ATALAIA CX/20KG</v>
          </cell>
          <cell r="D606">
            <v>5307.15</v>
          </cell>
          <cell r="E606">
            <v>0.03</v>
          </cell>
          <cell r="F606">
            <v>101</v>
          </cell>
          <cell r="G606">
            <v>0</v>
          </cell>
          <cell r="H606">
            <v>0</v>
          </cell>
          <cell r="I606">
            <v>0</v>
          </cell>
          <cell r="J606">
            <v>1279.55</v>
          </cell>
          <cell r="K606">
            <v>0.01</v>
          </cell>
          <cell r="L606">
            <v>0</v>
          </cell>
          <cell r="M606">
            <v>0</v>
          </cell>
          <cell r="N606">
            <v>0</v>
          </cell>
          <cell r="O606">
            <v>16</v>
          </cell>
          <cell r="P606">
            <v>0.22</v>
          </cell>
          <cell r="Q606">
            <v>2020</v>
          </cell>
          <cell r="R606">
            <v>320</v>
          </cell>
          <cell r="S606">
            <v>0</v>
          </cell>
          <cell r="T606">
            <v>0</v>
          </cell>
        </row>
        <row r="607">
          <cell r="A607">
            <v>1695</v>
          </cell>
          <cell r="B607">
            <v>15.04</v>
          </cell>
          <cell r="C607" t="str">
            <v>BACON PEDACOS SEARA KG</v>
          </cell>
          <cell r="D607">
            <v>1157.0899999999999</v>
          </cell>
          <cell r="E607">
            <v>0.01</v>
          </cell>
          <cell r="F607">
            <v>39.21</v>
          </cell>
          <cell r="G607">
            <v>0</v>
          </cell>
          <cell r="H607">
            <v>0</v>
          </cell>
          <cell r="I607">
            <v>0</v>
          </cell>
          <cell r="J607">
            <v>503.69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2</v>
          </cell>
          <cell r="P607">
            <v>0.03</v>
          </cell>
          <cell r="Q607">
            <v>39.21</v>
          </cell>
          <cell r="R607">
            <v>15.04</v>
          </cell>
          <cell r="S607">
            <v>0</v>
          </cell>
          <cell r="T607">
            <v>0</v>
          </cell>
        </row>
        <row r="608">
          <cell r="A608">
            <v>591</v>
          </cell>
          <cell r="B608">
            <v>15</v>
          </cell>
          <cell r="C608" t="str">
            <v>LASANHA CALABRESA SEARA CX\10X600GR</v>
          </cell>
          <cell r="D608">
            <v>2212.8000000000002</v>
          </cell>
          <cell r="E608">
            <v>0.01</v>
          </cell>
          <cell r="F608">
            <v>20</v>
          </cell>
          <cell r="G608">
            <v>0</v>
          </cell>
          <cell r="H608">
            <v>0</v>
          </cell>
          <cell r="I608">
            <v>0</v>
          </cell>
          <cell r="J608">
            <v>2036.16</v>
          </cell>
          <cell r="K608">
            <v>0.01</v>
          </cell>
          <cell r="L608">
            <v>134.26</v>
          </cell>
          <cell r="M608">
            <v>0.08</v>
          </cell>
          <cell r="N608">
            <v>1</v>
          </cell>
          <cell r="O608">
            <v>16</v>
          </cell>
          <cell r="P608">
            <v>0.22</v>
          </cell>
          <cell r="Q608">
            <v>120</v>
          </cell>
          <cell r="R608">
            <v>90</v>
          </cell>
          <cell r="S608">
            <v>0</v>
          </cell>
          <cell r="T608">
            <v>6</v>
          </cell>
        </row>
        <row r="609">
          <cell r="A609">
            <v>3623</v>
          </cell>
          <cell r="B609">
            <v>15</v>
          </cell>
          <cell r="C609" t="str">
            <v>MAIONESE PREDILECTA SACHE CX\24X200GR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815.1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12</v>
          </cell>
          <cell r="P609">
            <v>0.16</v>
          </cell>
          <cell r="Q609">
            <v>0</v>
          </cell>
          <cell r="R609">
            <v>72</v>
          </cell>
          <cell r="S609">
            <v>0</v>
          </cell>
          <cell r="T609">
            <v>0</v>
          </cell>
        </row>
        <row r="610">
          <cell r="A610">
            <v>4100</v>
          </cell>
          <cell r="B610">
            <v>15</v>
          </cell>
          <cell r="C610" t="str">
            <v>MARROM GLACE FLOW PACK PREDILECTA CX/24X350GR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1739.32</v>
          </cell>
          <cell r="K610">
            <v>0.01</v>
          </cell>
          <cell r="L610">
            <v>0</v>
          </cell>
          <cell r="M610">
            <v>0</v>
          </cell>
          <cell r="N610">
            <v>0</v>
          </cell>
          <cell r="O610">
            <v>14</v>
          </cell>
          <cell r="P610">
            <v>0.19</v>
          </cell>
          <cell r="Q610">
            <v>0</v>
          </cell>
          <cell r="R610">
            <v>126</v>
          </cell>
          <cell r="S610">
            <v>0</v>
          </cell>
          <cell r="T610">
            <v>0</v>
          </cell>
        </row>
        <row r="611">
          <cell r="A611">
            <v>4162</v>
          </cell>
          <cell r="B611">
            <v>15</v>
          </cell>
          <cell r="C611" t="str">
            <v>MEIO DA ASA TEMPERADO PIF PAF CX\24X700GR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6218.1</v>
          </cell>
          <cell r="K611">
            <v>0.03</v>
          </cell>
          <cell r="L611">
            <v>1243.6199999999999</v>
          </cell>
          <cell r="M611">
            <v>0.72</v>
          </cell>
          <cell r="N611">
            <v>3</v>
          </cell>
          <cell r="O611">
            <v>9</v>
          </cell>
          <cell r="P611">
            <v>0.12</v>
          </cell>
          <cell r="Q611">
            <v>0</v>
          </cell>
          <cell r="R611">
            <v>252</v>
          </cell>
          <cell r="S611">
            <v>0</v>
          </cell>
          <cell r="T611">
            <v>50.4</v>
          </cell>
        </row>
        <row r="612">
          <cell r="A612">
            <v>1159</v>
          </cell>
          <cell r="B612">
            <v>15</v>
          </cell>
          <cell r="C612" t="str">
            <v>MOLHO PIZZA SACHE SALSARETTI 32X300GR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1098.1600000000001</v>
          </cell>
          <cell r="K612">
            <v>0</v>
          </cell>
          <cell r="L612">
            <v>72.52</v>
          </cell>
          <cell r="M612">
            <v>0.04</v>
          </cell>
          <cell r="N612">
            <v>1</v>
          </cell>
          <cell r="O612">
            <v>14</v>
          </cell>
          <cell r="P612">
            <v>0.19</v>
          </cell>
          <cell r="Q612">
            <v>0</v>
          </cell>
          <cell r="R612">
            <v>144</v>
          </cell>
          <cell r="S612">
            <v>0</v>
          </cell>
          <cell r="T612">
            <v>9.6</v>
          </cell>
        </row>
        <row r="613">
          <cell r="A613">
            <v>279</v>
          </cell>
          <cell r="B613">
            <v>15</v>
          </cell>
          <cell r="C613" t="str">
            <v>MORTADELA FATIADA TRADICIONAL SEARA CX/22X180GR</v>
          </cell>
          <cell r="D613">
            <v>825.66</v>
          </cell>
          <cell r="E613">
            <v>0.01</v>
          </cell>
          <cell r="F613">
            <v>10</v>
          </cell>
          <cell r="G613">
            <v>0</v>
          </cell>
          <cell r="H613">
            <v>0</v>
          </cell>
          <cell r="I613">
            <v>0</v>
          </cell>
          <cell r="J613">
            <v>1503.48</v>
          </cell>
          <cell r="K613">
            <v>0.01</v>
          </cell>
          <cell r="L613">
            <v>0</v>
          </cell>
          <cell r="M613">
            <v>0</v>
          </cell>
          <cell r="N613">
            <v>0</v>
          </cell>
          <cell r="O613">
            <v>11</v>
          </cell>
          <cell r="P613">
            <v>0.15</v>
          </cell>
          <cell r="Q613">
            <v>39.6</v>
          </cell>
          <cell r="R613">
            <v>59.4</v>
          </cell>
          <cell r="S613">
            <v>0</v>
          </cell>
          <cell r="T613">
            <v>0</v>
          </cell>
        </row>
        <row r="614">
          <cell r="A614">
            <v>272</v>
          </cell>
          <cell r="B614">
            <v>15</v>
          </cell>
          <cell r="C614" t="str">
            <v>PEITO FRANGO DEFUMADO SEARA 2,571KG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1121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11</v>
          </cell>
          <cell r="P614">
            <v>0.15</v>
          </cell>
          <cell r="Q614">
            <v>0</v>
          </cell>
          <cell r="R614">
            <v>39</v>
          </cell>
          <cell r="S614">
            <v>0</v>
          </cell>
          <cell r="T614">
            <v>0</v>
          </cell>
        </row>
        <row r="615">
          <cell r="A615">
            <v>893</v>
          </cell>
          <cell r="B615">
            <v>15</v>
          </cell>
          <cell r="C615" t="str">
            <v>SALSICHA REZENDE CX/12X500GR</v>
          </cell>
          <cell r="D615">
            <v>1381.5</v>
          </cell>
          <cell r="E615">
            <v>0.01</v>
          </cell>
          <cell r="F615">
            <v>25</v>
          </cell>
          <cell r="G615">
            <v>0</v>
          </cell>
          <cell r="H615">
            <v>0</v>
          </cell>
          <cell r="I615">
            <v>0</v>
          </cell>
          <cell r="J615">
            <v>995.76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12</v>
          </cell>
          <cell r="P615">
            <v>0.16</v>
          </cell>
          <cell r="Q615">
            <v>150</v>
          </cell>
          <cell r="R615">
            <v>90</v>
          </cell>
          <cell r="S615">
            <v>0</v>
          </cell>
          <cell r="T615">
            <v>0</v>
          </cell>
        </row>
        <row r="616">
          <cell r="A616">
            <v>256</v>
          </cell>
          <cell r="B616">
            <v>15</v>
          </cell>
          <cell r="C616" t="str">
            <v>SALSICHA SEARA CX/12X500GR</v>
          </cell>
          <cell r="D616">
            <v>1719</v>
          </cell>
          <cell r="E616">
            <v>0.01</v>
          </cell>
          <cell r="F616">
            <v>25</v>
          </cell>
          <cell r="G616">
            <v>0</v>
          </cell>
          <cell r="H616">
            <v>0</v>
          </cell>
          <cell r="I616">
            <v>0</v>
          </cell>
          <cell r="J616">
            <v>1221.33</v>
          </cell>
          <cell r="K616">
            <v>0.01</v>
          </cell>
          <cell r="L616">
            <v>0</v>
          </cell>
          <cell r="M616">
            <v>0</v>
          </cell>
          <cell r="N616">
            <v>0</v>
          </cell>
          <cell r="O616">
            <v>14</v>
          </cell>
          <cell r="P616">
            <v>0.19</v>
          </cell>
          <cell r="Q616">
            <v>150</v>
          </cell>
          <cell r="R616">
            <v>90</v>
          </cell>
          <cell r="S616">
            <v>0</v>
          </cell>
          <cell r="T616">
            <v>0</v>
          </cell>
        </row>
        <row r="617">
          <cell r="A617">
            <v>145</v>
          </cell>
          <cell r="B617">
            <v>14</v>
          </cell>
          <cell r="C617" t="str">
            <v>GOIABADA CASCAO PREDILECTA CX\24X350G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1550.36</v>
          </cell>
          <cell r="K617">
            <v>0.01</v>
          </cell>
          <cell r="L617">
            <v>0</v>
          </cell>
          <cell r="M617">
            <v>0</v>
          </cell>
          <cell r="N617">
            <v>0</v>
          </cell>
          <cell r="O617">
            <v>13</v>
          </cell>
          <cell r="P617">
            <v>0.18</v>
          </cell>
          <cell r="Q617">
            <v>0</v>
          </cell>
          <cell r="R617">
            <v>117.6</v>
          </cell>
          <cell r="S617">
            <v>0</v>
          </cell>
          <cell r="T617">
            <v>0</v>
          </cell>
        </row>
        <row r="618">
          <cell r="A618">
            <v>3244</v>
          </cell>
          <cell r="B618">
            <v>14</v>
          </cell>
          <cell r="C618" t="str">
            <v>LING SUINA C\BACON SEARA CX/30X600GR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4390.3999999999996</v>
          </cell>
          <cell r="K618">
            <v>0.02</v>
          </cell>
          <cell r="L618">
            <v>313.60000000000002</v>
          </cell>
          <cell r="M618">
            <v>0.18</v>
          </cell>
          <cell r="N618">
            <v>1</v>
          </cell>
          <cell r="O618">
            <v>14</v>
          </cell>
          <cell r="P618">
            <v>0.19</v>
          </cell>
          <cell r="Q618">
            <v>0</v>
          </cell>
          <cell r="R618">
            <v>252</v>
          </cell>
          <cell r="S618">
            <v>0</v>
          </cell>
          <cell r="T618">
            <v>18</v>
          </cell>
        </row>
        <row r="619">
          <cell r="A619">
            <v>849</v>
          </cell>
          <cell r="B619">
            <v>14</v>
          </cell>
          <cell r="C619" t="str">
            <v>PIZZA MIX PIF PAF CX12X460GR</v>
          </cell>
          <cell r="D619">
            <v>2743.23</v>
          </cell>
          <cell r="E619">
            <v>0.02</v>
          </cell>
          <cell r="F619">
            <v>20</v>
          </cell>
          <cell r="G619">
            <v>0</v>
          </cell>
          <cell r="H619">
            <v>0</v>
          </cell>
          <cell r="I619">
            <v>0</v>
          </cell>
          <cell r="J619">
            <v>2466.62</v>
          </cell>
          <cell r="K619">
            <v>0.01</v>
          </cell>
          <cell r="L619">
            <v>0</v>
          </cell>
          <cell r="M619">
            <v>0</v>
          </cell>
          <cell r="N619">
            <v>0</v>
          </cell>
          <cell r="O619">
            <v>15</v>
          </cell>
          <cell r="P619">
            <v>0.2</v>
          </cell>
          <cell r="Q619">
            <v>120</v>
          </cell>
          <cell r="R619">
            <v>84</v>
          </cell>
          <cell r="S619">
            <v>0</v>
          </cell>
          <cell r="T619">
            <v>0</v>
          </cell>
        </row>
        <row r="620">
          <cell r="A620">
            <v>900</v>
          </cell>
          <cell r="B620">
            <v>14</v>
          </cell>
          <cell r="C620" t="str">
            <v>PRESUNTO LEBON FATIADO CX/22X180GR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1597.48</v>
          </cell>
          <cell r="K620">
            <v>0.01</v>
          </cell>
          <cell r="L620">
            <v>0</v>
          </cell>
          <cell r="M620">
            <v>0</v>
          </cell>
          <cell r="N620">
            <v>0</v>
          </cell>
          <cell r="O620">
            <v>11</v>
          </cell>
          <cell r="P620">
            <v>0.15</v>
          </cell>
          <cell r="Q620">
            <v>0</v>
          </cell>
          <cell r="R620">
            <v>55.44</v>
          </cell>
          <cell r="S620">
            <v>0</v>
          </cell>
          <cell r="T620">
            <v>0</v>
          </cell>
        </row>
        <row r="621">
          <cell r="A621">
            <v>318</v>
          </cell>
          <cell r="B621">
            <v>14</v>
          </cell>
          <cell r="C621" t="str">
            <v>SUCO NECTAR CAJU TIAL CX\12X1LT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960.51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14</v>
          </cell>
          <cell r="P621">
            <v>0.19</v>
          </cell>
          <cell r="Q621">
            <v>0</v>
          </cell>
          <cell r="R621">
            <v>168</v>
          </cell>
          <cell r="S621">
            <v>0</v>
          </cell>
          <cell r="T621">
            <v>0</v>
          </cell>
        </row>
        <row r="622">
          <cell r="A622">
            <v>306</v>
          </cell>
          <cell r="B622">
            <v>13</v>
          </cell>
          <cell r="C622" t="str">
            <v>BROCOLIS FLORETENATURE SEARA CX/16X300G</v>
          </cell>
          <cell r="D622">
            <v>1615.68</v>
          </cell>
          <cell r="E622">
            <v>0.01</v>
          </cell>
          <cell r="F622">
            <v>20</v>
          </cell>
          <cell r="G622">
            <v>0</v>
          </cell>
          <cell r="H622">
            <v>0</v>
          </cell>
          <cell r="I622">
            <v>0</v>
          </cell>
          <cell r="J622">
            <v>1258.32</v>
          </cell>
          <cell r="K622">
            <v>0.01</v>
          </cell>
          <cell r="L622">
            <v>0</v>
          </cell>
          <cell r="M622">
            <v>0</v>
          </cell>
          <cell r="N622">
            <v>0</v>
          </cell>
          <cell r="O622">
            <v>14</v>
          </cell>
          <cell r="P622">
            <v>0.19</v>
          </cell>
          <cell r="Q622">
            <v>96</v>
          </cell>
          <cell r="R622">
            <v>62.4</v>
          </cell>
          <cell r="S622">
            <v>0</v>
          </cell>
          <cell r="T622">
            <v>0</v>
          </cell>
        </row>
        <row r="623">
          <cell r="A623">
            <v>2784</v>
          </cell>
          <cell r="B623">
            <v>13</v>
          </cell>
          <cell r="C623" t="str">
            <v>COCO ADOÇADO DUCOCO 1KG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382.2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4</v>
          </cell>
          <cell r="P623">
            <v>0.05</v>
          </cell>
          <cell r="Q623">
            <v>0</v>
          </cell>
          <cell r="R623">
            <v>13</v>
          </cell>
          <cell r="S623">
            <v>0</v>
          </cell>
          <cell r="T623">
            <v>0</v>
          </cell>
        </row>
        <row r="624">
          <cell r="A624">
            <v>3409</v>
          </cell>
          <cell r="B624">
            <v>13</v>
          </cell>
          <cell r="C624" t="str">
            <v>CREME AVELA\CACAU TRIANGULO MINEIRO 12X300G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2000.58</v>
          </cell>
          <cell r="K624">
            <v>0.01</v>
          </cell>
          <cell r="L624">
            <v>0</v>
          </cell>
          <cell r="M624">
            <v>0</v>
          </cell>
          <cell r="N624">
            <v>0</v>
          </cell>
          <cell r="O624">
            <v>13</v>
          </cell>
          <cell r="P624">
            <v>0.18</v>
          </cell>
          <cell r="Q624">
            <v>0</v>
          </cell>
          <cell r="R624">
            <v>46.8</v>
          </cell>
          <cell r="S624">
            <v>0</v>
          </cell>
          <cell r="T624">
            <v>0</v>
          </cell>
        </row>
        <row r="625">
          <cell r="A625">
            <v>49</v>
          </cell>
          <cell r="B625">
            <v>13</v>
          </cell>
          <cell r="C625" t="str">
            <v>FILEZINHO SASSAMI BANDEJA AURORA CX\12KG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3107.24</v>
          </cell>
          <cell r="K625">
            <v>0.01</v>
          </cell>
          <cell r="L625">
            <v>0</v>
          </cell>
          <cell r="M625">
            <v>0</v>
          </cell>
          <cell r="N625">
            <v>0</v>
          </cell>
          <cell r="O625">
            <v>2</v>
          </cell>
          <cell r="P625">
            <v>0.03</v>
          </cell>
          <cell r="Q625">
            <v>0</v>
          </cell>
          <cell r="R625">
            <v>156</v>
          </cell>
          <cell r="S625">
            <v>0</v>
          </cell>
          <cell r="T625">
            <v>0</v>
          </cell>
        </row>
        <row r="626">
          <cell r="A626">
            <v>3351</v>
          </cell>
          <cell r="B626">
            <v>13</v>
          </cell>
          <cell r="C626" t="str">
            <v>FILEZINHO SASSAMI BDJ PERDIGAO  CX\12X1KG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2888.84</v>
          </cell>
          <cell r="K626">
            <v>0.01</v>
          </cell>
          <cell r="L626">
            <v>0</v>
          </cell>
          <cell r="M626">
            <v>0</v>
          </cell>
          <cell r="N626">
            <v>0</v>
          </cell>
          <cell r="O626">
            <v>10</v>
          </cell>
          <cell r="P626">
            <v>0.13</v>
          </cell>
          <cell r="Q626">
            <v>0</v>
          </cell>
          <cell r="R626">
            <v>156</v>
          </cell>
          <cell r="S626">
            <v>0</v>
          </cell>
          <cell r="T626">
            <v>0</v>
          </cell>
        </row>
        <row r="627">
          <cell r="A627">
            <v>3997</v>
          </cell>
          <cell r="B627">
            <v>13</v>
          </cell>
          <cell r="C627" t="str">
            <v>GALINHA PASSARINHO SABOROSA CX/20KG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2009.6</v>
          </cell>
          <cell r="K627">
            <v>0.01</v>
          </cell>
          <cell r="L627">
            <v>307.72000000000003</v>
          </cell>
          <cell r="M627">
            <v>0.18</v>
          </cell>
          <cell r="N627">
            <v>2</v>
          </cell>
          <cell r="O627">
            <v>8</v>
          </cell>
          <cell r="P627">
            <v>0.11</v>
          </cell>
          <cell r="Q627">
            <v>0</v>
          </cell>
          <cell r="R627">
            <v>260</v>
          </cell>
          <cell r="S627">
            <v>0</v>
          </cell>
          <cell r="T627">
            <v>40</v>
          </cell>
        </row>
        <row r="628">
          <cell r="A628">
            <v>4188</v>
          </cell>
          <cell r="B628">
            <v>13</v>
          </cell>
          <cell r="C628" t="str">
            <v>LEITE CONDENSADO CEMIL 2X5KG</v>
          </cell>
          <cell r="D628">
            <v>4280.63</v>
          </cell>
          <cell r="E628">
            <v>0.03</v>
          </cell>
          <cell r="F628">
            <v>30</v>
          </cell>
          <cell r="G628">
            <v>0</v>
          </cell>
          <cell r="H628">
            <v>0</v>
          </cell>
          <cell r="I628">
            <v>0</v>
          </cell>
          <cell r="J628">
            <v>2163.84</v>
          </cell>
          <cell r="K628">
            <v>0.01</v>
          </cell>
          <cell r="L628">
            <v>0</v>
          </cell>
          <cell r="M628">
            <v>0</v>
          </cell>
          <cell r="N628">
            <v>0</v>
          </cell>
          <cell r="O628">
            <v>11</v>
          </cell>
          <cell r="P628">
            <v>0.15</v>
          </cell>
          <cell r="Q628">
            <v>300</v>
          </cell>
          <cell r="R628">
            <v>130</v>
          </cell>
          <cell r="S628">
            <v>0</v>
          </cell>
          <cell r="T628">
            <v>0</v>
          </cell>
        </row>
        <row r="629">
          <cell r="A629">
            <v>643</v>
          </cell>
          <cell r="B629">
            <v>13</v>
          </cell>
          <cell r="C629" t="str">
            <v>MANTEIGA CRISTAULAT CX\6X500GR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1341.9</v>
          </cell>
          <cell r="K629">
            <v>0.01</v>
          </cell>
          <cell r="L629">
            <v>102.9</v>
          </cell>
          <cell r="M629">
            <v>0.06</v>
          </cell>
          <cell r="N629">
            <v>1</v>
          </cell>
          <cell r="O629">
            <v>13</v>
          </cell>
          <cell r="P629">
            <v>0.18</v>
          </cell>
          <cell r="Q629">
            <v>0</v>
          </cell>
          <cell r="R629">
            <v>39</v>
          </cell>
          <cell r="S629">
            <v>0</v>
          </cell>
          <cell r="T629">
            <v>3</v>
          </cell>
        </row>
        <row r="630">
          <cell r="A630">
            <v>280</v>
          </cell>
          <cell r="B630">
            <v>13</v>
          </cell>
          <cell r="C630" t="str">
            <v>MORTADELA BOLONHA SEARA CX/2X5KG COD 964</v>
          </cell>
          <cell r="D630">
            <v>972.77</v>
          </cell>
          <cell r="E630">
            <v>0.01</v>
          </cell>
          <cell r="F630">
            <v>20</v>
          </cell>
          <cell r="G630">
            <v>0</v>
          </cell>
          <cell r="H630">
            <v>0</v>
          </cell>
          <cell r="I630">
            <v>0</v>
          </cell>
          <cell r="J630">
            <v>741.3</v>
          </cell>
          <cell r="K630">
            <v>0</v>
          </cell>
          <cell r="L630">
            <v>58.8</v>
          </cell>
          <cell r="M630">
            <v>0.03</v>
          </cell>
          <cell r="N630">
            <v>1</v>
          </cell>
          <cell r="O630">
            <v>11</v>
          </cell>
          <cell r="P630">
            <v>0.15</v>
          </cell>
          <cell r="Q630">
            <v>100</v>
          </cell>
          <cell r="R630">
            <v>65</v>
          </cell>
          <cell r="S630">
            <v>0</v>
          </cell>
          <cell r="T630">
            <v>5</v>
          </cell>
        </row>
        <row r="631">
          <cell r="A631">
            <v>858</v>
          </cell>
          <cell r="B631">
            <v>13</v>
          </cell>
          <cell r="C631" t="str">
            <v>SOBRECOXA SEARA BANDEJA CX\12KG</v>
          </cell>
          <cell r="D631">
            <v>12840</v>
          </cell>
          <cell r="E631">
            <v>0.08</v>
          </cell>
          <cell r="F631">
            <v>100</v>
          </cell>
          <cell r="G631">
            <v>0</v>
          </cell>
          <cell r="H631">
            <v>0</v>
          </cell>
          <cell r="I631">
            <v>0</v>
          </cell>
          <cell r="J631">
            <v>1959.02</v>
          </cell>
          <cell r="K631">
            <v>0.01</v>
          </cell>
          <cell r="L631">
            <v>0</v>
          </cell>
          <cell r="M631">
            <v>0</v>
          </cell>
          <cell r="N631">
            <v>0</v>
          </cell>
          <cell r="O631">
            <v>11</v>
          </cell>
          <cell r="P631">
            <v>0.15</v>
          </cell>
          <cell r="Q631">
            <v>1200</v>
          </cell>
          <cell r="R631">
            <v>156</v>
          </cell>
          <cell r="S631">
            <v>0</v>
          </cell>
          <cell r="T631">
            <v>0</v>
          </cell>
        </row>
        <row r="632">
          <cell r="A632">
            <v>4019</v>
          </cell>
          <cell r="B632">
            <v>12</v>
          </cell>
          <cell r="C632" t="str">
            <v>ABACAXI CALDA LT TOZZI CX 12X400GR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2116.9499999999998</v>
          </cell>
          <cell r="K632">
            <v>0.01</v>
          </cell>
          <cell r="L632">
            <v>359.86</v>
          </cell>
          <cell r="M632">
            <v>0.21</v>
          </cell>
          <cell r="N632">
            <v>2</v>
          </cell>
          <cell r="O632">
            <v>10</v>
          </cell>
          <cell r="P632">
            <v>0.13</v>
          </cell>
          <cell r="Q632">
            <v>0</v>
          </cell>
          <cell r="R632">
            <v>57.6</v>
          </cell>
          <cell r="S632">
            <v>0</v>
          </cell>
          <cell r="T632">
            <v>9.6</v>
          </cell>
        </row>
        <row r="633">
          <cell r="A633">
            <v>225</v>
          </cell>
          <cell r="B633">
            <v>12</v>
          </cell>
          <cell r="C633" t="str">
            <v>AMEIXA S/CAROCO POTE TOZZI 12X200GR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1129.2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12</v>
          </cell>
          <cell r="P633">
            <v>0.16</v>
          </cell>
          <cell r="Q633">
            <v>0</v>
          </cell>
          <cell r="R633">
            <v>36</v>
          </cell>
          <cell r="S633">
            <v>0</v>
          </cell>
          <cell r="T633">
            <v>0</v>
          </cell>
        </row>
        <row r="634">
          <cell r="A634">
            <v>212</v>
          </cell>
          <cell r="B634">
            <v>12</v>
          </cell>
          <cell r="C634" t="str">
            <v>BANHA UAI DAS GERAIS POTE CX12X800G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2340.2399999999998</v>
          </cell>
          <cell r="K634">
            <v>0.01</v>
          </cell>
          <cell r="L634">
            <v>195.02</v>
          </cell>
          <cell r="M634">
            <v>0.11</v>
          </cell>
          <cell r="N634">
            <v>1</v>
          </cell>
          <cell r="O634">
            <v>11</v>
          </cell>
          <cell r="P634">
            <v>0.15</v>
          </cell>
          <cell r="Q634">
            <v>0</v>
          </cell>
          <cell r="R634">
            <v>115.2</v>
          </cell>
          <cell r="S634">
            <v>0</v>
          </cell>
          <cell r="T634">
            <v>9.6</v>
          </cell>
        </row>
        <row r="635">
          <cell r="A635">
            <v>4298</v>
          </cell>
          <cell r="B635">
            <v>12</v>
          </cell>
          <cell r="C635" t="str">
            <v>CARNE BOVINA MOIDA CRUZEIRO DO SUL CX/48X500G</v>
          </cell>
          <cell r="D635">
            <v>48504.01</v>
          </cell>
          <cell r="E635">
            <v>0.31</v>
          </cell>
          <cell r="F635">
            <v>125</v>
          </cell>
          <cell r="G635">
            <v>0</v>
          </cell>
          <cell r="H635">
            <v>0</v>
          </cell>
          <cell r="I635">
            <v>0</v>
          </cell>
          <cell r="J635">
            <v>5644.8</v>
          </cell>
          <cell r="K635">
            <v>0.02</v>
          </cell>
          <cell r="L635">
            <v>0</v>
          </cell>
          <cell r="M635">
            <v>0</v>
          </cell>
          <cell r="N635">
            <v>0</v>
          </cell>
          <cell r="O635">
            <v>13</v>
          </cell>
          <cell r="P635">
            <v>0.18</v>
          </cell>
          <cell r="Q635">
            <v>637.5</v>
          </cell>
          <cell r="R635">
            <v>61.2</v>
          </cell>
          <cell r="S635">
            <v>0</v>
          </cell>
          <cell r="T635">
            <v>0</v>
          </cell>
        </row>
        <row r="636">
          <cell r="A636">
            <v>544</v>
          </cell>
          <cell r="B636">
            <v>12</v>
          </cell>
          <cell r="C636" t="str">
            <v>FILEZINHO EMPANADO SEARA CX\12X400G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2206.96</v>
          </cell>
          <cell r="K636">
            <v>0.01</v>
          </cell>
          <cell r="L636">
            <v>0</v>
          </cell>
          <cell r="M636">
            <v>0</v>
          </cell>
          <cell r="N636">
            <v>0</v>
          </cell>
          <cell r="O636">
            <v>11</v>
          </cell>
          <cell r="P636">
            <v>0.15</v>
          </cell>
          <cell r="Q636">
            <v>0</v>
          </cell>
          <cell r="R636">
            <v>57.6</v>
          </cell>
          <cell r="S636">
            <v>0</v>
          </cell>
          <cell r="T636">
            <v>0</v>
          </cell>
        </row>
        <row r="637">
          <cell r="A637">
            <v>3098</v>
          </cell>
          <cell r="B637">
            <v>12</v>
          </cell>
          <cell r="C637" t="str">
            <v>LASANHA BOLONHESA AIRFRYER SEARA 12X300GR</v>
          </cell>
          <cell r="D637">
            <v>1664.64</v>
          </cell>
          <cell r="E637">
            <v>0.01</v>
          </cell>
          <cell r="F637">
            <v>20</v>
          </cell>
          <cell r="G637">
            <v>0</v>
          </cell>
          <cell r="H637">
            <v>0</v>
          </cell>
          <cell r="I637">
            <v>0</v>
          </cell>
          <cell r="J637">
            <v>1144.8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13</v>
          </cell>
          <cell r="P637">
            <v>0.18</v>
          </cell>
          <cell r="Q637">
            <v>72</v>
          </cell>
          <cell r="R637">
            <v>43.2</v>
          </cell>
          <cell r="S637">
            <v>0</v>
          </cell>
          <cell r="T637">
            <v>0</v>
          </cell>
        </row>
        <row r="638">
          <cell r="A638">
            <v>3097</v>
          </cell>
          <cell r="B638">
            <v>12</v>
          </cell>
          <cell r="C638" t="str">
            <v>LASANHA FRANGO AIRFRYER SEARA CX/12X300GR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1611.12</v>
          </cell>
          <cell r="K638">
            <v>0.01</v>
          </cell>
          <cell r="L638">
            <v>0</v>
          </cell>
          <cell r="M638">
            <v>0</v>
          </cell>
          <cell r="N638">
            <v>0</v>
          </cell>
          <cell r="O638">
            <v>12</v>
          </cell>
          <cell r="P638">
            <v>0.16</v>
          </cell>
          <cell r="Q638">
            <v>0</v>
          </cell>
          <cell r="R638">
            <v>43.2</v>
          </cell>
          <cell r="S638">
            <v>0</v>
          </cell>
          <cell r="T638">
            <v>0</v>
          </cell>
        </row>
        <row r="639">
          <cell r="A639">
            <v>827</v>
          </cell>
          <cell r="B639">
            <v>12</v>
          </cell>
          <cell r="C639" t="str">
            <v>LING T.CALABRESA GOURMET SEARA 6X2,5KG</v>
          </cell>
          <cell r="D639">
            <v>605.1</v>
          </cell>
          <cell r="E639">
            <v>0</v>
          </cell>
          <cell r="F639">
            <v>12</v>
          </cell>
          <cell r="G639">
            <v>0</v>
          </cell>
          <cell r="H639">
            <v>0</v>
          </cell>
          <cell r="I639">
            <v>0</v>
          </cell>
          <cell r="J639">
            <v>683.2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6</v>
          </cell>
          <cell r="P639">
            <v>0.08</v>
          </cell>
          <cell r="Q639">
            <v>30</v>
          </cell>
          <cell r="R639">
            <v>30</v>
          </cell>
          <cell r="S639">
            <v>0</v>
          </cell>
          <cell r="T639">
            <v>0</v>
          </cell>
        </row>
        <row r="640">
          <cell r="A640">
            <v>4020</v>
          </cell>
          <cell r="B640">
            <v>12</v>
          </cell>
          <cell r="C640" t="str">
            <v>PESSEGO CALDA ZERO ACUCAR LT TOZZI CX12X450GR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1453.22</v>
          </cell>
          <cell r="K640">
            <v>0.01</v>
          </cell>
          <cell r="L640">
            <v>119.9</v>
          </cell>
          <cell r="M640">
            <v>7.0000000000000007E-2</v>
          </cell>
          <cell r="N640">
            <v>1</v>
          </cell>
          <cell r="O640">
            <v>12</v>
          </cell>
          <cell r="P640">
            <v>0.16</v>
          </cell>
          <cell r="Q640">
            <v>0</v>
          </cell>
          <cell r="R640">
            <v>64.8</v>
          </cell>
          <cell r="S640">
            <v>0</v>
          </cell>
          <cell r="T640">
            <v>5.4</v>
          </cell>
        </row>
        <row r="641">
          <cell r="A641">
            <v>264</v>
          </cell>
          <cell r="B641">
            <v>12</v>
          </cell>
          <cell r="C641" t="str">
            <v>PRESUNTO SEARA FATIADO CX/12X350GR</v>
          </cell>
          <cell r="D641">
            <v>1245.3</v>
          </cell>
          <cell r="E641">
            <v>0.01</v>
          </cell>
          <cell r="F641">
            <v>10</v>
          </cell>
          <cell r="G641">
            <v>0</v>
          </cell>
          <cell r="H641">
            <v>0</v>
          </cell>
          <cell r="I641">
            <v>0</v>
          </cell>
          <cell r="J641">
            <v>1696.74</v>
          </cell>
          <cell r="K641">
            <v>0.01</v>
          </cell>
          <cell r="L641">
            <v>0</v>
          </cell>
          <cell r="M641">
            <v>0</v>
          </cell>
          <cell r="N641">
            <v>0</v>
          </cell>
          <cell r="O641">
            <v>13</v>
          </cell>
          <cell r="P641">
            <v>0.18</v>
          </cell>
          <cell r="Q641">
            <v>42</v>
          </cell>
          <cell r="R641">
            <v>50.4</v>
          </cell>
          <cell r="S641">
            <v>0</v>
          </cell>
          <cell r="T641">
            <v>0</v>
          </cell>
        </row>
        <row r="642">
          <cell r="A642">
            <v>908</v>
          </cell>
          <cell r="B642">
            <v>12</v>
          </cell>
          <cell r="C642" t="str">
            <v>SALSICHA LEBON CX/12X450 GR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719.48</v>
          </cell>
          <cell r="K642">
            <v>0</v>
          </cell>
          <cell r="L642">
            <v>65.66</v>
          </cell>
          <cell r="M642">
            <v>0.04</v>
          </cell>
          <cell r="N642">
            <v>1</v>
          </cell>
          <cell r="O642">
            <v>9</v>
          </cell>
          <cell r="P642">
            <v>0.12</v>
          </cell>
          <cell r="Q642">
            <v>0</v>
          </cell>
          <cell r="R642">
            <v>64.8</v>
          </cell>
          <cell r="S642">
            <v>0</v>
          </cell>
          <cell r="T642">
            <v>5.4</v>
          </cell>
        </row>
        <row r="643">
          <cell r="A643">
            <v>937</v>
          </cell>
          <cell r="B643">
            <v>11</v>
          </cell>
          <cell r="C643" t="str">
            <v>FRANGO PADARIA S/MIUDOS SEARA CX/14,4KG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2185.13</v>
          </cell>
          <cell r="K643">
            <v>0.01</v>
          </cell>
          <cell r="L643">
            <v>0</v>
          </cell>
          <cell r="M643">
            <v>0</v>
          </cell>
          <cell r="N643">
            <v>0</v>
          </cell>
          <cell r="O643">
            <v>8</v>
          </cell>
          <cell r="P643">
            <v>0.11</v>
          </cell>
          <cell r="Q643">
            <v>0</v>
          </cell>
          <cell r="R643">
            <v>158.4</v>
          </cell>
          <cell r="S643">
            <v>0</v>
          </cell>
          <cell r="T643">
            <v>0</v>
          </cell>
        </row>
        <row r="644">
          <cell r="A644">
            <v>159</v>
          </cell>
          <cell r="B644">
            <v>11</v>
          </cell>
          <cell r="C644" t="str">
            <v>MOLHO BARBECUE DAJUDA SACHE CX\192X7G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284.95999999999998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5</v>
          </cell>
          <cell r="P644">
            <v>7.0000000000000007E-2</v>
          </cell>
          <cell r="Q644">
            <v>0</v>
          </cell>
          <cell r="R644">
            <v>33</v>
          </cell>
          <cell r="S644">
            <v>0</v>
          </cell>
          <cell r="T644">
            <v>0</v>
          </cell>
        </row>
        <row r="645">
          <cell r="A645">
            <v>675</v>
          </cell>
          <cell r="B645">
            <v>11</v>
          </cell>
          <cell r="C645" t="str">
            <v>MORTADELA FATIADA REZENDE CX/22X180GR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1018.06</v>
          </cell>
          <cell r="K645">
            <v>0</v>
          </cell>
          <cell r="L645">
            <v>92.22</v>
          </cell>
          <cell r="M645">
            <v>0.05</v>
          </cell>
          <cell r="N645">
            <v>1</v>
          </cell>
          <cell r="O645">
            <v>10</v>
          </cell>
          <cell r="P645">
            <v>0.13</v>
          </cell>
          <cell r="Q645">
            <v>0</v>
          </cell>
          <cell r="R645">
            <v>43.56</v>
          </cell>
          <cell r="S645">
            <v>0</v>
          </cell>
          <cell r="T645">
            <v>3.96</v>
          </cell>
        </row>
        <row r="646">
          <cell r="A646">
            <v>719</v>
          </cell>
          <cell r="B646">
            <v>11</v>
          </cell>
          <cell r="C646" t="str">
            <v>REQUEIJAO BISNAGA M.CHEDDAR VEREDA 1,5KG</v>
          </cell>
          <cell r="D646">
            <v>4200</v>
          </cell>
          <cell r="E646">
            <v>0.03</v>
          </cell>
          <cell r="F646">
            <v>110</v>
          </cell>
          <cell r="G646">
            <v>0</v>
          </cell>
          <cell r="H646">
            <v>0</v>
          </cell>
          <cell r="I646">
            <v>0</v>
          </cell>
          <cell r="J646">
            <v>521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4</v>
          </cell>
          <cell r="P646">
            <v>0.05</v>
          </cell>
          <cell r="Q646">
            <v>165</v>
          </cell>
          <cell r="R646">
            <v>16.5</v>
          </cell>
          <cell r="S646">
            <v>0</v>
          </cell>
          <cell r="T646">
            <v>0</v>
          </cell>
        </row>
        <row r="647">
          <cell r="A647">
            <v>227</v>
          </cell>
          <cell r="B647">
            <v>10</v>
          </cell>
          <cell r="C647" t="str">
            <v>AMEIXA S/CAROÇO TOZZI CX\10KG</v>
          </cell>
          <cell r="D647">
            <v>5616.8</v>
          </cell>
          <cell r="E647">
            <v>0.04</v>
          </cell>
          <cell r="F647">
            <v>20</v>
          </cell>
          <cell r="G647">
            <v>0</v>
          </cell>
          <cell r="H647">
            <v>0</v>
          </cell>
          <cell r="I647">
            <v>0</v>
          </cell>
          <cell r="J647">
            <v>3169.2</v>
          </cell>
          <cell r="K647">
            <v>0.01</v>
          </cell>
          <cell r="L647">
            <v>0</v>
          </cell>
          <cell r="M647">
            <v>0</v>
          </cell>
          <cell r="N647">
            <v>0</v>
          </cell>
          <cell r="O647">
            <v>7</v>
          </cell>
          <cell r="P647">
            <v>0.09</v>
          </cell>
          <cell r="Q647">
            <v>200</v>
          </cell>
          <cell r="R647">
            <v>100</v>
          </cell>
          <cell r="S647">
            <v>0</v>
          </cell>
          <cell r="T647">
            <v>0</v>
          </cell>
        </row>
        <row r="648">
          <cell r="A648">
            <v>3938</v>
          </cell>
          <cell r="B648">
            <v>10</v>
          </cell>
          <cell r="C648" t="str">
            <v>BATATA CHIPS PIMENTA MOMENTOS CX\26X90G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1149.8</v>
          </cell>
          <cell r="K648">
            <v>0.01</v>
          </cell>
          <cell r="L648">
            <v>0</v>
          </cell>
          <cell r="M648">
            <v>0</v>
          </cell>
          <cell r="N648">
            <v>0</v>
          </cell>
          <cell r="O648">
            <v>10</v>
          </cell>
          <cell r="P648">
            <v>0.13</v>
          </cell>
          <cell r="Q648">
            <v>0</v>
          </cell>
          <cell r="R648">
            <v>23.4</v>
          </cell>
          <cell r="S648">
            <v>0</v>
          </cell>
          <cell r="T648">
            <v>0</v>
          </cell>
        </row>
        <row r="649">
          <cell r="A649">
            <v>783</v>
          </cell>
          <cell r="B649">
            <v>10</v>
          </cell>
          <cell r="C649" t="str">
            <v>BATATA P.FRITA SEARA CX\5X2KG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1436.12</v>
          </cell>
          <cell r="K649">
            <v>0.01</v>
          </cell>
          <cell r="L649">
            <v>0</v>
          </cell>
          <cell r="M649">
            <v>0</v>
          </cell>
          <cell r="N649">
            <v>0</v>
          </cell>
          <cell r="O649">
            <v>8</v>
          </cell>
          <cell r="P649">
            <v>0.11</v>
          </cell>
          <cell r="Q649">
            <v>0</v>
          </cell>
          <cell r="R649">
            <v>100</v>
          </cell>
          <cell r="S649">
            <v>0</v>
          </cell>
          <cell r="T649">
            <v>0</v>
          </cell>
        </row>
        <row r="650">
          <cell r="A650">
            <v>491</v>
          </cell>
          <cell r="B650">
            <v>10</v>
          </cell>
          <cell r="C650" t="str">
            <v>CHICKEN BITS REZENDE CX/16X300GR</v>
          </cell>
          <cell r="D650">
            <v>623.52</v>
          </cell>
          <cell r="E650">
            <v>0</v>
          </cell>
          <cell r="F650">
            <v>10</v>
          </cell>
          <cell r="G650">
            <v>0</v>
          </cell>
          <cell r="H650">
            <v>0</v>
          </cell>
          <cell r="I650">
            <v>0</v>
          </cell>
          <cell r="J650">
            <v>846.51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10</v>
          </cell>
          <cell r="P650">
            <v>0.13</v>
          </cell>
          <cell r="Q650">
            <v>48</v>
          </cell>
          <cell r="R650">
            <v>48</v>
          </cell>
          <cell r="S650">
            <v>0</v>
          </cell>
          <cell r="T650">
            <v>0</v>
          </cell>
        </row>
        <row r="651">
          <cell r="A651">
            <v>492</v>
          </cell>
          <cell r="B651">
            <v>10</v>
          </cell>
          <cell r="C651" t="str">
            <v>CHICKEN BITS REZENDE CX\5X1KG</v>
          </cell>
          <cell r="D651">
            <v>1176</v>
          </cell>
          <cell r="E651">
            <v>0.01</v>
          </cell>
          <cell r="F651">
            <v>20</v>
          </cell>
          <cell r="G651">
            <v>0</v>
          </cell>
          <cell r="H651">
            <v>0</v>
          </cell>
          <cell r="I651">
            <v>0</v>
          </cell>
          <cell r="J651">
            <v>689.36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7</v>
          </cell>
          <cell r="P651">
            <v>0.09</v>
          </cell>
          <cell r="Q651">
            <v>100</v>
          </cell>
          <cell r="R651">
            <v>50</v>
          </cell>
          <cell r="S651">
            <v>0</v>
          </cell>
          <cell r="T651">
            <v>0</v>
          </cell>
        </row>
        <row r="652">
          <cell r="A652">
            <v>407</v>
          </cell>
          <cell r="B652">
            <v>10</v>
          </cell>
          <cell r="C652" t="str">
            <v>CHICKEN SUPREME SEARA CX/16X300GR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1327.4</v>
          </cell>
          <cell r="K652">
            <v>0.01</v>
          </cell>
          <cell r="L652">
            <v>0</v>
          </cell>
          <cell r="M652">
            <v>0</v>
          </cell>
          <cell r="N652">
            <v>0</v>
          </cell>
          <cell r="O652">
            <v>10</v>
          </cell>
          <cell r="P652">
            <v>0.13</v>
          </cell>
          <cell r="Q652">
            <v>0</v>
          </cell>
          <cell r="R652">
            <v>48</v>
          </cell>
          <cell r="S652">
            <v>0</v>
          </cell>
          <cell r="T652">
            <v>0</v>
          </cell>
        </row>
        <row r="653">
          <cell r="A653">
            <v>3838</v>
          </cell>
          <cell r="B653">
            <v>10</v>
          </cell>
          <cell r="C653" t="str">
            <v>MAIONESE SACHE SOYA CX\6X1KG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510.12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6</v>
          </cell>
          <cell r="P653">
            <v>0.08</v>
          </cell>
          <cell r="Q653">
            <v>0</v>
          </cell>
          <cell r="R653">
            <v>60</v>
          </cell>
          <cell r="S653">
            <v>0</v>
          </cell>
          <cell r="T653">
            <v>0</v>
          </cell>
        </row>
        <row r="654">
          <cell r="A654">
            <v>829</v>
          </cell>
          <cell r="B654">
            <v>10</v>
          </cell>
          <cell r="C654" t="str">
            <v>MARGARINA CREMOSY CX/12X500GR 997874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688.8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6</v>
          </cell>
          <cell r="P654">
            <v>0.08</v>
          </cell>
          <cell r="Q654">
            <v>0</v>
          </cell>
          <cell r="R654">
            <v>60</v>
          </cell>
          <cell r="S654">
            <v>0</v>
          </cell>
          <cell r="T654">
            <v>0</v>
          </cell>
        </row>
        <row r="655">
          <cell r="A655">
            <v>332</v>
          </cell>
          <cell r="B655">
            <v>10</v>
          </cell>
          <cell r="C655" t="str">
            <v>REQUEIJAO BISNAGA GOURMET VEREDA 1,535KG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527.83000000000004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6</v>
          </cell>
          <cell r="P655">
            <v>0.08</v>
          </cell>
          <cell r="Q655">
            <v>0</v>
          </cell>
          <cell r="R655">
            <v>15</v>
          </cell>
          <cell r="S655">
            <v>0</v>
          </cell>
          <cell r="T655">
            <v>0</v>
          </cell>
        </row>
        <row r="656">
          <cell r="A656">
            <v>3692</v>
          </cell>
          <cell r="B656">
            <v>9</v>
          </cell>
          <cell r="C656" t="str">
            <v>BARRA NUTS CACAU NUTRY 12X25G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299.88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6</v>
          </cell>
          <cell r="P656">
            <v>0.08</v>
          </cell>
          <cell r="Q656">
            <v>0</v>
          </cell>
          <cell r="R656">
            <v>2.7</v>
          </cell>
          <cell r="S656">
            <v>0</v>
          </cell>
          <cell r="T656">
            <v>0</v>
          </cell>
        </row>
        <row r="657">
          <cell r="A657">
            <v>3695</v>
          </cell>
          <cell r="B657">
            <v>9</v>
          </cell>
          <cell r="C657" t="str">
            <v>BARRA NUTS CLASSICA NUTRY  12X25G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300.56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7</v>
          </cell>
          <cell r="P657">
            <v>0.09</v>
          </cell>
          <cell r="Q657">
            <v>0</v>
          </cell>
          <cell r="R657">
            <v>2.7</v>
          </cell>
          <cell r="S657">
            <v>0</v>
          </cell>
          <cell r="T657">
            <v>0</v>
          </cell>
        </row>
        <row r="658">
          <cell r="A658">
            <v>303</v>
          </cell>
          <cell r="B658">
            <v>9</v>
          </cell>
          <cell r="C658" t="str">
            <v>CHICKEN SUPREME SEARA CX\2X2,5KG</v>
          </cell>
          <cell r="D658">
            <v>1061</v>
          </cell>
          <cell r="E658">
            <v>0.01</v>
          </cell>
          <cell r="F658">
            <v>10</v>
          </cell>
          <cell r="G658">
            <v>0</v>
          </cell>
          <cell r="H658">
            <v>0</v>
          </cell>
          <cell r="I658">
            <v>0</v>
          </cell>
          <cell r="J658">
            <v>1134.08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4</v>
          </cell>
          <cell r="P658">
            <v>0.05</v>
          </cell>
          <cell r="Q658">
            <v>50</v>
          </cell>
          <cell r="R658">
            <v>45</v>
          </cell>
          <cell r="S658">
            <v>0</v>
          </cell>
          <cell r="T658">
            <v>0</v>
          </cell>
        </row>
        <row r="659">
          <cell r="A659">
            <v>1162</v>
          </cell>
          <cell r="B659">
            <v>9</v>
          </cell>
          <cell r="C659" t="str">
            <v>EXTRATO SACHE SALSARETTI  32X300GR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817.7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8</v>
          </cell>
          <cell r="P659">
            <v>0.11</v>
          </cell>
          <cell r="Q659">
            <v>0</v>
          </cell>
          <cell r="R659">
            <v>86.4</v>
          </cell>
          <cell r="S659">
            <v>0</v>
          </cell>
          <cell r="T659">
            <v>0</v>
          </cell>
        </row>
        <row r="660">
          <cell r="A660">
            <v>3986</v>
          </cell>
          <cell r="B660">
            <v>9</v>
          </cell>
          <cell r="C660" t="str">
            <v>FILE POLACA ALASCA BACALANOR CX\20X500G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2626.68</v>
          </cell>
          <cell r="K660">
            <v>0.01</v>
          </cell>
          <cell r="L660">
            <v>0</v>
          </cell>
          <cell r="M660">
            <v>0</v>
          </cell>
          <cell r="N660">
            <v>0</v>
          </cell>
          <cell r="O660">
            <v>9</v>
          </cell>
          <cell r="P660">
            <v>0.12</v>
          </cell>
          <cell r="Q660">
            <v>0</v>
          </cell>
          <cell r="R660">
            <v>90</v>
          </cell>
          <cell r="S660">
            <v>0</v>
          </cell>
          <cell r="T660">
            <v>0</v>
          </cell>
        </row>
        <row r="661">
          <cell r="A661">
            <v>4103</v>
          </cell>
          <cell r="B661">
            <v>9</v>
          </cell>
          <cell r="C661" t="str">
            <v>MAIONESE SOYA SACHE 3KG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236.8</v>
          </cell>
          <cell r="K661">
            <v>0</v>
          </cell>
          <cell r="L661">
            <v>23.9</v>
          </cell>
          <cell r="M661">
            <v>0.01</v>
          </cell>
          <cell r="N661">
            <v>1</v>
          </cell>
          <cell r="O661">
            <v>4</v>
          </cell>
          <cell r="P661">
            <v>0.05</v>
          </cell>
          <cell r="Q661">
            <v>0</v>
          </cell>
          <cell r="R661">
            <v>27</v>
          </cell>
          <cell r="S661">
            <v>0</v>
          </cell>
          <cell r="T661">
            <v>3</v>
          </cell>
        </row>
        <row r="662">
          <cell r="A662">
            <v>3765</v>
          </cell>
          <cell r="B662">
            <v>9</v>
          </cell>
          <cell r="C662" t="str">
            <v>MARGARINA CREMOSY CX/24X250GR 997873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661.52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5</v>
          </cell>
          <cell r="P662">
            <v>7.0000000000000007E-2</v>
          </cell>
          <cell r="Q662">
            <v>0</v>
          </cell>
          <cell r="R662">
            <v>54</v>
          </cell>
          <cell r="S662">
            <v>0</v>
          </cell>
          <cell r="T662">
            <v>0</v>
          </cell>
        </row>
        <row r="663">
          <cell r="A663">
            <v>2869</v>
          </cell>
          <cell r="B663">
            <v>9</v>
          </cell>
          <cell r="C663" t="str">
            <v>MARGARINA DELICIA SUPREMO CX12X500GR</v>
          </cell>
          <cell r="D663">
            <v>1220.4000000000001</v>
          </cell>
          <cell r="E663">
            <v>0.01</v>
          </cell>
          <cell r="F663">
            <v>15</v>
          </cell>
          <cell r="G663">
            <v>0</v>
          </cell>
          <cell r="H663">
            <v>0</v>
          </cell>
          <cell r="I663">
            <v>0</v>
          </cell>
          <cell r="J663">
            <v>793.8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7</v>
          </cell>
          <cell r="P663">
            <v>0.09</v>
          </cell>
          <cell r="Q663">
            <v>90</v>
          </cell>
          <cell r="R663">
            <v>54</v>
          </cell>
          <cell r="S663">
            <v>0</v>
          </cell>
          <cell r="T663">
            <v>0</v>
          </cell>
        </row>
        <row r="664">
          <cell r="A664">
            <v>656</v>
          </cell>
          <cell r="B664">
            <v>9</v>
          </cell>
          <cell r="C664" t="str">
            <v>MARGARINA DORIANA S/SAL CX\24X250GR 5776</v>
          </cell>
          <cell r="D664">
            <v>763.2</v>
          </cell>
          <cell r="E664">
            <v>0</v>
          </cell>
          <cell r="F664">
            <v>10</v>
          </cell>
          <cell r="G664">
            <v>0</v>
          </cell>
          <cell r="H664">
            <v>0</v>
          </cell>
          <cell r="I664">
            <v>0</v>
          </cell>
          <cell r="J664">
            <v>790.24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9</v>
          </cell>
          <cell r="P664">
            <v>0.12</v>
          </cell>
          <cell r="Q664">
            <v>60</v>
          </cell>
          <cell r="R664">
            <v>54</v>
          </cell>
          <cell r="S664">
            <v>0</v>
          </cell>
          <cell r="T664">
            <v>0</v>
          </cell>
        </row>
        <row r="665">
          <cell r="A665">
            <v>2633</v>
          </cell>
          <cell r="B665">
            <v>9</v>
          </cell>
          <cell r="C665" t="str">
            <v>PAO DE QUEIJO REZENDE CX/32X300GR</v>
          </cell>
          <cell r="D665">
            <v>1987.2</v>
          </cell>
          <cell r="E665">
            <v>0.01</v>
          </cell>
          <cell r="F665">
            <v>15</v>
          </cell>
          <cell r="G665">
            <v>0</v>
          </cell>
          <cell r="H665">
            <v>0</v>
          </cell>
          <cell r="I665">
            <v>0</v>
          </cell>
          <cell r="J665">
            <v>1358.28</v>
          </cell>
          <cell r="K665">
            <v>0.01</v>
          </cell>
          <cell r="L665">
            <v>0</v>
          </cell>
          <cell r="M665">
            <v>0</v>
          </cell>
          <cell r="N665">
            <v>0</v>
          </cell>
          <cell r="O665">
            <v>8</v>
          </cell>
          <cell r="P665">
            <v>0.11</v>
          </cell>
          <cell r="Q665">
            <v>144</v>
          </cell>
          <cell r="R665">
            <v>86.4</v>
          </cell>
          <cell r="S665">
            <v>0</v>
          </cell>
          <cell r="T665">
            <v>0</v>
          </cell>
        </row>
        <row r="666">
          <cell r="A666">
            <v>1098</v>
          </cell>
          <cell r="B666">
            <v>9</v>
          </cell>
          <cell r="C666" t="str">
            <v>SALAME FATIADO PEPPERONI SEARA GOURMET  800G</v>
          </cell>
          <cell r="D666">
            <v>474.14</v>
          </cell>
          <cell r="E666">
            <v>0</v>
          </cell>
          <cell r="F666">
            <v>12</v>
          </cell>
          <cell r="G666">
            <v>0</v>
          </cell>
          <cell r="H666">
            <v>0</v>
          </cell>
          <cell r="I666">
            <v>0</v>
          </cell>
          <cell r="J666">
            <v>409.4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6</v>
          </cell>
          <cell r="P666">
            <v>0.08</v>
          </cell>
          <cell r="Q666">
            <v>9.6</v>
          </cell>
          <cell r="R666">
            <v>7.2</v>
          </cell>
          <cell r="S666">
            <v>0</v>
          </cell>
          <cell r="T666">
            <v>0</v>
          </cell>
        </row>
        <row r="667">
          <cell r="A667">
            <v>1049</v>
          </cell>
          <cell r="B667">
            <v>9</v>
          </cell>
          <cell r="C667" t="str">
            <v>SALAME ITALIANO ALHO NEGRO GOURMET SEARA</v>
          </cell>
          <cell r="D667">
            <v>399.28</v>
          </cell>
          <cell r="E667">
            <v>0</v>
          </cell>
          <cell r="F667">
            <v>36</v>
          </cell>
          <cell r="G667">
            <v>0</v>
          </cell>
          <cell r="H667">
            <v>0</v>
          </cell>
          <cell r="I667">
            <v>0</v>
          </cell>
          <cell r="J667">
            <v>94.78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4</v>
          </cell>
          <cell r="P667">
            <v>0.05</v>
          </cell>
          <cell r="Q667">
            <v>5.76</v>
          </cell>
          <cell r="R667">
            <v>1.44</v>
          </cell>
          <cell r="S667">
            <v>0</v>
          </cell>
          <cell r="T667">
            <v>0</v>
          </cell>
        </row>
        <row r="668">
          <cell r="A668">
            <v>254</v>
          </cell>
          <cell r="B668">
            <v>9</v>
          </cell>
          <cell r="C668" t="str">
            <v>SELETA LEGUMES SEARA NATURE 16X300GR</v>
          </cell>
          <cell r="D668">
            <v>807.84</v>
          </cell>
          <cell r="E668">
            <v>0.01</v>
          </cell>
          <cell r="F668">
            <v>10</v>
          </cell>
          <cell r="G668">
            <v>0</v>
          </cell>
          <cell r="H668">
            <v>0</v>
          </cell>
          <cell r="I668">
            <v>0</v>
          </cell>
          <cell r="J668">
            <v>882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7</v>
          </cell>
          <cell r="P668">
            <v>0.09</v>
          </cell>
          <cell r="Q668">
            <v>48</v>
          </cell>
          <cell r="R668">
            <v>43.2</v>
          </cell>
          <cell r="S668">
            <v>0</v>
          </cell>
          <cell r="T668">
            <v>0</v>
          </cell>
        </row>
        <row r="669">
          <cell r="A669">
            <v>3865</v>
          </cell>
          <cell r="B669">
            <v>8</v>
          </cell>
          <cell r="C669" t="str">
            <v>BARRA CEREAL BANANA NUTRY 24X22GR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308.10000000000002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8</v>
          </cell>
          <cell r="P669">
            <v>0.11</v>
          </cell>
          <cell r="Q669">
            <v>0</v>
          </cell>
          <cell r="R669">
            <v>4.22</v>
          </cell>
          <cell r="S669">
            <v>0</v>
          </cell>
          <cell r="T669">
            <v>0</v>
          </cell>
        </row>
        <row r="670">
          <cell r="A670">
            <v>3937</v>
          </cell>
          <cell r="B670">
            <v>8</v>
          </cell>
          <cell r="C670" t="str">
            <v>BATATA CHIPS FRANGO MOMENTOS CX\26X90G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955.28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7</v>
          </cell>
          <cell r="P670">
            <v>0.09</v>
          </cell>
          <cell r="Q670">
            <v>0</v>
          </cell>
          <cell r="R670">
            <v>18.72</v>
          </cell>
          <cell r="S670">
            <v>0</v>
          </cell>
          <cell r="T670">
            <v>0</v>
          </cell>
        </row>
        <row r="671">
          <cell r="A671">
            <v>3940</v>
          </cell>
          <cell r="B671">
            <v>8</v>
          </cell>
          <cell r="C671" t="str">
            <v>BATATA PALHA PREMIUM MONREVE CX 20X100G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688.55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7</v>
          </cell>
          <cell r="P671">
            <v>0.09</v>
          </cell>
          <cell r="Q671">
            <v>0</v>
          </cell>
          <cell r="R671">
            <v>16</v>
          </cell>
          <cell r="S671">
            <v>0</v>
          </cell>
          <cell r="T671">
            <v>0</v>
          </cell>
        </row>
        <row r="672">
          <cell r="A672">
            <v>3411</v>
          </cell>
          <cell r="B672">
            <v>8</v>
          </cell>
          <cell r="C672" t="str">
            <v>CREME AVELA\CACAU TRIANGULO MINEIRO 3KG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799.68</v>
          </cell>
          <cell r="K672">
            <v>0</v>
          </cell>
          <cell r="L672">
            <v>99.96</v>
          </cell>
          <cell r="M672">
            <v>0.06</v>
          </cell>
          <cell r="N672">
            <v>1</v>
          </cell>
          <cell r="O672">
            <v>5</v>
          </cell>
          <cell r="P672">
            <v>7.0000000000000007E-2</v>
          </cell>
          <cell r="Q672">
            <v>0</v>
          </cell>
          <cell r="R672">
            <v>24</v>
          </cell>
          <cell r="S672">
            <v>0</v>
          </cell>
          <cell r="T672">
            <v>3</v>
          </cell>
        </row>
        <row r="673">
          <cell r="A673">
            <v>4034</v>
          </cell>
          <cell r="B673">
            <v>8</v>
          </cell>
          <cell r="C673" t="str">
            <v>DOCE DE LEITE COM AMIDO CRISTAULAT BALDE 4,6KG</v>
          </cell>
          <cell r="D673">
            <v>4194.28</v>
          </cell>
          <cell r="E673">
            <v>0.03</v>
          </cell>
          <cell r="F673">
            <v>80</v>
          </cell>
          <cell r="G673">
            <v>0</v>
          </cell>
          <cell r="H673">
            <v>0</v>
          </cell>
          <cell r="I673">
            <v>0</v>
          </cell>
          <cell r="J673">
            <v>625.20000000000005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6</v>
          </cell>
          <cell r="P673">
            <v>0.08</v>
          </cell>
          <cell r="Q673">
            <v>368</v>
          </cell>
          <cell r="R673">
            <v>36.799999999999997</v>
          </cell>
          <cell r="S673">
            <v>0</v>
          </cell>
          <cell r="T673">
            <v>0</v>
          </cell>
        </row>
        <row r="674">
          <cell r="A674">
            <v>534</v>
          </cell>
          <cell r="B674">
            <v>8</v>
          </cell>
          <cell r="C674" t="str">
            <v>ERVILHA CONGELADA SEARA CX/18X300G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910.8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7</v>
          </cell>
          <cell r="P674">
            <v>0.09</v>
          </cell>
          <cell r="Q674">
            <v>0</v>
          </cell>
          <cell r="R674">
            <v>43.2</v>
          </cell>
          <cell r="S674">
            <v>0</v>
          </cell>
          <cell r="T674">
            <v>0</v>
          </cell>
        </row>
        <row r="675">
          <cell r="A675">
            <v>1414</v>
          </cell>
          <cell r="B675">
            <v>8</v>
          </cell>
          <cell r="C675" t="str">
            <v>FILE FRANGO MILANESA  SEARA CX/28X100GR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550.4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7</v>
          </cell>
          <cell r="P675">
            <v>0.09</v>
          </cell>
          <cell r="Q675">
            <v>0</v>
          </cell>
          <cell r="R675">
            <v>22.4</v>
          </cell>
          <cell r="S675">
            <v>0</v>
          </cell>
          <cell r="T675">
            <v>0</v>
          </cell>
        </row>
        <row r="676">
          <cell r="A676">
            <v>296</v>
          </cell>
          <cell r="B676">
            <v>8</v>
          </cell>
          <cell r="C676" t="str">
            <v>FILE FRANGO MILANESA SEARA CX/12X400GR</v>
          </cell>
          <cell r="D676">
            <v>4658.3999999999996</v>
          </cell>
          <cell r="E676">
            <v>0.03</v>
          </cell>
          <cell r="F676">
            <v>30</v>
          </cell>
          <cell r="G676">
            <v>0</v>
          </cell>
          <cell r="H676">
            <v>0</v>
          </cell>
          <cell r="I676">
            <v>0</v>
          </cell>
          <cell r="J676">
            <v>1459.04</v>
          </cell>
          <cell r="K676">
            <v>0.01</v>
          </cell>
          <cell r="L676">
            <v>0</v>
          </cell>
          <cell r="M676">
            <v>0</v>
          </cell>
          <cell r="N676">
            <v>0</v>
          </cell>
          <cell r="O676">
            <v>6</v>
          </cell>
          <cell r="P676">
            <v>0.08</v>
          </cell>
          <cell r="Q676">
            <v>144</v>
          </cell>
          <cell r="R676">
            <v>38.4</v>
          </cell>
          <cell r="S676">
            <v>0</v>
          </cell>
          <cell r="T676">
            <v>0</v>
          </cell>
        </row>
        <row r="677">
          <cell r="A677">
            <v>606</v>
          </cell>
          <cell r="B677">
            <v>8</v>
          </cell>
          <cell r="C677" t="str">
            <v>LING CHURRASCO MINI REZENDE CX\4X5KG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586.88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4</v>
          </cell>
          <cell r="P677">
            <v>0.05</v>
          </cell>
          <cell r="Q677">
            <v>0</v>
          </cell>
          <cell r="R677">
            <v>40</v>
          </cell>
          <cell r="S677">
            <v>0</v>
          </cell>
          <cell r="T677">
            <v>0</v>
          </cell>
        </row>
        <row r="678">
          <cell r="A678">
            <v>1333</v>
          </cell>
          <cell r="B678">
            <v>8</v>
          </cell>
          <cell r="C678" t="str">
            <v>LING TOSCANA MINI SEARA 6X2,5KG</v>
          </cell>
          <cell r="D678">
            <v>1063.5</v>
          </cell>
          <cell r="E678">
            <v>0.01</v>
          </cell>
          <cell r="F678">
            <v>30</v>
          </cell>
          <cell r="G678">
            <v>0</v>
          </cell>
          <cell r="H678">
            <v>0</v>
          </cell>
          <cell r="I678">
            <v>0</v>
          </cell>
          <cell r="J678">
            <v>325.36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3</v>
          </cell>
          <cell r="P678">
            <v>0.04</v>
          </cell>
          <cell r="Q678">
            <v>75</v>
          </cell>
          <cell r="R678">
            <v>20</v>
          </cell>
          <cell r="S678">
            <v>0</v>
          </cell>
          <cell r="T678">
            <v>0</v>
          </cell>
        </row>
        <row r="679">
          <cell r="A679">
            <v>2634</v>
          </cell>
          <cell r="B679">
            <v>8</v>
          </cell>
          <cell r="C679" t="str">
            <v>PAO DE QUEIJO REZENDE CX/12X900GR</v>
          </cell>
          <cell r="D679">
            <v>1173.96</v>
          </cell>
          <cell r="E679">
            <v>0.01</v>
          </cell>
          <cell r="F679">
            <v>10</v>
          </cell>
          <cell r="G679">
            <v>0</v>
          </cell>
          <cell r="H679">
            <v>0</v>
          </cell>
          <cell r="I679">
            <v>0</v>
          </cell>
          <cell r="J679">
            <v>1105.44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6</v>
          </cell>
          <cell r="P679">
            <v>0.08</v>
          </cell>
          <cell r="Q679">
            <v>108</v>
          </cell>
          <cell r="R679">
            <v>86.4</v>
          </cell>
          <cell r="S679">
            <v>0</v>
          </cell>
          <cell r="T679">
            <v>0</v>
          </cell>
        </row>
        <row r="680">
          <cell r="A680">
            <v>1056</v>
          </cell>
          <cell r="B680">
            <v>8</v>
          </cell>
          <cell r="C680" t="str">
            <v>PEIXE TAMBAQUI COSTELA ZALTANA CX\24X400G</v>
          </cell>
          <cell r="D680">
            <v>9196.7999999999993</v>
          </cell>
          <cell r="E680">
            <v>0.06</v>
          </cell>
          <cell r="F680">
            <v>20</v>
          </cell>
          <cell r="G680">
            <v>0</v>
          </cell>
          <cell r="H680">
            <v>0</v>
          </cell>
          <cell r="I680">
            <v>0</v>
          </cell>
          <cell r="J680">
            <v>4327.68</v>
          </cell>
          <cell r="K680">
            <v>0.02</v>
          </cell>
          <cell r="L680">
            <v>0</v>
          </cell>
          <cell r="M680">
            <v>0</v>
          </cell>
          <cell r="N680">
            <v>0</v>
          </cell>
          <cell r="O680">
            <v>5</v>
          </cell>
          <cell r="P680">
            <v>7.0000000000000007E-2</v>
          </cell>
          <cell r="Q680">
            <v>192</v>
          </cell>
          <cell r="R680">
            <v>76.8</v>
          </cell>
          <cell r="S680">
            <v>0</v>
          </cell>
          <cell r="T680">
            <v>0</v>
          </cell>
        </row>
        <row r="681">
          <cell r="A681">
            <v>705</v>
          </cell>
          <cell r="B681">
            <v>8</v>
          </cell>
          <cell r="C681" t="str">
            <v>PIZZA CALABRESA REZENDE CX\12X400GR</v>
          </cell>
          <cell r="D681">
            <v>1174.08</v>
          </cell>
          <cell r="E681">
            <v>0.01</v>
          </cell>
          <cell r="F681">
            <v>10</v>
          </cell>
          <cell r="G681">
            <v>0</v>
          </cell>
          <cell r="H681">
            <v>0</v>
          </cell>
          <cell r="I681">
            <v>0</v>
          </cell>
          <cell r="J681">
            <v>982.64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6</v>
          </cell>
          <cell r="P681">
            <v>0.08</v>
          </cell>
          <cell r="Q681">
            <v>48</v>
          </cell>
          <cell r="R681">
            <v>38.4</v>
          </cell>
          <cell r="S681">
            <v>0</v>
          </cell>
          <cell r="T681">
            <v>0</v>
          </cell>
        </row>
        <row r="682">
          <cell r="A682">
            <v>901</v>
          </cell>
          <cell r="B682">
            <v>8</v>
          </cell>
          <cell r="C682" t="str">
            <v>PRESUNTO LEBON FATIADO CX/6X700GR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824</v>
          </cell>
          <cell r="K682">
            <v>0</v>
          </cell>
          <cell r="L682">
            <v>122</v>
          </cell>
          <cell r="M682">
            <v>7.0000000000000007E-2</v>
          </cell>
          <cell r="N682">
            <v>1</v>
          </cell>
          <cell r="O682">
            <v>7</v>
          </cell>
          <cell r="P682">
            <v>0.09</v>
          </cell>
          <cell r="Q682">
            <v>0</v>
          </cell>
          <cell r="R682">
            <v>33.6</v>
          </cell>
          <cell r="S682">
            <v>0</v>
          </cell>
          <cell r="T682">
            <v>4.2</v>
          </cell>
        </row>
        <row r="683">
          <cell r="A683">
            <v>4287</v>
          </cell>
          <cell r="B683">
            <v>8</v>
          </cell>
          <cell r="C683" t="str">
            <v>RECHEIO CHOCOLATE BISNAGA DOLCE CREME 1,005KG</v>
          </cell>
          <cell r="D683">
            <v>225.63</v>
          </cell>
          <cell r="E683">
            <v>0</v>
          </cell>
          <cell r="F683">
            <v>8</v>
          </cell>
          <cell r="G683">
            <v>0</v>
          </cell>
          <cell r="H683">
            <v>0</v>
          </cell>
          <cell r="I683">
            <v>0</v>
          </cell>
          <cell r="J683">
            <v>303.76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2</v>
          </cell>
          <cell r="P683">
            <v>0.03</v>
          </cell>
          <cell r="Q683">
            <v>8.0399999999999991</v>
          </cell>
          <cell r="R683">
            <v>8.0399999999999991</v>
          </cell>
          <cell r="S683">
            <v>0</v>
          </cell>
          <cell r="T683">
            <v>0</v>
          </cell>
        </row>
        <row r="684">
          <cell r="A684">
            <v>4288</v>
          </cell>
          <cell r="B684">
            <v>8</v>
          </cell>
          <cell r="C684" t="str">
            <v>RECHEIO CHOCOLATE BRANCO BISNAGA DOLCI CREME 1,005KG</v>
          </cell>
          <cell r="D684">
            <v>208.37</v>
          </cell>
          <cell r="E684">
            <v>0</v>
          </cell>
          <cell r="F684">
            <v>8</v>
          </cell>
          <cell r="G684">
            <v>0</v>
          </cell>
          <cell r="H684">
            <v>0</v>
          </cell>
          <cell r="I684">
            <v>0</v>
          </cell>
          <cell r="J684">
            <v>304.54000000000002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6</v>
          </cell>
          <cell r="P684">
            <v>0.08</v>
          </cell>
          <cell r="Q684">
            <v>19.2</v>
          </cell>
          <cell r="R684">
            <v>19.2</v>
          </cell>
          <cell r="S684">
            <v>0</v>
          </cell>
          <cell r="T684">
            <v>0</v>
          </cell>
        </row>
        <row r="685">
          <cell r="A685">
            <v>4289</v>
          </cell>
          <cell r="B685">
            <v>8</v>
          </cell>
          <cell r="C685" t="str">
            <v>RECHEIO CREME AVELÃ,CACAU BISNAGA DOLCI CREME 1,005KG</v>
          </cell>
          <cell r="D685">
            <v>232.47</v>
          </cell>
          <cell r="E685">
            <v>0</v>
          </cell>
          <cell r="F685">
            <v>8</v>
          </cell>
          <cell r="G685">
            <v>0</v>
          </cell>
          <cell r="H685">
            <v>0</v>
          </cell>
          <cell r="I685">
            <v>0</v>
          </cell>
          <cell r="J685">
            <v>304.54000000000002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5</v>
          </cell>
          <cell r="P685">
            <v>7.0000000000000007E-2</v>
          </cell>
          <cell r="Q685">
            <v>19.2</v>
          </cell>
          <cell r="R685">
            <v>19.2</v>
          </cell>
          <cell r="S685">
            <v>0</v>
          </cell>
          <cell r="T685">
            <v>0</v>
          </cell>
        </row>
        <row r="686">
          <cell r="A686">
            <v>259</v>
          </cell>
          <cell r="B686">
            <v>8</v>
          </cell>
          <cell r="C686" t="str">
            <v>SALSICHA FRANGO SEARA CX\12X500GR</v>
          </cell>
          <cell r="D686">
            <v>343.8</v>
          </cell>
          <cell r="E686">
            <v>0</v>
          </cell>
          <cell r="F686">
            <v>5</v>
          </cell>
          <cell r="G686">
            <v>0</v>
          </cell>
          <cell r="H686">
            <v>0</v>
          </cell>
          <cell r="I686">
            <v>0</v>
          </cell>
          <cell r="J686">
            <v>657.8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9</v>
          </cell>
          <cell r="P686">
            <v>0.12</v>
          </cell>
          <cell r="Q686">
            <v>30</v>
          </cell>
          <cell r="R686">
            <v>48</v>
          </cell>
          <cell r="S686">
            <v>0</v>
          </cell>
          <cell r="T686">
            <v>0</v>
          </cell>
        </row>
        <row r="687">
          <cell r="A687">
            <v>3694</v>
          </cell>
          <cell r="B687">
            <v>7</v>
          </cell>
          <cell r="C687" t="str">
            <v>BARRA NUTS CRANBERRY  NUTRY 12X25G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234.6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5</v>
          </cell>
          <cell r="P687">
            <v>7.0000000000000007E-2</v>
          </cell>
          <cell r="Q687">
            <v>0</v>
          </cell>
          <cell r="R687">
            <v>2.1</v>
          </cell>
          <cell r="S687">
            <v>0</v>
          </cell>
          <cell r="T687">
            <v>0</v>
          </cell>
        </row>
        <row r="688">
          <cell r="A688">
            <v>482</v>
          </cell>
          <cell r="B688">
            <v>7</v>
          </cell>
          <cell r="C688" t="str">
            <v>BROCOLIS FLORETE NATURE SEARA CX/10X1,05</v>
          </cell>
          <cell r="D688">
            <v>3074.4</v>
          </cell>
          <cell r="E688">
            <v>0.02</v>
          </cell>
          <cell r="F688">
            <v>20</v>
          </cell>
          <cell r="G688">
            <v>0</v>
          </cell>
          <cell r="H688">
            <v>0</v>
          </cell>
          <cell r="I688">
            <v>0</v>
          </cell>
          <cell r="J688">
            <v>1290</v>
          </cell>
          <cell r="K688">
            <v>0.01</v>
          </cell>
          <cell r="L688">
            <v>0</v>
          </cell>
          <cell r="M688">
            <v>0</v>
          </cell>
          <cell r="N688">
            <v>0</v>
          </cell>
          <cell r="O688">
            <v>6</v>
          </cell>
          <cell r="P688">
            <v>0.08</v>
          </cell>
          <cell r="Q688">
            <v>210</v>
          </cell>
          <cell r="R688">
            <v>73.5</v>
          </cell>
          <cell r="S688">
            <v>0</v>
          </cell>
          <cell r="T688">
            <v>0</v>
          </cell>
        </row>
        <row r="689">
          <cell r="A689">
            <v>909</v>
          </cell>
          <cell r="B689">
            <v>7</v>
          </cell>
          <cell r="C689" t="str">
            <v>CHICKEN CROC CROCANT LEBON 12X300</v>
          </cell>
          <cell r="D689">
            <v>6478.92</v>
          </cell>
          <cell r="E689">
            <v>0.04</v>
          </cell>
          <cell r="F689">
            <v>105</v>
          </cell>
          <cell r="G689">
            <v>0</v>
          </cell>
          <cell r="H689">
            <v>0</v>
          </cell>
          <cell r="I689">
            <v>0</v>
          </cell>
          <cell r="J689">
            <v>507.64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4</v>
          </cell>
          <cell r="P689">
            <v>0.05</v>
          </cell>
          <cell r="Q689">
            <v>378</v>
          </cell>
          <cell r="R689">
            <v>25.2</v>
          </cell>
          <cell r="S689">
            <v>0</v>
          </cell>
          <cell r="T689">
            <v>0</v>
          </cell>
        </row>
        <row r="690">
          <cell r="A690">
            <v>496</v>
          </cell>
          <cell r="B690">
            <v>7</v>
          </cell>
          <cell r="C690" t="str">
            <v>CHICKEN SUPREME BURGER SEARA CX/3X2KG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1231.52</v>
          </cell>
          <cell r="K690">
            <v>0.01</v>
          </cell>
          <cell r="L690">
            <v>175.42</v>
          </cell>
          <cell r="M690">
            <v>0.1</v>
          </cell>
          <cell r="N690">
            <v>1</v>
          </cell>
          <cell r="O690">
            <v>6</v>
          </cell>
          <cell r="P690">
            <v>0.08</v>
          </cell>
          <cell r="Q690">
            <v>0</v>
          </cell>
          <cell r="R690">
            <v>42</v>
          </cell>
          <cell r="S690">
            <v>0</v>
          </cell>
          <cell r="T690">
            <v>6</v>
          </cell>
        </row>
        <row r="691">
          <cell r="A691">
            <v>3181</v>
          </cell>
          <cell r="B691">
            <v>7</v>
          </cell>
          <cell r="C691" t="str">
            <v>CHICKEN SUPREME SEARA CX/5X900G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823.2</v>
          </cell>
          <cell r="K691">
            <v>0</v>
          </cell>
          <cell r="L691">
            <v>117.6</v>
          </cell>
          <cell r="M691">
            <v>7.0000000000000007E-2</v>
          </cell>
          <cell r="N691">
            <v>1</v>
          </cell>
          <cell r="O691">
            <v>6</v>
          </cell>
          <cell r="P691">
            <v>0.08</v>
          </cell>
          <cell r="Q691">
            <v>0</v>
          </cell>
          <cell r="R691">
            <v>31.5</v>
          </cell>
          <cell r="S691">
            <v>0</v>
          </cell>
          <cell r="T691">
            <v>4.5</v>
          </cell>
        </row>
        <row r="692">
          <cell r="A692">
            <v>137</v>
          </cell>
          <cell r="B692">
            <v>7</v>
          </cell>
          <cell r="C692" t="str">
            <v>FILE TAMBAQUI PEDACO ZALTANA 24X400GR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2593.08</v>
          </cell>
          <cell r="K692">
            <v>0.01</v>
          </cell>
          <cell r="L692">
            <v>0</v>
          </cell>
          <cell r="M692">
            <v>0</v>
          </cell>
          <cell r="N692">
            <v>0</v>
          </cell>
          <cell r="O692">
            <v>6</v>
          </cell>
          <cell r="P692">
            <v>0.08</v>
          </cell>
          <cell r="Q692">
            <v>0</v>
          </cell>
          <cell r="R692">
            <v>67.2</v>
          </cell>
          <cell r="S692">
            <v>0</v>
          </cell>
          <cell r="T692">
            <v>0</v>
          </cell>
        </row>
        <row r="693">
          <cell r="A693">
            <v>557</v>
          </cell>
          <cell r="B693">
            <v>7</v>
          </cell>
          <cell r="C693" t="str">
            <v>FRUTA CRISTALIZADA POTE TOZZI 12X200GR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337.75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6</v>
          </cell>
          <cell r="P693">
            <v>0.08</v>
          </cell>
          <cell r="Q693">
            <v>0</v>
          </cell>
          <cell r="R693">
            <v>21</v>
          </cell>
          <cell r="S693">
            <v>0</v>
          </cell>
          <cell r="T693">
            <v>0</v>
          </cell>
        </row>
        <row r="694">
          <cell r="A694">
            <v>4262</v>
          </cell>
          <cell r="B694">
            <v>7</v>
          </cell>
          <cell r="C694" t="str">
            <v>GALO GORDO ROSAVES CX/18KG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797.65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5</v>
          </cell>
          <cell r="P694">
            <v>7.0000000000000007E-2</v>
          </cell>
          <cell r="Q694">
            <v>0</v>
          </cell>
          <cell r="R694">
            <v>126</v>
          </cell>
          <cell r="S694">
            <v>0</v>
          </cell>
          <cell r="T694">
            <v>0</v>
          </cell>
        </row>
        <row r="695">
          <cell r="A695">
            <v>587</v>
          </cell>
          <cell r="B695">
            <v>7</v>
          </cell>
          <cell r="C695" t="str">
            <v>LASANHA 4 QUEIJOS SEARA CX\10X600GR</v>
          </cell>
          <cell r="D695">
            <v>1659.6</v>
          </cell>
          <cell r="E695">
            <v>0.01</v>
          </cell>
          <cell r="F695">
            <v>15</v>
          </cell>
          <cell r="G695">
            <v>0</v>
          </cell>
          <cell r="H695">
            <v>0</v>
          </cell>
          <cell r="I695">
            <v>0</v>
          </cell>
          <cell r="J695">
            <v>973.52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8</v>
          </cell>
          <cell r="P695">
            <v>0.11</v>
          </cell>
          <cell r="Q695">
            <v>90</v>
          </cell>
          <cell r="R695">
            <v>42</v>
          </cell>
          <cell r="S695">
            <v>0</v>
          </cell>
          <cell r="T695">
            <v>0</v>
          </cell>
        </row>
        <row r="696">
          <cell r="A696">
            <v>592</v>
          </cell>
          <cell r="B696">
            <v>7</v>
          </cell>
          <cell r="C696" t="str">
            <v>LASANHA FRANGO LEBON CX/10X600GR</v>
          </cell>
          <cell r="D696">
            <v>469.8</v>
          </cell>
          <cell r="E696">
            <v>0</v>
          </cell>
          <cell r="F696">
            <v>5</v>
          </cell>
          <cell r="G696">
            <v>0</v>
          </cell>
          <cell r="H696">
            <v>0</v>
          </cell>
          <cell r="I696">
            <v>0</v>
          </cell>
          <cell r="J696">
            <v>773.76</v>
          </cell>
          <cell r="K696">
            <v>0</v>
          </cell>
          <cell r="L696">
            <v>110.74</v>
          </cell>
          <cell r="M696">
            <v>0.06</v>
          </cell>
          <cell r="N696">
            <v>1</v>
          </cell>
          <cell r="O696">
            <v>8</v>
          </cell>
          <cell r="P696">
            <v>0.11</v>
          </cell>
          <cell r="Q696">
            <v>30</v>
          </cell>
          <cell r="R696">
            <v>42</v>
          </cell>
          <cell r="S696">
            <v>0</v>
          </cell>
          <cell r="T696">
            <v>6</v>
          </cell>
        </row>
        <row r="697">
          <cell r="A697">
            <v>4304</v>
          </cell>
          <cell r="B697">
            <v>7</v>
          </cell>
          <cell r="C697" t="str">
            <v>PE SUINO ALIBEM CX\20KG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1166.2</v>
          </cell>
          <cell r="K697">
            <v>0.01</v>
          </cell>
          <cell r="L697">
            <v>0</v>
          </cell>
          <cell r="M697">
            <v>0</v>
          </cell>
          <cell r="N697">
            <v>0</v>
          </cell>
          <cell r="O697">
            <v>5</v>
          </cell>
          <cell r="P697">
            <v>7.0000000000000007E-2</v>
          </cell>
          <cell r="Q697">
            <v>0</v>
          </cell>
          <cell r="R697">
            <v>140</v>
          </cell>
          <cell r="S697">
            <v>0</v>
          </cell>
          <cell r="T697">
            <v>0</v>
          </cell>
        </row>
        <row r="698">
          <cell r="A698">
            <v>3842</v>
          </cell>
          <cell r="B698">
            <v>7</v>
          </cell>
          <cell r="C698" t="str">
            <v>PIZZA MUSSARELA AIRFRYER CX12X220GR</v>
          </cell>
          <cell r="D698">
            <v>1418.47</v>
          </cell>
          <cell r="E698">
            <v>0.01</v>
          </cell>
          <cell r="F698">
            <v>15</v>
          </cell>
          <cell r="G698">
            <v>0</v>
          </cell>
          <cell r="H698">
            <v>0</v>
          </cell>
          <cell r="I698">
            <v>0</v>
          </cell>
          <cell r="J698">
            <v>729.3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7</v>
          </cell>
          <cell r="P698">
            <v>0.09</v>
          </cell>
          <cell r="Q698">
            <v>39.6</v>
          </cell>
          <cell r="R698">
            <v>18.48</v>
          </cell>
          <cell r="S698">
            <v>0</v>
          </cell>
          <cell r="T698">
            <v>0</v>
          </cell>
        </row>
        <row r="699">
          <cell r="A699">
            <v>1907</v>
          </cell>
          <cell r="B699">
            <v>6.35</v>
          </cell>
          <cell r="C699" t="str">
            <v>PRESUNTO ROYAL SEARA GOURMET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189.87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1</v>
          </cell>
          <cell r="P699">
            <v>0.01</v>
          </cell>
          <cell r="Q699">
            <v>0</v>
          </cell>
          <cell r="R699">
            <v>6.35</v>
          </cell>
          <cell r="S699">
            <v>0</v>
          </cell>
          <cell r="T699">
            <v>0</v>
          </cell>
        </row>
        <row r="700">
          <cell r="A700">
            <v>210</v>
          </cell>
          <cell r="B700">
            <v>6</v>
          </cell>
          <cell r="C700" t="str">
            <v>BANHA UAI DAS GERAIS POTE CX/24X400GR</v>
          </cell>
          <cell r="D700">
            <v>7584.82</v>
          </cell>
          <cell r="E700">
            <v>0.05</v>
          </cell>
          <cell r="F700">
            <v>45</v>
          </cell>
          <cell r="G700">
            <v>0</v>
          </cell>
          <cell r="H700">
            <v>0</v>
          </cell>
          <cell r="I700">
            <v>0</v>
          </cell>
          <cell r="J700">
            <v>971.57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7</v>
          </cell>
          <cell r="P700">
            <v>0.09</v>
          </cell>
          <cell r="Q700">
            <v>432</v>
          </cell>
          <cell r="R700">
            <v>57.6</v>
          </cell>
          <cell r="S700">
            <v>0</v>
          </cell>
          <cell r="T700">
            <v>0</v>
          </cell>
        </row>
        <row r="701">
          <cell r="A701">
            <v>3866</v>
          </cell>
          <cell r="B701">
            <v>6</v>
          </cell>
          <cell r="C701" t="str">
            <v>BARRA CEREAL CASTANHA-DO-BRASIL  NUTRY 24X22GR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230.88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6</v>
          </cell>
          <cell r="P701">
            <v>0.08</v>
          </cell>
          <cell r="Q701">
            <v>0</v>
          </cell>
          <cell r="R701">
            <v>3.17</v>
          </cell>
          <cell r="S701">
            <v>0</v>
          </cell>
          <cell r="T701">
            <v>0</v>
          </cell>
        </row>
        <row r="702">
          <cell r="A702">
            <v>3913</v>
          </cell>
          <cell r="B702">
            <v>6</v>
          </cell>
          <cell r="C702" t="str">
            <v>BARRA CEREAL COOKIES CREAM NUTRY 24X20G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200.6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6</v>
          </cell>
          <cell r="P702">
            <v>0.08</v>
          </cell>
          <cell r="Q702">
            <v>0</v>
          </cell>
          <cell r="R702">
            <v>2.88</v>
          </cell>
          <cell r="S702">
            <v>0</v>
          </cell>
          <cell r="T702">
            <v>0</v>
          </cell>
        </row>
        <row r="703">
          <cell r="A703">
            <v>466</v>
          </cell>
          <cell r="B703">
            <v>6</v>
          </cell>
          <cell r="C703" t="str">
            <v>BATATA P.FRITA REZENDE CX/25X400GR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1303.9000000000001</v>
          </cell>
          <cell r="K703">
            <v>0.01</v>
          </cell>
          <cell r="L703">
            <v>0</v>
          </cell>
          <cell r="M703">
            <v>0</v>
          </cell>
          <cell r="N703">
            <v>0</v>
          </cell>
          <cell r="O703">
            <v>6</v>
          </cell>
          <cell r="P703">
            <v>0.08</v>
          </cell>
          <cell r="Q703">
            <v>0</v>
          </cell>
          <cell r="R703">
            <v>60</v>
          </cell>
          <cell r="S703">
            <v>0</v>
          </cell>
          <cell r="T703">
            <v>0</v>
          </cell>
        </row>
        <row r="704">
          <cell r="A704">
            <v>1340</v>
          </cell>
          <cell r="B704">
            <v>6</v>
          </cell>
          <cell r="C704" t="str">
            <v>CHICKEN SUPREME 2MOLHOS CX\12X220GR</v>
          </cell>
          <cell r="D704">
            <v>1129.8499999999999</v>
          </cell>
          <cell r="E704">
            <v>0.01</v>
          </cell>
          <cell r="F704">
            <v>10</v>
          </cell>
          <cell r="G704">
            <v>0</v>
          </cell>
          <cell r="H704">
            <v>0</v>
          </cell>
          <cell r="I704">
            <v>0</v>
          </cell>
          <cell r="J704">
            <v>538.79999999999995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5</v>
          </cell>
          <cell r="P704">
            <v>7.0000000000000007E-2</v>
          </cell>
          <cell r="Q704">
            <v>32.299999999999997</v>
          </cell>
          <cell r="R704">
            <v>19.38</v>
          </cell>
          <cell r="S704">
            <v>0</v>
          </cell>
          <cell r="T704">
            <v>0</v>
          </cell>
        </row>
        <row r="705">
          <cell r="A705">
            <v>1102</v>
          </cell>
          <cell r="B705">
            <v>6</v>
          </cell>
          <cell r="C705" t="str">
            <v>CRISPY BURGER QUEIJO SEARA CX/2X1,3KG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652.6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4</v>
          </cell>
          <cell r="P705">
            <v>0.05</v>
          </cell>
          <cell r="Q705">
            <v>0</v>
          </cell>
          <cell r="R705">
            <v>15.6</v>
          </cell>
          <cell r="S705">
            <v>0</v>
          </cell>
          <cell r="T705">
            <v>0</v>
          </cell>
        </row>
        <row r="706">
          <cell r="A706">
            <v>1160</v>
          </cell>
          <cell r="B706">
            <v>6</v>
          </cell>
          <cell r="C706" t="str">
            <v>KETCHUP TRADICIONAL SALSARETTI  15X380GR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639.36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6</v>
          </cell>
          <cell r="P706">
            <v>0.08</v>
          </cell>
          <cell r="Q706">
            <v>0</v>
          </cell>
          <cell r="R706">
            <v>34.200000000000003</v>
          </cell>
          <cell r="S706">
            <v>0</v>
          </cell>
          <cell r="T706">
            <v>0</v>
          </cell>
        </row>
        <row r="707">
          <cell r="A707">
            <v>4303</v>
          </cell>
          <cell r="B707">
            <v>6</v>
          </cell>
          <cell r="C707" t="str">
            <v>LING SUINA CHURRASCO ADEEL 5KG</v>
          </cell>
          <cell r="D707">
            <v>34754.94</v>
          </cell>
          <cell r="E707">
            <v>0.22</v>
          </cell>
          <cell r="F707">
            <v>612</v>
          </cell>
          <cell r="G707">
            <v>0</v>
          </cell>
          <cell r="H707">
            <v>0</v>
          </cell>
          <cell r="I707">
            <v>0</v>
          </cell>
          <cell r="J707">
            <v>419.82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5</v>
          </cell>
          <cell r="P707">
            <v>7.0000000000000007E-2</v>
          </cell>
          <cell r="Q707">
            <v>3060</v>
          </cell>
          <cell r="R707">
            <v>30</v>
          </cell>
          <cell r="S707">
            <v>0</v>
          </cell>
          <cell r="T707">
            <v>0</v>
          </cell>
        </row>
        <row r="708">
          <cell r="A708">
            <v>1105</v>
          </cell>
          <cell r="B708">
            <v>6</v>
          </cell>
          <cell r="C708" t="str">
            <v>LOMBO SUINO TEMPERADO PIF PAF CX\20KG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2832</v>
          </cell>
          <cell r="K708">
            <v>0.01</v>
          </cell>
          <cell r="L708">
            <v>940.8</v>
          </cell>
          <cell r="M708">
            <v>0.54</v>
          </cell>
          <cell r="N708">
            <v>2</v>
          </cell>
          <cell r="O708">
            <v>6</v>
          </cell>
          <cell r="P708">
            <v>0.08</v>
          </cell>
          <cell r="Q708">
            <v>0</v>
          </cell>
          <cell r="R708">
            <v>120</v>
          </cell>
          <cell r="S708">
            <v>0</v>
          </cell>
          <cell r="T708">
            <v>40</v>
          </cell>
        </row>
        <row r="709">
          <cell r="A709">
            <v>4075</v>
          </cell>
          <cell r="B709">
            <v>6</v>
          </cell>
          <cell r="C709" t="str">
            <v>MINI HOT DOG COREANO NETFLIX SEARA 12X245G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522.84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4</v>
          </cell>
          <cell r="P709">
            <v>0.05</v>
          </cell>
          <cell r="Q709">
            <v>0</v>
          </cell>
          <cell r="R709">
            <v>17.64</v>
          </cell>
          <cell r="S709">
            <v>0</v>
          </cell>
          <cell r="T709">
            <v>0</v>
          </cell>
        </row>
        <row r="710">
          <cell r="A710">
            <v>3903</v>
          </cell>
          <cell r="B710">
            <v>6</v>
          </cell>
          <cell r="C710" t="str">
            <v>NUTRIBOM MULTICEREAIS 12X600G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827.34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6</v>
          </cell>
          <cell r="P710">
            <v>0.08</v>
          </cell>
          <cell r="Q710">
            <v>0</v>
          </cell>
          <cell r="R710">
            <v>43.2</v>
          </cell>
          <cell r="S710">
            <v>0</v>
          </cell>
          <cell r="T710">
            <v>0</v>
          </cell>
        </row>
        <row r="711">
          <cell r="A711">
            <v>844</v>
          </cell>
          <cell r="B711">
            <v>6</v>
          </cell>
          <cell r="C711" t="str">
            <v>PIZZA CALABRESA LEBON CX12X400GR</v>
          </cell>
          <cell r="D711">
            <v>122.74</v>
          </cell>
          <cell r="E711">
            <v>0</v>
          </cell>
          <cell r="F711">
            <v>1</v>
          </cell>
          <cell r="G711">
            <v>0</v>
          </cell>
          <cell r="H711">
            <v>0</v>
          </cell>
          <cell r="I711">
            <v>0</v>
          </cell>
          <cell r="J711">
            <v>867.3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6</v>
          </cell>
          <cell r="P711">
            <v>0.08</v>
          </cell>
          <cell r="Q711">
            <v>5.52</v>
          </cell>
          <cell r="R711">
            <v>33.119999999999997</v>
          </cell>
          <cell r="S711">
            <v>0</v>
          </cell>
          <cell r="T711">
            <v>0</v>
          </cell>
        </row>
        <row r="712">
          <cell r="A712">
            <v>245</v>
          </cell>
          <cell r="B712">
            <v>6</v>
          </cell>
          <cell r="C712" t="str">
            <v>YAKISOBA SEARA CX/6X500GR</v>
          </cell>
          <cell r="D712">
            <v>811.5</v>
          </cell>
          <cell r="E712">
            <v>0.01</v>
          </cell>
          <cell r="F712">
            <v>10</v>
          </cell>
          <cell r="G712">
            <v>0</v>
          </cell>
          <cell r="H712">
            <v>0</v>
          </cell>
          <cell r="I712">
            <v>0</v>
          </cell>
          <cell r="J712">
            <v>575.08000000000004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6</v>
          </cell>
          <cell r="P712">
            <v>0.08</v>
          </cell>
          <cell r="Q712">
            <v>60</v>
          </cell>
          <cell r="R712">
            <v>36</v>
          </cell>
          <cell r="S712">
            <v>0</v>
          </cell>
          <cell r="T712">
            <v>0</v>
          </cell>
        </row>
        <row r="713">
          <cell r="A713">
            <v>444</v>
          </cell>
          <cell r="B713">
            <v>5</v>
          </cell>
          <cell r="C713" t="str">
            <v>BACON FATIAS GOURMET SEARA CX/20X250GR</v>
          </cell>
          <cell r="D713">
            <v>843.75</v>
          </cell>
          <cell r="E713">
            <v>0.01</v>
          </cell>
          <cell r="F713">
            <v>3</v>
          </cell>
          <cell r="G713">
            <v>0</v>
          </cell>
          <cell r="H713">
            <v>0</v>
          </cell>
          <cell r="I713">
            <v>0</v>
          </cell>
          <cell r="J713">
            <v>1717.08</v>
          </cell>
          <cell r="K713">
            <v>0.01</v>
          </cell>
          <cell r="L713">
            <v>0</v>
          </cell>
          <cell r="M713">
            <v>0</v>
          </cell>
          <cell r="N713">
            <v>0</v>
          </cell>
          <cell r="O713">
            <v>5</v>
          </cell>
          <cell r="P713">
            <v>7.0000000000000007E-2</v>
          </cell>
          <cell r="Q713">
            <v>15</v>
          </cell>
          <cell r="R713">
            <v>25</v>
          </cell>
          <cell r="S713">
            <v>0</v>
          </cell>
          <cell r="T713">
            <v>0</v>
          </cell>
        </row>
        <row r="714">
          <cell r="A714">
            <v>3693</v>
          </cell>
          <cell r="B714">
            <v>5</v>
          </cell>
          <cell r="C714" t="str">
            <v>BARRA NUTS COCO NUTRY 12X25G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166.6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4</v>
          </cell>
          <cell r="P714">
            <v>0.05</v>
          </cell>
          <cell r="Q714">
            <v>0</v>
          </cell>
          <cell r="R714">
            <v>1.5</v>
          </cell>
          <cell r="S714">
            <v>0</v>
          </cell>
          <cell r="T714">
            <v>0</v>
          </cell>
        </row>
        <row r="715">
          <cell r="A715">
            <v>123</v>
          </cell>
          <cell r="B715">
            <v>5</v>
          </cell>
          <cell r="C715" t="str">
            <v>COSTELA SUINA BARBECUE SEARA GOURMET CX\1X6KG</v>
          </cell>
          <cell r="D715">
            <v>921.24</v>
          </cell>
          <cell r="E715">
            <v>0.01</v>
          </cell>
          <cell r="F715">
            <v>3</v>
          </cell>
          <cell r="G715">
            <v>0</v>
          </cell>
          <cell r="H715">
            <v>0</v>
          </cell>
          <cell r="I715">
            <v>0</v>
          </cell>
          <cell r="J715">
            <v>1726.92</v>
          </cell>
          <cell r="K715">
            <v>0.01</v>
          </cell>
          <cell r="L715">
            <v>0</v>
          </cell>
          <cell r="M715">
            <v>0</v>
          </cell>
          <cell r="N715">
            <v>0</v>
          </cell>
          <cell r="O715">
            <v>6</v>
          </cell>
          <cell r="P715">
            <v>0.08</v>
          </cell>
          <cell r="Q715">
            <v>18</v>
          </cell>
          <cell r="R715">
            <v>30</v>
          </cell>
          <cell r="S715">
            <v>0</v>
          </cell>
          <cell r="T715">
            <v>0</v>
          </cell>
        </row>
        <row r="716">
          <cell r="A716">
            <v>4290</v>
          </cell>
          <cell r="B716">
            <v>5</v>
          </cell>
          <cell r="C716" t="str">
            <v>CREME DE RICOTA SCALA CX\12X200GR</v>
          </cell>
          <cell r="D716">
            <v>328.03</v>
          </cell>
          <cell r="E716">
            <v>0</v>
          </cell>
          <cell r="F716">
            <v>5</v>
          </cell>
          <cell r="G716">
            <v>0</v>
          </cell>
          <cell r="H716">
            <v>0</v>
          </cell>
          <cell r="I716">
            <v>0</v>
          </cell>
          <cell r="J716">
            <v>380.63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</v>
          </cell>
          <cell r="P716">
            <v>0.08</v>
          </cell>
          <cell r="Q716">
            <v>12</v>
          </cell>
          <cell r="R716">
            <v>12</v>
          </cell>
          <cell r="S716">
            <v>0</v>
          </cell>
          <cell r="T716">
            <v>0</v>
          </cell>
        </row>
        <row r="717">
          <cell r="A717">
            <v>410</v>
          </cell>
          <cell r="B717">
            <v>5</v>
          </cell>
          <cell r="C717" t="str">
            <v>HAMBURGUER BOVINO SEARA CX\15X672GR</v>
          </cell>
          <cell r="D717">
            <v>1325.52</v>
          </cell>
          <cell r="E717">
            <v>0.01</v>
          </cell>
          <cell r="F717">
            <v>5</v>
          </cell>
          <cell r="G717">
            <v>0</v>
          </cell>
          <cell r="H717">
            <v>0</v>
          </cell>
          <cell r="I717">
            <v>0</v>
          </cell>
          <cell r="J717">
            <v>1641.5</v>
          </cell>
          <cell r="K717">
            <v>0.01</v>
          </cell>
          <cell r="L717">
            <v>0</v>
          </cell>
          <cell r="M717">
            <v>0</v>
          </cell>
          <cell r="N717">
            <v>0</v>
          </cell>
          <cell r="O717">
            <v>6</v>
          </cell>
          <cell r="P717">
            <v>0.08</v>
          </cell>
          <cell r="Q717">
            <v>50.4</v>
          </cell>
          <cell r="R717">
            <v>50.4</v>
          </cell>
          <cell r="S717">
            <v>0</v>
          </cell>
          <cell r="T717">
            <v>0</v>
          </cell>
        </row>
        <row r="718">
          <cell r="A718">
            <v>820</v>
          </cell>
          <cell r="B718">
            <v>5</v>
          </cell>
          <cell r="C718" t="str">
            <v>LASANHA FRANGO REZENDE CX\10X600GR</v>
          </cell>
          <cell r="D718">
            <v>899.4</v>
          </cell>
          <cell r="E718">
            <v>0.01</v>
          </cell>
          <cell r="F718">
            <v>10</v>
          </cell>
          <cell r="G718">
            <v>0</v>
          </cell>
          <cell r="H718">
            <v>0</v>
          </cell>
          <cell r="I718">
            <v>0</v>
          </cell>
          <cell r="J718">
            <v>553.70000000000005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4</v>
          </cell>
          <cell r="P718">
            <v>0.05</v>
          </cell>
          <cell r="Q718">
            <v>60</v>
          </cell>
          <cell r="R718">
            <v>30</v>
          </cell>
          <cell r="S718">
            <v>0</v>
          </cell>
          <cell r="T718">
            <v>0</v>
          </cell>
        </row>
        <row r="719">
          <cell r="A719">
            <v>609</v>
          </cell>
          <cell r="B719">
            <v>5</v>
          </cell>
          <cell r="C719" t="str">
            <v>LING CUIABANA GOURMET SEARA CX/12X500GR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801.6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4</v>
          </cell>
          <cell r="P719">
            <v>0.05</v>
          </cell>
          <cell r="Q719">
            <v>0</v>
          </cell>
          <cell r="R719">
            <v>30</v>
          </cell>
          <cell r="S719">
            <v>0</v>
          </cell>
          <cell r="T719">
            <v>0</v>
          </cell>
        </row>
        <row r="720">
          <cell r="A720">
            <v>655</v>
          </cell>
          <cell r="B720">
            <v>5</v>
          </cell>
          <cell r="C720" t="str">
            <v>MARGARINA DORIANA S/SAL CX/12X500GR 5719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310.32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4</v>
          </cell>
          <cell r="P720">
            <v>0.05</v>
          </cell>
          <cell r="Q720">
            <v>0</v>
          </cell>
          <cell r="R720">
            <v>30</v>
          </cell>
          <cell r="S720">
            <v>0</v>
          </cell>
          <cell r="T720">
            <v>0</v>
          </cell>
        </row>
        <row r="721">
          <cell r="A721">
            <v>1901</v>
          </cell>
          <cell r="B721">
            <v>5</v>
          </cell>
          <cell r="C721" t="str">
            <v>PANELINHA ARROZ CARRETEIRO SEARA 12X300G</v>
          </cell>
          <cell r="D721">
            <v>327.89</v>
          </cell>
          <cell r="E721">
            <v>0</v>
          </cell>
          <cell r="F721">
            <v>2</v>
          </cell>
          <cell r="G721">
            <v>0</v>
          </cell>
          <cell r="H721">
            <v>0</v>
          </cell>
          <cell r="I721">
            <v>0</v>
          </cell>
          <cell r="J721">
            <v>776.2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5</v>
          </cell>
          <cell r="P721">
            <v>7.0000000000000007E-2</v>
          </cell>
          <cell r="Q721">
            <v>7.2</v>
          </cell>
          <cell r="R721">
            <v>18</v>
          </cell>
          <cell r="S721">
            <v>0</v>
          </cell>
          <cell r="T721">
            <v>0</v>
          </cell>
        </row>
        <row r="722">
          <cell r="A722">
            <v>1894</v>
          </cell>
          <cell r="B722">
            <v>5</v>
          </cell>
          <cell r="C722" t="str">
            <v>PANELINHA ESCONDIDINHO CARNE MOIDA SEARA 12X300GR</v>
          </cell>
          <cell r="D722">
            <v>491.83</v>
          </cell>
          <cell r="E722">
            <v>0</v>
          </cell>
          <cell r="F722">
            <v>3</v>
          </cell>
          <cell r="G722">
            <v>0</v>
          </cell>
          <cell r="H722">
            <v>0</v>
          </cell>
          <cell r="I722">
            <v>0</v>
          </cell>
          <cell r="J722">
            <v>956.36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6</v>
          </cell>
          <cell r="P722">
            <v>0.08</v>
          </cell>
          <cell r="Q722">
            <v>10.8</v>
          </cell>
          <cell r="R722">
            <v>18</v>
          </cell>
          <cell r="S722">
            <v>0</v>
          </cell>
          <cell r="T722">
            <v>0</v>
          </cell>
        </row>
        <row r="723">
          <cell r="A723">
            <v>349</v>
          </cell>
          <cell r="B723">
            <v>5</v>
          </cell>
          <cell r="C723" t="str">
            <v>PAO DE QUEIJO LEBON CX\32X300GR</v>
          </cell>
          <cell r="D723">
            <v>1998.72</v>
          </cell>
          <cell r="E723">
            <v>0.01</v>
          </cell>
          <cell r="F723">
            <v>10</v>
          </cell>
          <cell r="G723">
            <v>0</v>
          </cell>
          <cell r="H723">
            <v>0</v>
          </cell>
          <cell r="I723">
            <v>0</v>
          </cell>
          <cell r="J723">
            <v>1057.8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6</v>
          </cell>
          <cell r="P723">
            <v>0.08</v>
          </cell>
          <cell r="Q723">
            <v>100</v>
          </cell>
          <cell r="R723">
            <v>50</v>
          </cell>
          <cell r="S723">
            <v>0</v>
          </cell>
          <cell r="T723">
            <v>0</v>
          </cell>
        </row>
        <row r="724">
          <cell r="A724">
            <v>1841</v>
          </cell>
          <cell r="B724">
            <v>5</v>
          </cell>
          <cell r="C724" t="str">
            <v>PEITO FRANGO PCT FERREIRA CX\20KG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916.87</v>
          </cell>
          <cell r="K724">
            <v>0</v>
          </cell>
          <cell r="L724">
            <v>187.87</v>
          </cell>
          <cell r="M724">
            <v>0.11</v>
          </cell>
          <cell r="N724">
            <v>1</v>
          </cell>
          <cell r="O724">
            <v>3</v>
          </cell>
          <cell r="P724">
            <v>0.04</v>
          </cell>
          <cell r="Q724">
            <v>0</v>
          </cell>
          <cell r="R724">
            <v>100</v>
          </cell>
          <cell r="S724">
            <v>0</v>
          </cell>
          <cell r="T724">
            <v>20</v>
          </cell>
        </row>
        <row r="725">
          <cell r="A725">
            <v>271</v>
          </cell>
          <cell r="B725">
            <v>5</v>
          </cell>
          <cell r="C725" t="str">
            <v>PEITO PERU FATIADO SEARA CX/24X150GR</v>
          </cell>
          <cell r="D725">
            <v>1473.98</v>
          </cell>
          <cell r="E725">
            <v>0.01</v>
          </cell>
          <cell r="F725">
            <v>6</v>
          </cell>
          <cell r="G725">
            <v>0</v>
          </cell>
          <cell r="H725">
            <v>0</v>
          </cell>
          <cell r="I725">
            <v>0</v>
          </cell>
          <cell r="J725">
            <v>1476.17</v>
          </cell>
          <cell r="K725">
            <v>0.01</v>
          </cell>
          <cell r="L725">
            <v>0</v>
          </cell>
          <cell r="M725">
            <v>0</v>
          </cell>
          <cell r="N725">
            <v>0</v>
          </cell>
          <cell r="O725">
            <v>6</v>
          </cell>
          <cell r="P725">
            <v>0.08</v>
          </cell>
          <cell r="Q725">
            <v>21.6</v>
          </cell>
          <cell r="R725">
            <v>18</v>
          </cell>
          <cell r="S725">
            <v>0</v>
          </cell>
          <cell r="T725">
            <v>0</v>
          </cell>
        </row>
        <row r="726">
          <cell r="A726">
            <v>4002</v>
          </cell>
          <cell r="B726">
            <v>5</v>
          </cell>
          <cell r="C726" t="str">
            <v>SALAME FATIADO ALHO GOURMET SEARA CX\12X80G</v>
          </cell>
          <cell r="D726">
            <v>997.92</v>
          </cell>
          <cell r="E726">
            <v>0.01</v>
          </cell>
          <cell r="F726">
            <v>10</v>
          </cell>
          <cell r="G726">
            <v>0</v>
          </cell>
          <cell r="H726">
            <v>0</v>
          </cell>
          <cell r="I726">
            <v>0</v>
          </cell>
          <cell r="J726">
            <v>540.98</v>
          </cell>
          <cell r="K726">
            <v>0</v>
          </cell>
          <cell r="L726">
            <v>116.62</v>
          </cell>
          <cell r="M726">
            <v>7.0000000000000007E-2</v>
          </cell>
          <cell r="N726">
            <v>1</v>
          </cell>
          <cell r="O726">
            <v>4</v>
          </cell>
          <cell r="P726">
            <v>0.05</v>
          </cell>
          <cell r="Q726">
            <v>9.6</v>
          </cell>
          <cell r="R726">
            <v>4.8</v>
          </cell>
          <cell r="S726">
            <v>0</v>
          </cell>
          <cell r="T726">
            <v>0.96</v>
          </cell>
        </row>
        <row r="727">
          <cell r="A727">
            <v>3454</v>
          </cell>
          <cell r="B727">
            <v>5</v>
          </cell>
          <cell r="C727" t="str">
            <v>STRANGER EMPANADO CHICKEN SEARA CX/16X275GR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702.6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4</v>
          </cell>
          <cell r="P727">
            <v>0.05</v>
          </cell>
          <cell r="Q727">
            <v>0</v>
          </cell>
          <cell r="R727">
            <v>22</v>
          </cell>
          <cell r="S727">
            <v>0</v>
          </cell>
          <cell r="T727">
            <v>0</v>
          </cell>
        </row>
        <row r="728">
          <cell r="A728">
            <v>3941</v>
          </cell>
          <cell r="B728">
            <v>5</v>
          </cell>
          <cell r="C728" t="str">
            <v>TEKITOS FORMATOS CX 20X275GR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708.48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4</v>
          </cell>
          <cell r="P728">
            <v>0.05</v>
          </cell>
          <cell r="Q728">
            <v>0</v>
          </cell>
          <cell r="R728">
            <v>27.5</v>
          </cell>
          <cell r="S728">
            <v>0</v>
          </cell>
          <cell r="T728">
            <v>0</v>
          </cell>
        </row>
        <row r="729">
          <cell r="A729">
            <v>3924</v>
          </cell>
          <cell r="B729">
            <v>5</v>
          </cell>
          <cell r="C729" t="str">
            <v>TORRESMO  UAI DAS GERAIS 15X180GR</v>
          </cell>
          <cell r="D729">
            <v>12785.29</v>
          </cell>
          <cell r="E729">
            <v>0.08</v>
          </cell>
          <cell r="F729">
            <v>110</v>
          </cell>
          <cell r="G729">
            <v>0</v>
          </cell>
          <cell r="H729">
            <v>0</v>
          </cell>
          <cell r="I729">
            <v>0</v>
          </cell>
          <cell r="J729">
            <v>711.95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5</v>
          </cell>
          <cell r="P729">
            <v>7.0000000000000007E-2</v>
          </cell>
          <cell r="Q729">
            <v>297</v>
          </cell>
          <cell r="R729">
            <v>13.5</v>
          </cell>
          <cell r="S729">
            <v>0</v>
          </cell>
          <cell r="T729">
            <v>0</v>
          </cell>
        </row>
        <row r="730">
          <cell r="A730">
            <v>3925</v>
          </cell>
          <cell r="B730">
            <v>4</v>
          </cell>
          <cell r="C730" t="str">
            <v>ACUCAR DMAIS (SACHE) 400X5GR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78.8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3</v>
          </cell>
          <cell r="P730">
            <v>0.04</v>
          </cell>
          <cell r="Q730">
            <v>0</v>
          </cell>
          <cell r="R730">
            <v>16</v>
          </cell>
          <cell r="S730">
            <v>0</v>
          </cell>
          <cell r="T730">
            <v>0</v>
          </cell>
        </row>
        <row r="731">
          <cell r="A731">
            <v>420</v>
          </cell>
          <cell r="B731">
            <v>4</v>
          </cell>
          <cell r="C731" t="str">
            <v>AGUA COCO MAIS COCO CX\12X1000ML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351.83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4</v>
          </cell>
          <cell r="P731">
            <v>0.05</v>
          </cell>
          <cell r="Q731">
            <v>0</v>
          </cell>
          <cell r="R731">
            <v>48</v>
          </cell>
          <cell r="S731">
            <v>0</v>
          </cell>
          <cell r="T731">
            <v>0</v>
          </cell>
        </row>
        <row r="732">
          <cell r="A732">
            <v>877</v>
          </cell>
          <cell r="B732">
            <v>4</v>
          </cell>
          <cell r="C732" t="str">
            <v>BACALHAU POSTA SAITHE PESCA NOBRE CX/12X800GR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2052.7399999999998</v>
          </cell>
          <cell r="K732">
            <v>0.01</v>
          </cell>
          <cell r="L732">
            <v>521</v>
          </cell>
          <cell r="M732">
            <v>0.3</v>
          </cell>
          <cell r="N732">
            <v>1</v>
          </cell>
          <cell r="O732">
            <v>3</v>
          </cell>
          <cell r="P732">
            <v>0.04</v>
          </cell>
          <cell r="Q732">
            <v>0</v>
          </cell>
          <cell r="R732">
            <v>38.4</v>
          </cell>
          <cell r="S732">
            <v>0</v>
          </cell>
          <cell r="T732">
            <v>9.6</v>
          </cell>
        </row>
        <row r="733">
          <cell r="A733">
            <v>1347</v>
          </cell>
          <cell r="B733">
            <v>4</v>
          </cell>
          <cell r="C733" t="str">
            <v>BATATA P.FRITA SEARA CX/24X400GR</v>
          </cell>
          <cell r="D733">
            <v>2952</v>
          </cell>
          <cell r="E733">
            <v>0.02</v>
          </cell>
          <cell r="F733">
            <v>15</v>
          </cell>
          <cell r="G733">
            <v>0</v>
          </cell>
          <cell r="H733">
            <v>0</v>
          </cell>
          <cell r="I733">
            <v>0</v>
          </cell>
          <cell r="J733">
            <v>925.12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5</v>
          </cell>
          <cell r="P733">
            <v>7.0000000000000007E-2</v>
          </cell>
          <cell r="Q733">
            <v>144</v>
          </cell>
          <cell r="R733">
            <v>38.4</v>
          </cell>
          <cell r="S733">
            <v>0</v>
          </cell>
          <cell r="T733">
            <v>0</v>
          </cell>
        </row>
        <row r="734">
          <cell r="A734">
            <v>3071</v>
          </cell>
          <cell r="B734">
            <v>4</v>
          </cell>
          <cell r="C734" t="str">
            <v>BOLINHO CARNE SUINA EMPAPANADO 16X270G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445.3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2</v>
          </cell>
          <cell r="P734">
            <v>0.03</v>
          </cell>
          <cell r="Q734">
            <v>0</v>
          </cell>
          <cell r="R734">
            <v>17.28</v>
          </cell>
          <cell r="S734">
            <v>0</v>
          </cell>
          <cell r="T734">
            <v>0</v>
          </cell>
        </row>
        <row r="735">
          <cell r="A735">
            <v>493</v>
          </cell>
          <cell r="B735">
            <v>4</v>
          </cell>
          <cell r="C735" t="str">
            <v>CHICKEN CRISPY QUEIJO SEARA CX\16X300G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527.24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3</v>
          </cell>
          <cell r="P735">
            <v>0.04</v>
          </cell>
          <cell r="Q735">
            <v>0</v>
          </cell>
          <cell r="R735">
            <v>19.2</v>
          </cell>
          <cell r="S735">
            <v>0</v>
          </cell>
          <cell r="T735">
            <v>0</v>
          </cell>
        </row>
        <row r="736">
          <cell r="A736">
            <v>4129</v>
          </cell>
          <cell r="B736">
            <v>4</v>
          </cell>
          <cell r="C736" t="str">
            <v>EMPANITOS DE FRANGO LAR CX\4X1,5KG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309.27999999999997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3</v>
          </cell>
          <cell r="P736">
            <v>0.04</v>
          </cell>
          <cell r="Q736">
            <v>0</v>
          </cell>
          <cell r="R736">
            <v>24</v>
          </cell>
          <cell r="S736">
            <v>0</v>
          </cell>
          <cell r="T736">
            <v>0</v>
          </cell>
        </row>
        <row r="737">
          <cell r="A737">
            <v>4299</v>
          </cell>
          <cell r="B737">
            <v>4</v>
          </cell>
          <cell r="C737" t="str">
            <v>FILEZINHO SASSAMI EMPANADO CX/4X2KG</v>
          </cell>
          <cell r="D737">
            <v>912.8</v>
          </cell>
          <cell r="E737">
            <v>0.01</v>
          </cell>
          <cell r="F737">
            <v>5</v>
          </cell>
          <cell r="G737">
            <v>0</v>
          </cell>
          <cell r="H737">
            <v>0</v>
          </cell>
          <cell r="I737">
            <v>0</v>
          </cell>
          <cell r="J737">
            <v>862.86</v>
          </cell>
          <cell r="K737">
            <v>0</v>
          </cell>
          <cell r="L737">
            <v>429.24</v>
          </cell>
          <cell r="M737">
            <v>0.25</v>
          </cell>
          <cell r="N737">
            <v>2</v>
          </cell>
          <cell r="O737">
            <v>5</v>
          </cell>
          <cell r="P737">
            <v>7.0000000000000007E-2</v>
          </cell>
          <cell r="Q737">
            <v>40</v>
          </cell>
          <cell r="R737">
            <v>32</v>
          </cell>
          <cell r="S737">
            <v>0</v>
          </cell>
          <cell r="T737">
            <v>16</v>
          </cell>
        </row>
        <row r="738">
          <cell r="A738">
            <v>2447</v>
          </cell>
          <cell r="B738">
            <v>4</v>
          </cell>
          <cell r="C738" t="str">
            <v>HAMBURGUER MISTO TEXAS SEARA CX30X112G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399.84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2</v>
          </cell>
          <cell r="P738">
            <v>0.03</v>
          </cell>
          <cell r="Q738">
            <v>0</v>
          </cell>
          <cell r="R738">
            <v>13.44</v>
          </cell>
          <cell r="S738">
            <v>0</v>
          </cell>
          <cell r="T738">
            <v>0</v>
          </cell>
        </row>
        <row r="739">
          <cell r="A739">
            <v>292</v>
          </cell>
          <cell r="B739">
            <v>4</v>
          </cell>
          <cell r="C739" t="str">
            <v>ISCA DE PEIXE SEARA INCRIVEL  CX/16X300G</v>
          </cell>
          <cell r="D739">
            <v>919.68</v>
          </cell>
          <cell r="E739">
            <v>0.01</v>
          </cell>
          <cell r="F739">
            <v>5</v>
          </cell>
          <cell r="G739">
            <v>0</v>
          </cell>
          <cell r="H739">
            <v>0</v>
          </cell>
          <cell r="I739">
            <v>0</v>
          </cell>
          <cell r="J739">
            <v>862.4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4</v>
          </cell>
          <cell r="P739">
            <v>0.05</v>
          </cell>
          <cell r="Q739">
            <v>24</v>
          </cell>
          <cell r="R739">
            <v>19.2</v>
          </cell>
          <cell r="S739">
            <v>0</v>
          </cell>
          <cell r="T739">
            <v>0</v>
          </cell>
        </row>
        <row r="740">
          <cell r="A740">
            <v>3958</v>
          </cell>
          <cell r="B740">
            <v>4</v>
          </cell>
          <cell r="C740" t="str">
            <v>KETCHUP TRADICIONAL SACHE FUGINI 1,7KG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36.619999999999997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3</v>
          </cell>
          <cell r="P740">
            <v>0.04</v>
          </cell>
          <cell r="Q740">
            <v>0</v>
          </cell>
          <cell r="R740">
            <v>6.8</v>
          </cell>
          <cell r="S740">
            <v>0</v>
          </cell>
          <cell r="T740">
            <v>0</v>
          </cell>
        </row>
        <row r="741">
          <cell r="A741">
            <v>590</v>
          </cell>
          <cell r="B741">
            <v>4</v>
          </cell>
          <cell r="C741" t="str">
            <v>LASANHA BOLONHESA SEARA CX\6X1KG</v>
          </cell>
          <cell r="D741">
            <v>525.6</v>
          </cell>
          <cell r="E741">
            <v>0</v>
          </cell>
          <cell r="F741">
            <v>5</v>
          </cell>
          <cell r="G741">
            <v>0</v>
          </cell>
          <cell r="H741">
            <v>0</v>
          </cell>
          <cell r="I741">
            <v>0</v>
          </cell>
          <cell r="J741">
            <v>537.04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4</v>
          </cell>
          <cell r="P741">
            <v>0.05</v>
          </cell>
          <cell r="Q741">
            <v>30</v>
          </cell>
          <cell r="R741">
            <v>24</v>
          </cell>
          <cell r="S741">
            <v>0</v>
          </cell>
          <cell r="T741">
            <v>0</v>
          </cell>
        </row>
        <row r="742">
          <cell r="A742">
            <v>285</v>
          </cell>
          <cell r="B742">
            <v>4</v>
          </cell>
          <cell r="C742" t="str">
            <v>LING T.PAIO SEARA CX/24X370GR</v>
          </cell>
          <cell r="D742">
            <v>1053.17</v>
          </cell>
          <cell r="E742">
            <v>0.01</v>
          </cell>
          <cell r="F742">
            <v>5</v>
          </cell>
          <cell r="G742">
            <v>0</v>
          </cell>
          <cell r="H742">
            <v>0</v>
          </cell>
          <cell r="I742">
            <v>0</v>
          </cell>
          <cell r="J742">
            <v>963.92</v>
          </cell>
          <cell r="K742">
            <v>0</v>
          </cell>
          <cell r="L742">
            <v>240.98</v>
          </cell>
          <cell r="M742">
            <v>0.14000000000000001</v>
          </cell>
          <cell r="N742">
            <v>1</v>
          </cell>
          <cell r="O742">
            <v>5</v>
          </cell>
          <cell r="P742">
            <v>7.0000000000000007E-2</v>
          </cell>
          <cell r="Q742">
            <v>44.4</v>
          </cell>
          <cell r="R742">
            <v>35.520000000000003</v>
          </cell>
          <cell r="S742">
            <v>0</v>
          </cell>
          <cell r="T742">
            <v>8.8800000000000008</v>
          </cell>
        </row>
        <row r="743">
          <cell r="A743">
            <v>2947</v>
          </cell>
          <cell r="B743">
            <v>4</v>
          </cell>
          <cell r="C743" t="str">
            <v>MARGARINA DELICIA ALHO\CEBOLACX\12X500GR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382.2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4</v>
          </cell>
          <cell r="P743">
            <v>0.05</v>
          </cell>
          <cell r="Q743">
            <v>0</v>
          </cell>
          <cell r="R743">
            <v>24</v>
          </cell>
          <cell r="S743">
            <v>0</v>
          </cell>
          <cell r="T743">
            <v>0</v>
          </cell>
        </row>
        <row r="744">
          <cell r="A744">
            <v>4166</v>
          </cell>
          <cell r="B744">
            <v>4</v>
          </cell>
          <cell r="C744" t="str">
            <v>MINI HAMB BOV/SUI SEARA 9X300GR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395.92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4</v>
          </cell>
          <cell r="P744">
            <v>0.05</v>
          </cell>
          <cell r="Q744">
            <v>0</v>
          </cell>
          <cell r="R744">
            <v>10.8</v>
          </cell>
          <cell r="S744">
            <v>0</v>
          </cell>
          <cell r="T744">
            <v>0</v>
          </cell>
        </row>
        <row r="745">
          <cell r="A745">
            <v>974</v>
          </cell>
          <cell r="B745">
            <v>4</v>
          </cell>
          <cell r="C745" t="str">
            <v>MOSTARDA SACHE DAJUDA  192 X7G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68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3</v>
          </cell>
          <cell r="P745">
            <v>0.04</v>
          </cell>
          <cell r="Q745">
            <v>0</v>
          </cell>
          <cell r="R745">
            <v>8</v>
          </cell>
          <cell r="S745">
            <v>0</v>
          </cell>
          <cell r="T745">
            <v>0</v>
          </cell>
        </row>
        <row r="746">
          <cell r="A746">
            <v>1640</v>
          </cell>
          <cell r="B746">
            <v>4</v>
          </cell>
          <cell r="C746" t="str">
            <v>PEIXE DOURADA POSTA PEIXE&amp;CIA CX\20X1KG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2430.4</v>
          </cell>
          <cell r="K746">
            <v>0.01</v>
          </cell>
          <cell r="L746">
            <v>0</v>
          </cell>
          <cell r="M746">
            <v>0</v>
          </cell>
          <cell r="N746">
            <v>0</v>
          </cell>
          <cell r="O746">
            <v>4</v>
          </cell>
          <cell r="P746">
            <v>0.05</v>
          </cell>
          <cell r="Q746">
            <v>0</v>
          </cell>
          <cell r="R746">
            <v>80</v>
          </cell>
          <cell r="S746">
            <v>0</v>
          </cell>
          <cell r="T746">
            <v>0</v>
          </cell>
        </row>
        <row r="747">
          <cell r="A747">
            <v>880</v>
          </cell>
          <cell r="B747">
            <v>4</v>
          </cell>
          <cell r="C747" t="str">
            <v>PIZZA LOMBO CATUPIRY SEARA CX\12X460G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709.2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3</v>
          </cell>
          <cell r="P747">
            <v>0.04</v>
          </cell>
          <cell r="Q747">
            <v>0</v>
          </cell>
          <cell r="R747">
            <v>80</v>
          </cell>
          <cell r="S747">
            <v>0</v>
          </cell>
          <cell r="T747">
            <v>0</v>
          </cell>
        </row>
        <row r="748">
          <cell r="A748">
            <v>4283</v>
          </cell>
          <cell r="B748">
            <v>4</v>
          </cell>
          <cell r="C748" t="str">
            <v>REQUEIJAO C.CHEESE POTE SCALA CX\16X150GR</v>
          </cell>
          <cell r="D748">
            <v>479.42</v>
          </cell>
          <cell r="E748">
            <v>0</v>
          </cell>
          <cell r="F748">
            <v>5</v>
          </cell>
          <cell r="G748">
            <v>0</v>
          </cell>
          <cell r="H748">
            <v>0</v>
          </cell>
          <cell r="I748">
            <v>0</v>
          </cell>
          <cell r="J748">
            <v>447.68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5</v>
          </cell>
          <cell r="P748">
            <v>7.0000000000000007E-2</v>
          </cell>
          <cell r="Q748">
            <v>12</v>
          </cell>
          <cell r="R748">
            <v>9.6</v>
          </cell>
          <cell r="S748">
            <v>0</v>
          </cell>
          <cell r="T748">
            <v>0</v>
          </cell>
        </row>
        <row r="749">
          <cell r="A749">
            <v>721</v>
          </cell>
          <cell r="B749">
            <v>4</v>
          </cell>
          <cell r="C749" t="str">
            <v>SALAME HAMBURGUES GOURMET SEARA CX\4X1,250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169.6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1</v>
          </cell>
          <cell r="P749">
            <v>0.01</v>
          </cell>
          <cell r="Q749">
            <v>0</v>
          </cell>
          <cell r="R749">
            <v>4.8</v>
          </cell>
          <cell r="S749">
            <v>0</v>
          </cell>
          <cell r="T749">
            <v>0</v>
          </cell>
        </row>
        <row r="750">
          <cell r="A750">
            <v>728</v>
          </cell>
          <cell r="B750">
            <v>4</v>
          </cell>
          <cell r="C750" t="str">
            <v>SELETA LEGUMES SEARA NATURE 10X1,0KG</v>
          </cell>
          <cell r="D750">
            <v>768.6</v>
          </cell>
          <cell r="E750">
            <v>0</v>
          </cell>
          <cell r="F750">
            <v>5</v>
          </cell>
          <cell r="G750">
            <v>0</v>
          </cell>
          <cell r="H750">
            <v>0</v>
          </cell>
          <cell r="I750">
            <v>0</v>
          </cell>
          <cell r="J750">
            <v>728.64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4</v>
          </cell>
          <cell r="P750">
            <v>0.05</v>
          </cell>
          <cell r="Q750">
            <v>50</v>
          </cell>
          <cell r="R750">
            <v>40</v>
          </cell>
          <cell r="S750">
            <v>0</v>
          </cell>
          <cell r="T750">
            <v>0</v>
          </cell>
        </row>
        <row r="751">
          <cell r="A751">
            <v>3456</v>
          </cell>
          <cell r="B751">
            <v>4</v>
          </cell>
          <cell r="C751" t="str">
            <v>STRANGER PIZZA CHEESE SEARA CX/12X210GR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151.63999999999999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2</v>
          </cell>
          <cell r="P751">
            <v>0.03</v>
          </cell>
          <cell r="Q751">
            <v>0</v>
          </cell>
          <cell r="R751">
            <v>10.08</v>
          </cell>
          <cell r="S751">
            <v>0</v>
          </cell>
          <cell r="T751">
            <v>0</v>
          </cell>
        </row>
        <row r="752">
          <cell r="A752">
            <v>3455</v>
          </cell>
          <cell r="B752">
            <v>4</v>
          </cell>
          <cell r="C752" t="str">
            <v>STRANGER PIZZA PEPPERONI SEARA CX/12X210GR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385.52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4</v>
          </cell>
          <cell r="P752">
            <v>0.05</v>
          </cell>
          <cell r="Q752">
            <v>0</v>
          </cell>
          <cell r="R752">
            <v>10.08</v>
          </cell>
          <cell r="S752">
            <v>0</v>
          </cell>
          <cell r="T752">
            <v>0</v>
          </cell>
        </row>
        <row r="753">
          <cell r="A753">
            <v>3105</v>
          </cell>
          <cell r="B753">
            <v>3</v>
          </cell>
          <cell r="C753" t="str">
            <v>AGUA COCO INTEGRAL SOCOCO CX\24X200ML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199.8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3</v>
          </cell>
          <cell r="P753">
            <v>0.04</v>
          </cell>
          <cell r="Q753">
            <v>0</v>
          </cell>
          <cell r="R753">
            <v>14.4</v>
          </cell>
          <cell r="S753">
            <v>0</v>
          </cell>
          <cell r="T753">
            <v>0</v>
          </cell>
        </row>
        <row r="754">
          <cell r="A754">
            <v>315</v>
          </cell>
          <cell r="B754">
            <v>3</v>
          </cell>
          <cell r="C754" t="str">
            <v>ALMONDEGA INCRIVEL LUVA SEARA CX\10X256G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396.9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2</v>
          </cell>
          <cell r="P754">
            <v>0.03</v>
          </cell>
          <cell r="Q754">
            <v>0</v>
          </cell>
          <cell r="R754">
            <v>7.68</v>
          </cell>
          <cell r="S754">
            <v>0</v>
          </cell>
          <cell r="T754">
            <v>0</v>
          </cell>
        </row>
        <row r="755">
          <cell r="A755">
            <v>3696</v>
          </cell>
          <cell r="B755">
            <v>3</v>
          </cell>
          <cell r="C755" t="str">
            <v>BARRA NUTS SEMENTES NUTRY 12X25G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101.32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2</v>
          </cell>
          <cell r="P755">
            <v>0.03</v>
          </cell>
          <cell r="Q755">
            <v>0</v>
          </cell>
          <cell r="R755">
            <v>0.9</v>
          </cell>
          <cell r="S755">
            <v>0</v>
          </cell>
          <cell r="T755">
            <v>0</v>
          </cell>
        </row>
        <row r="756">
          <cell r="A756">
            <v>3697</v>
          </cell>
          <cell r="B756">
            <v>3</v>
          </cell>
          <cell r="C756" t="str">
            <v>BARRA PROTEIN PASTA AMENDOIM NUTRY 12X30G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140.19999999999999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2</v>
          </cell>
          <cell r="P756">
            <v>0.03</v>
          </cell>
          <cell r="Q756">
            <v>0</v>
          </cell>
          <cell r="R756">
            <v>1.08</v>
          </cell>
          <cell r="S756">
            <v>0</v>
          </cell>
          <cell r="T756">
            <v>0</v>
          </cell>
        </row>
        <row r="757">
          <cell r="A757">
            <v>4291</v>
          </cell>
          <cell r="B757">
            <v>3</v>
          </cell>
          <cell r="C757" t="str">
            <v>CREME DE RICOTA LIGHT SCALA CX\12X200GR</v>
          </cell>
          <cell r="D757">
            <v>328.04</v>
          </cell>
          <cell r="E757">
            <v>0</v>
          </cell>
          <cell r="F757">
            <v>5</v>
          </cell>
          <cell r="G757">
            <v>0</v>
          </cell>
          <cell r="H757">
            <v>0</v>
          </cell>
          <cell r="I757">
            <v>0</v>
          </cell>
          <cell r="J757">
            <v>226.53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4</v>
          </cell>
          <cell r="P757">
            <v>0.05</v>
          </cell>
          <cell r="Q757">
            <v>12</v>
          </cell>
          <cell r="R757">
            <v>7.2</v>
          </cell>
          <cell r="S757">
            <v>0</v>
          </cell>
          <cell r="T757">
            <v>0</v>
          </cell>
        </row>
        <row r="758">
          <cell r="A758">
            <v>768</v>
          </cell>
          <cell r="B758">
            <v>3</v>
          </cell>
          <cell r="C758" t="str">
            <v>HAMBURGUER INCRIVEL LUVA SEARA CX\12X226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517.44000000000005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2</v>
          </cell>
          <cell r="P758">
            <v>0.03</v>
          </cell>
          <cell r="Q758">
            <v>0</v>
          </cell>
          <cell r="R758">
            <v>8.14</v>
          </cell>
          <cell r="S758">
            <v>0</v>
          </cell>
          <cell r="T758">
            <v>0</v>
          </cell>
        </row>
        <row r="759">
          <cell r="A759">
            <v>819</v>
          </cell>
          <cell r="B759">
            <v>3</v>
          </cell>
          <cell r="C759" t="str">
            <v>LASANHA BOLONHESA REZENDE CX\10X600GR</v>
          </cell>
          <cell r="D759">
            <v>939.6</v>
          </cell>
          <cell r="E759">
            <v>0.01</v>
          </cell>
          <cell r="F759">
            <v>10</v>
          </cell>
          <cell r="G759">
            <v>0</v>
          </cell>
          <cell r="H759">
            <v>0</v>
          </cell>
          <cell r="I759">
            <v>0</v>
          </cell>
          <cell r="J759">
            <v>342.9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4</v>
          </cell>
          <cell r="P759">
            <v>0.05</v>
          </cell>
          <cell r="Q759">
            <v>60</v>
          </cell>
          <cell r="R759">
            <v>18</v>
          </cell>
          <cell r="S759">
            <v>0</v>
          </cell>
          <cell r="T759">
            <v>0</v>
          </cell>
        </row>
        <row r="760">
          <cell r="A760">
            <v>2334</v>
          </cell>
          <cell r="B760">
            <v>3</v>
          </cell>
          <cell r="C760" t="str">
            <v>LASANHA PRESUNTO/QUEIJO LEBON 10X600GR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305.76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3</v>
          </cell>
          <cell r="P760">
            <v>0.04</v>
          </cell>
          <cell r="Q760">
            <v>0</v>
          </cell>
          <cell r="R760">
            <v>18</v>
          </cell>
          <cell r="S760">
            <v>0</v>
          </cell>
          <cell r="T760">
            <v>0</v>
          </cell>
        </row>
        <row r="761">
          <cell r="A761">
            <v>288</v>
          </cell>
          <cell r="B761">
            <v>3</v>
          </cell>
          <cell r="C761" t="str">
            <v>LEVISSIMO SEARA FATIADO CX/22X180GR</v>
          </cell>
          <cell r="D761">
            <v>303.49</v>
          </cell>
          <cell r="E761">
            <v>0</v>
          </cell>
          <cell r="F761">
            <v>2</v>
          </cell>
          <cell r="G761">
            <v>0</v>
          </cell>
          <cell r="H761">
            <v>0</v>
          </cell>
          <cell r="I761">
            <v>0</v>
          </cell>
          <cell r="J761">
            <v>423.64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4</v>
          </cell>
          <cell r="P761">
            <v>0.05</v>
          </cell>
          <cell r="Q761">
            <v>7.92</v>
          </cell>
          <cell r="R761">
            <v>11.88</v>
          </cell>
          <cell r="S761">
            <v>0</v>
          </cell>
          <cell r="T761">
            <v>0</v>
          </cell>
        </row>
        <row r="762">
          <cell r="A762">
            <v>3773</v>
          </cell>
          <cell r="B762">
            <v>3</v>
          </cell>
          <cell r="C762" t="str">
            <v>MARGARINA BALDE 80% ELOGIATA  15KG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535.08000000000004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3</v>
          </cell>
          <cell r="P762">
            <v>0.04</v>
          </cell>
          <cell r="Q762">
            <v>0</v>
          </cell>
          <cell r="R762">
            <v>45</v>
          </cell>
          <cell r="S762">
            <v>0</v>
          </cell>
          <cell r="T762">
            <v>0</v>
          </cell>
        </row>
        <row r="763">
          <cell r="A763">
            <v>4014</v>
          </cell>
          <cell r="B763">
            <v>3</v>
          </cell>
          <cell r="C763" t="str">
            <v>MEIO DA ASA IQF AURORA CX/4X3KG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629.76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1</v>
          </cell>
          <cell r="P763">
            <v>0.01</v>
          </cell>
          <cell r="Q763">
            <v>0</v>
          </cell>
          <cell r="R763">
            <v>36</v>
          </cell>
          <cell r="S763">
            <v>0</v>
          </cell>
          <cell r="T763">
            <v>0</v>
          </cell>
        </row>
        <row r="764">
          <cell r="A764">
            <v>1158</v>
          </cell>
          <cell r="B764">
            <v>3</v>
          </cell>
          <cell r="C764" t="str">
            <v>MOLHO AZEITONA SACHE SALSARETTI 32X300GR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308.43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2</v>
          </cell>
          <cell r="P764">
            <v>0.03</v>
          </cell>
          <cell r="Q764">
            <v>0</v>
          </cell>
          <cell r="R764">
            <v>28.8</v>
          </cell>
          <cell r="S764">
            <v>0</v>
          </cell>
          <cell r="T764">
            <v>0</v>
          </cell>
        </row>
        <row r="765">
          <cell r="A765">
            <v>1156</v>
          </cell>
          <cell r="B765">
            <v>3</v>
          </cell>
          <cell r="C765" t="str">
            <v>MOLHO BOLONHESA SACHE SALSARETTI 32X300G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266.41000000000003</v>
          </cell>
          <cell r="K765">
            <v>0</v>
          </cell>
          <cell r="L765">
            <v>87.61</v>
          </cell>
          <cell r="M765">
            <v>0.05</v>
          </cell>
          <cell r="N765">
            <v>1</v>
          </cell>
          <cell r="O765">
            <v>3</v>
          </cell>
          <cell r="P765">
            <v>0.04</v>
          </cell>
          <cell r="Q765">
            <v>0</v>
          </cell>
          <cell r="R765">
            <v>28.8</v>
          </cell>
          <cell r="S765">
            <v>0</v>
          </cell>
          <cell r="T765">
            <v>9.6</v>
          </cell>
        </row>
        <row r="766">
          <cell r="A766">
            <v>4204</v>
          </cell>
          <cell r="B766">
            <v>3</v>
          </cell>
          <cell r="C766" t="str">
            <v>MORTADELA ITALIANA FATIADA SEARA CX\18X100GR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404.85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3</v>
          </cell>
          <cell r="P766">
            <v>0.04</v>
          </cell>
          <cell r="Q766">
            <v>0</v>
          </cell>
          <cell r="R766">
            <v>5.4</v>
          </cell>
          <cell r="S766">
            <v>0</v>
          </cell>
          <cell r="T766">
            <v>0</v>
          </cell>
        </row>
        <row r="767">
          <cell r="A767">
            <v>1155</v>
          </cell>
          <cell r="B767">
            <v>3</v>
          </cell>
          <cell r="C767" t="str">
            <v>MOSTARDA SACHÊ SALSARETTI 144X5GR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33.6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3</v>
          </cell>
          <cell r="P767">
            <v>0.04</v>
          </cell>
          <cell r="Q767">
            <v>0</v>
          </cell>
          <cell r="R767">
            <v>6</v>
          </cell>
          <cell r="S767">
            <v>0</v>
          </cell>
          <cell r="T767">
            <v>0</v>
          </cell>
        </row>
        <row r="768">
          <cell r="A768">
            <v>1905</v>
          </cell>
          <cell r="B768">
            <v>3</v>
          </cell>
          <cell r="C768" t="str">
            <v>PANELINHA FRICASSE FRANGO SEARA 12X300GR</v>
          </cell>
          <cell r="D768">
            <v>491.83</v>
          </cell>
          <cell r="E768">
            <v>0</v>
          </cell>
          <cell r="F768">
            <v>3</v>
          </cell>
          <cell r="G768">
            <v>0</v>
          </cell>
          <cell r="H768">
            <v>0</v>
          </cell>
          <cell r="I768">
            <v>0</v>
          </cell>
          <cell r="J768">
            <v>555.44000000000005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4</v>
          </cell>
          <cell r="P768">
            <v>0.05</v>
          </cell>
          <cell r="Q768">
            <v>10.8</v>
          </cell>
          <cell r="R768">
            <v>10.8</v>
          </cell>
          <cell r="S768">
            <v>0</v>
          </cell>
          <cell r="T768">
            <v>0</v>
          </cell>
        </row>
        <row r="769">
          <cell r="A769">
            <v>1039</v>
          </cell>
          <cell r="B769">
            <v>3</v>
          </cell>
          <cell r="C769" t="str">
            <v>PEITO PERU DEFUMADO REZENDE CX\2X2,5KG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317.52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2</v>
          </cell>
          <cell r="P769">
            <v>0.03</v>
          </cell>
          <cell r="Q769">
            <v>0</v>
          </cell>
          <cell r="R769">
            <v>7.5</v>
          </cell>
          <cell r="S769">
            <v>0</v>
          </cell>
          <cell r="T769">
            <v>0</v>
          </cell>
        </row>
        <row r="770">
          <cell r="A770">
            <v>2635</v>
          </cell>
          <cell r="B770">
            <v>3</v>
          </cell>
          <cell r="C770" t="str">
            <v>PIPOQUINHA FRANGO NETFLIX SEARA CX\16X275G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545.52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3</v>
          </cell>
          <cell r="P770">
            <v>0.04</v>
          </cell>
          <cell r="Q770">
            <v>0</v>
          </cell>
          <cell r="R770">
            <v>12.6</v>
          </cell>
          <cell r="S770">
            <v>0</v>
          </cell>
          <cell r="T770">
            <v>0</v>
          </cell>
        </row>
        <row r="771">
          <cell r="A771">
            <v>846</v>
          </cell>
          <cell r="B771">
            <v>3</v>
          </cell>
          <cell r="C771" t="str">
            <v>PIZZA FRANGO\REQUEIJAO REZENDE CX\12X400GR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377.7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3</v>
          </cell>
          <cell r="P771">
            <v>0.04</v>
          </cell>
          <cell r="Q771">
            <v>0</v>
          </cell>
          <cell r="R771">
            <v>14.4</v>
          </cell>
          <cell r="S771">
            <v>0</v>
          </cell>
          <cell r="T771">
            <v>0</v>
          </cell>
        </row>
        <row r="772">
          <cell r="A772">
            <v>711</v>
          </cell>
          <cell r="B772">
            <v>3</v>
          </cell>
          <cell r="C772" t="str">
            <v>PIZZA MUSSARELA SEARA CX\12X440GR</v>
          </cell>
          <cell r="D772">
            <v>1476.82</v>
          </cell>
          <cell r="E772">
            <v>0.01</v>
          </cell>
          <cell r="F772">
            <v>10</v>
          </cell>
          <cell r="G772">
            <v>0</v>
          </cell>
          <cell r="H772">
            <v>0</v>
          </cell>
          <cell r="I772">
            <v>0</v>
          </cell>
          <cell r="J772">
            <v>499.8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2</v>
          </cell>
          <cell r="P772">
            <v>0.03</v>
          </cell>
          <cell r="Q772">
            <v>52.8</v>
          </cell>
          <cell r="R772">
            <v>15.84</v>
          </cell>
          <cell r="S772">
            <v>0</v>
          </cell>
          <cell r="T772">
            <v>0</v>
          </cell>
        </row>
        <row r="773">
          <cell r="A773">
            <v>266</v>
          </cell>
          <cell r="B773">
            <v>3</v>
          </cell>
          <cell r="C773" t="str">
            <v>PIZZA PORTUGUESA SEARA CX12X460GR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547.6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3</v>
          </cell>
          <cell r="P773">
            <v>0.04</v>
          </cell>
          <cell r="Q773">
            <v>0</v>
          </cell>
          <cell r="R773">
            <v>16.559999999999999</v>
          </cell>
          <cell r="S773">
            <v>0</v>
          </cell>
          <cell r="T773">
            <v>0</v>
          </cell>
        </row>
        <row r="774">
          <cell r="A774">
            <v>3641</v>
          </cell>
          <cell r="B774">
            <v>3</v>
          </cell>
          <cell r="C774" t="str">
            <v>UVA PASSA BRANCA S/SEMENTE TOZZI CX 12X180GR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273.27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3</v>
          </cell>
          <cell r="P774">
            <v>0.04</v>
          </cell>
          <cell r="Q774">
            <v>0</v>
          </cell>
          <cell r="R774">
            <v>6.48</v>
          </cell>
          <cell r="S774">
            <v>0</v>
          </cell>
          <cell r="T774">
            <v>0</v>
          </cell>
        </row>
        <row r="775">
          <cell r="A775">
            <v>104</v>
          </cell>
          <cell r="B775">
            <v>2</v>
          </cell>
          <cell r="C775" t="str">
            <v>ALMONDEGA CARNE BOVINA SEARA CX\12X500G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467.86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2</v>
          </cell>
          <cell r="P775">
            <v>0.03</v>
          </cell>
          <cell r="Q775">
            <v>0</v>
          </cell>
          <cell r="R775">
            <v>12</v>
          </cell>
          <cell r="S775">
            <v>0</v>
          </cell>
          <cell r="T775">
            <v>0</v>
          </cell>
        </row>
        <row r="776">
          <cell r="A776">
            <v>3873</v>
          </cell>
          <cell r="B776">
            <v>2</v>
          </cell>
          <cell r="C776" t="str">
            <v>BARRA CEREAL MORANGO CHOCOLATE NUTRY CX\24X3X22G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176.4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1</v>
          </cell>
          <cell r="P776">
            <v>0.01</v>
          </cell>
          <cell r="Q776">
            <v>0</v>
          </cell>
          <cell r="R776">
            <v>3.17</v>
          </cell>
          <cell r="S776">
            <v>0</v>
          </cell>
          <cell r="T776">
            <v>0</v>
          </cell>
        </row>
        <row r="777">
          <cell r="A777">
            <v>3872</v>
          </cell>
          <cell r="B777">
            <v>2</v>
          </cell>
          <cell r="C777" t="str">
            <v>BARRA FRUTA BANANA NUTRY 24X20G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82.32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2</v>
          </cell>
          <cell r="P777">
            <v>0.03</v>
          </cell>
          <cell r="Q777">
            <v>0</v>
          </cell>
          <cell r="R777">
            <v>0.96</v>
          </cell>
          <cell r="S777">
            <v>0</v>
          </cell>
          <cell r="T777">
            <v>0</v>
          </cell>
        </row>
        <row r="778">
          <cell r="A778">
            <v>4099</v>
          </cell>
          <cell r="B778">
            <v>2</v>
          </cell>
          <cell r="C778" t="str">
            <v>BARRA PROTEIN BOMBOM DE COCO NUTRY 12X30G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88.6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2</v>
          </cell>
          <cell r="P778">
            <v>0.03</v>
          </cell>
          <cell r="Q778">
            <v>0</v>
          </cell>
          <cell r="R778">
            <v>0.72</v>
          </cell>
          <cell r="S778">
            <v>0</v>
          </cell>
          <cell r="T778">
            <v>0</v>
          </cell>
        </row>
        <row r="779">
          <cell r="A779">
            <v>3700</v>
          </cell>
          <cell r="B779">
            <v>2</v>
          </cell>
          <cell r="C779" t="str">
            <v>BARRA PROTEIN TRUFA DE AVELA NUTRY 12X30G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93.48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2</v>
          </cell>
          <cell r="P779">
            <v>0.03</v>
          </cell>
          <cell r="Q779">
            <v>0</v>
          </cell>
          <cell r="R779">
            <v>0.72</v>
          </cell>
          <cell r="S779">
            <v>0</v>
          </cell>
          <cell r="T779">
            <v>0</v>
          </cell>
        </row>
        <row r="780">
          <cell r="A780">
            <v>3188</v>
          </cell>
          <cell r="B780">
            <v>2</v>
          </cell>
          <cell r="C780" t="str">
            <v>CHOCOLATE EM PÓ DAMARE 50% CACAU 1,010KG</v>
          </cell>
          <cell r="D780">
            <v>13005</v>
          </cell>
          <cell r="E780">
            <v>0.08</v>
          </cell>
          <cell r="F780">
            <v>500</v>
          </cell>
          <cell r="G780">
            <v>0</v>
          </cell>
          <cell r="H780">
            <v>0</v>
          </cell>
          <cell r="I780">
            <v>0</v>
          </cell>
          <cell r="J780">
            <v>68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2</v>
          </cell>
          <cell r="P780">
            <v>0.03</v>
          </cell>
          <cell r="Q780">
            <v>505</v>
          </cell>
          <cell r="R780">
            <v>2.02</v>
          </cell>
          <cell r="S780">
            <v>0</v>
          </cell>
          <cell r="T780">
            <v>0</v>
          </cell>
        </row>
        <row r="781">
          <cell r="A781">
            <v>3361</v>
          </cell>
          <cell r="B781">
            <v>2</v>
          </cell>
          <cell r="C781" t="str">
            <v>COPA FATIADA SEARA GOURMET  24X80GR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383.52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1</v>
          </cell>
          <cell r="P781">
            <v>0.01</v>
          </cell>
          <cell r="Q781">
            <v>0</v>
          </cell>
          <cell r="R781">
            <v>3.84</v>
          </cell>
          <cell r="S781">
            <v>0</v>
          </cell>
          <cell r="T781">
            <v>0</v>
          </cell>
        </row>
        <row r="782">
          <cell r="A782">
            <v>4163</v>
          </cell>
          <cell r="B782">
            <v>2</v>
          </cell>
          <cell r="C782" t="str">
            <v>FILEZINHO SASSAMI TEMP. IQF LAR CX\20X700GR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447.86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2</v>
          </cell>
          <cell r="P782">
            <v>0.03</v>
          </cell>
          <cell r="Q782">
            <v>0</v>
          </cell>
          <cell r="R782">
            <v>28</v>
          </cell>
          <cell r="S782">
            <v>0</v>
          </cell>
          <cell r="T782">
            <v>0</v>
          </cell>
        </row>
        <row r="783">
          <cell r="A783">
            <v>3216</v>
          </cell>
          <cell r="B783">
            <v>2</v>
          </cell>
          <cell r="C783" t="str">
            <v>HAMBURGUER BOVINO BACON SEARA CX21X150G</v>
          </cell>
          <cell r="D783">
            <v>91.1</v>
          </cell>
          <cell r="E783">
            <v>0</v>
          </cell>
          <cell r="F783">
            <v>1</v>
          </cell>
          <cell r="G783">
            <v>0</v>
          </cell>
          <cell r="H783">
            <v>0</v>
          </cell>
          <cell r="I783">
            <v>0</v>
          </cell>
          <cell r="J783">
            <v>327.91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3</v>
          </cell>
          <cell r="P783">
            <v>0.04</v>
          </cell>
          <cell r="Q783">
            <v>3.15</v>
          </cell>
          <cell r="R783">
            <v>6.3</v>
          </cell>
          <cell r="S783">
            <v>0</v>
          </cell>
          <cell r="T783">
            <v>0</v>
          </cell>
        </row>
        <row r="784">
          <cell r="A784">
            <v>3289</v>
          </cell>
          <cell r="B784">
            <v>2</v>
          </cell>
          <cell r="C784" t="str">
            <v>HAMBURGUER BOVINO COSTELA SEARA CX21X150G</v>
          </cell>
          <cell r="D784">
            <v>307.44</v>
          </cell>
          <cell r="E784">
            <v>0</v>
          </cell>
          <cell r="F784">
            <v>2</v>
          </cell>
          <cell r="G784">
            <v>0</v>
          </cell>
          <cell r="H784">
            <v>0</v>
          </cell>
          <cell r="I784">
            <v>0</v>
          </cell>
          <cell r="J784">
            <v>362.6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3</v>
          </cell>
          <cell r="P784">
            <v>0.04</v>
          </cell>
          <cell r="Q784">
            <v>6.3</v>
          </cell>
          <cell r="R784">
            <v>6.3</v>
          </cell>
          <cell r="S784">
            <v>0</v>
          </cell>
          <cell r="T784">
            <v>0</v>
          </cell>
        </row>
        <row r="785">
          <cell r="A785">
            <v>3020</v>
          </cell>
          <cell r="B785">
            <v>2</v>
          </cell>
          <cell r="C785" t="str">
            <v>HAMBURGUER GRAN ANGUS BURGER’S GOURMET SEARA 12X400GR</v>
          </cell>
          <cell r="D785">
            <v>444.48</v>
          </cell>
          <cell r="E785">
            <v>0</v>
          </cell>
          <cell r="F785">
            <v>2</v>
          </cell>
          <cell r="G785">
            <v>0</v>
          </cell>
          <cell r="H785">
            <v>0</v>
          </cell>
          <cell r="I785">
            <v>0</v>
          </cell>
          <cell r="J785">
            <v>554.67999999999995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2</v>
          </cell>
          <cell r="P785">
            <v>0.03</v>
          </cell>
          <cell r="Q785">
            <v>9.6</v>
          </cell>
          <cell r="R785">
            <v>9.6</v>
          </cell>
          <cell r="S785">
            <v>0</v>
          </cell>
          <cell r="T785">
            <v>0</v>
          </cell>
        </row>
        <row r="786">
          <cell r="A786">
            <v>1475</v>
          </cell>
          <cell r="B786">
            <v>2</v>
          </cell>
          <cell r="C786" t="str">
            <v>HAMBURGUER INCRIVEL SEARA CX\40X60GR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220.97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2</v>
          </cell>
          <cell r="P786">
            <v>0.03</v>
          </cell>
          <cell r="Q786">
            <v>0</v>
          </cell>
          <cell r="R786">
            <v>5.42</v>
          </cell>
          <cell r="S786">
            <v>0</v>
          </cell>
          <cell r="T786">
            <v>0</v>
          </cell>
        </row>
        <row r="787">
          <cell r="A787">
            <v>567</v>
          </cell>
          <cell r="B787">
            <v>2</v>
          </cell>
          <cell r="C787" t="str">
            <v>HAMBURGUER REZENDE CX/12X672GR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337.12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2</v>
          </cell>
          <cell r="P787">
            <v>0.03</v>
          </cell>
          <cell r="Q787">
            <v>0</v>
          </cell>
          <cell r="R787">
            <v>16.13</v>
          </cell>
          <cell r="S787">
            <v>0</v>
          </cell>
          <cell r="T787">
            <v>0</v>
          </cell>
        </row>
        <row r="788">
          <cell r="A788">
            <v>811</v>
          </cell>
          <cell r="B788">
            <v>2</v>
          </cell>
          <cell r="C788" t="str">
            <v>HAMBURGUER TEXAS BURGER CX/12X672GR</v>
          </cell>
          <cell r="D788">
            <v>756.83</v>
          </cell>
          <cell r="E788">
            <v>0</v>
          </cell>
          <cell r="F788">
            <v>5</v>
          </cell>
          <cell r="G788">
            <v>0</v>
          </cell>
          <cell r="H788">
            <v>0</v>
          </cell>
          <cell r="I788">
            <v>0</v>
          </cell>
          <cell r="J788">
            <v>370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3</v>
          </cell>
          <cell r="P788">
            <v>0.04</v>
          </cell>
          <cell r="Q788">
            <v>40.200000000000003</v>
          </cell>
          <cell r="R788">
            <v>16.079999999999998</v>
          </cell>
          <cell r="S788">
            <v>0</v>
          </cell>
          <cell r="T788">
            <v>0</v>
          </cell>
        </row>
        <row r="789">
          <cell r="A789">
            <v>945</v>
          </cell>
          <cell r="B789">
            <v>2</v>
          </cell>
          <cell r="C789" t="str">
            <v>KIBE INCRIVEL SEARA CX/12X300GR</v>
          </cell>
          <cell r="D789">
            <v>275.89999999999998</v>
          </cell>
          <cell r="E789">
            <v>0</v>
          </cell>
          <cell r="F789">
            <v>2</v>
          </cell>
          <cell r="G789">
            <v>0</v>
          </cell>
          <cell r="H789">
            <v>0</v>
          </cell>
          <cell r="I789">
            <v>0</v>
          </cell>
          <cell r="J789">
            <v>332.64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3</v>
          </cell>
          <cell r="P789">
            <v>0.04</v>
          </cell>
          <cell r="Q789">
            <v>12</v>
          </cell>
          <cell r="R789">
            <v>12</v>
          </cell>
          <cell r="S789">
            <v>0</v>
          </cell>
          <cell r="T789">
            <v>0</v>
          </cell>
        </row>
        <row r="790">
          <cell r="A790">
            <v>290</v>
          </cell>
          <cell r="B790">
            <v>2</v>
          </cell>
          <cell r="C790" t="str">
            <v>KIBE SEARA CX/12X500GR</v>
          </cell>
          <cell r="D790">
            <v>552.24</v>
          </cell>
          <cell r="E790">
            <v>0</v>
          </cell>
          <cell r="F790">
            <v>3</v>
          </cell>
          <cell r="G790">
            <v>0</v>
          </cell>
          <cell r="H790">
            <v>0</v>
          </cell>
          <cell r="I790">
            <v>0</v>
          </cell>
          <cell r="J790">
            <v>441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3</v>
          </cell>
          <cell r="P790">
            <v>0.04</v>
          </cell>
          <cell r="Q790">
            <v>18</v>
          </cell>
          <cell r="R790">
            <v>12</v>
          </cell>
          <cell r="S790">
            <v>0</v>
          </cell>
          <cell r="T790">
            <v>0</v>
          </cell>
        </row>
        <row r="791">
          <cell r="A791">
            <v>3096</v>
          </cell>
          <cell r="B791">
            <v>2</v>
          </cell>
          <cell r="C791" t="str">
            <v>LASANHA 4 QUEIJOS AIRFRYER SEARA 12X300GR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199.92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2</v>
          </cell>
          <cell r="P791">
            <v>0.03</v>
          </cell>
          <cell r="Q791">
            <v>0</v>
          </cell>
          <cell r="R791">
            <v>7.2</v>
          </cell>
          <cell r="S791">
            <v>0</v>
          </cell>
          <cell r="T791">
            <v>0</v>
          </cell>
        </row>
        <row r="792">
          <cell r="A792">
            <v>822</v>
          </cell>
          <cell r="B792">
            <v>2</v>
          </cell>
          <cell r="C792" t="str">
            <v>LING ALHO PORO GOURMET SEARA 12X500G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415.8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2</v>
          </cell>
          <cell r="P792">
            <v>0.03</v>
          </cell>
          <cell r="Q792">
            <v>0</v>
          </cell>
          <cell r="R792">
            <v>12</v>
          </cell>
          <cell r="S792">
            <v>0</v>
          </cell>
          <cell r="T792">
            <v>0</v>
          </cell>
        </row>
        <row r="793">
          <cell r="A793">
            <v>287</v>
          </cell>
          <cell r="B793">
            <v>2</v>
          </cell>
          <cell r="C793" t="str">
            <v>LING PIMENTA BIQUINHO SEARA GOURMET 12X500G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412.58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2</v>
          </cell>
          <cell r="P793">
            <v>0.03</v>
          </cell>
          <cell r="Q793">
            <v>0</v>
          </cell>
          <cell r="R793">
            <v>12</v>
          </cell>
          <cell r="S793">
            <v>0</v>
          </cell>
          <cell r="T793">
            <v>0</v>
          </cell>
        </row>
        <row r="794">
          <cell r="A794">
            <v>1161</v>
          </cell>
          <cell r="B794">
            <v>2</v>
          </cell>
          <cell r="C794" t="str">
            <v>MAIONESE TOP DOWN SALSARETTI 15X350GR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192.08</v>
          </cell>
          <cell r="K794">
            <v>0</v>
          </cell>
          <cell r="L794">
            <v>96.04</v>
          </cell>
          <cell r="M794">
            <v>0.06</v>
          </cell>
          <cell r="N794">
            <v>1</v>
          </cell>
          <cell r="O794">
            <v>2</v>
          </cell>
          <cell r="P794">
            <v>0.03</v>
          </cell>
          <cell r="Q794">
            <v>0</v>
          </cell>
          <cell r="R794">
            <v>10.5</v>
          </cell>
          <cell r="S794">
            <v>0</v>
          </cell>
          <cell r="T794">
            <v>5.25</v>
          </cell>
        </row>
        <row r="795">
          <cell r="A795">
            <v>4279</v>
          </cell>
          <cell r="B795">
            <v>2</v>
          </cell>
          <cell r="C795" t="str">
            <v>MANTEIGA SCALA CX\12X500GR</v>
          </cell>
          <cell r="D795">
            <v>1027.78</v>
          </cell>
          <cell r="E795">
            <v>0.01</v>
          </cell>
          <cell r="F795">
            <v>5</v>
          </cell>
          <cell r="G795">
            <v>0</v>
          </cell>
          <cell r="H795">
            <v>0</v>
          </cell>
          <cell r="I795">
            <v>0</v>
          </cell>
          <cell r="J795">
            <v>479.8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3</v>
          </cell>
          <cell r="P795">
            <v>0.04</v>
          </cell>
          <cell r="Q795">
            <v>30</v>
          </cell>
          <cell r="R795">
            <v>12</v>
          </cell>
          <cell r="S795">
            <v>0</v>
          </cell>
          <cell r="T795">
            <v>0</v>
          </cell>
        </row>
        <row r="796">
          <cell r="A796">
            <v>1157</v>
          </cell>
          <cell r="B796">
            <v>2</v>
          </cell>
          <cell r="C796" t="str">
            <v>MOLHO MANJERICAO SACHE SALSARETTI 32X300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143.08000000000001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2</v>
          </cell>
          <cell r="P796">
            <v>0.03</v>
          </cell>
          <cell r="Q796">
            <v>0</v>
          </cell>
          <cell r="R796">
            <v>19.2</v>
          </cell>
          <cell r="S796">
            <v>0</v>
          </cell>
          <cell r="T796">
            <v>0</v>
          </cell>
        </row>
        <row r="797">
          <cell r="A797">
            <v>1903</v>
          </cell>
          <cell r="B797">
            <v>2</v>
          </cell>
          <cell r="C797" t="str">
            <v>PANELINHA CALDO FEIJAO C/BACON  12X300GR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296.49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2</v>
          </cell>
          <cell r="P797">
            <v>0.03</v>
          </cell>
          <cell r="Q797">
            <v>0</v>
          </cell>
          <cell r="R797">
            <v>7.2</v>
          </cell>
          <cell r="S797">
            <v>0</v>
          </cell>
          <cell r="T797">
            <v>0</v>
          </cell>
        </row>
        <row r="798">
          <cell r="A798">
            <v>1603</v>
          </cell>
          <cell r="B798">
            <v>2</v>
          </cell>
          <cell r="C798" t="str">
            <v>PATE FRANGO LEBON CX/30X100GR</v>
          </cell>
          <cell r="D798">
            <v>57.84</v>
          </cell>
          <cell r="E798">
            <v>0</v>
          </cell>
          <cell r="F798">
            <v>1</v>
          </cell>
          <cell r="G798">
            <v>0</v>
          </cell>
          <cell r="H798">
            <v>0</v>
          </cell>
          <cell r="I798">
            <v>0</v>
          </cell>
          <cell r="J798">
            <v>63.7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3</v>
          </cell>
          <cell r="P798">
            <v>0.04</v>
          </cell>
          <cell r="Q798">
            <v>3</v>
          </cell>
          <cell r="R798">
            <v>6</v>
          </cell>
          <cell r="S798">
            <v>0</v>
          </cell>
          <cell r="T798">
            <v>0</v>
          </cell>
        </row>
        <row r="799">
          <cell r="A799">
            <v>273</v>
          </cell>
          <cell r="B799">
            <v>2</v>
          </cell>
          <cell r="C799" t="str">
            <v>PATE PRESUNTO SEARA CX/30X100GR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1</v>
          </cell>
          <cell r="P799">
            <v>0.01</v>
          </cell>
          <cell r="Q799">
            <v>0</v>
          </cell>
          <cell r="R799">
            <v>6</v>
          </cell>
          <cell r="S799">
            <v>0</v>
          </cell>
          <cell r="T799">
            <v>0</v>
          </cell>
        </row>
        <row r="800">
          <cell r="A800">
            <v>4190</v>
          </cell>
          <cell r="B800">
            <v>2</v>
          </cell>
          <cell r="C800" t="str">
            <v>PEIXE DESFIADO SAITHE E POLACA CX 12X300G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490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2</v>
          </cell>
          <cell r="P800">
            <v>0.03</v>
          </cell>
          <cell r="Q800">
            <v>0</v>
          </cell>
          <cell r="R800">
            <v>7.2</v>
          </cell>
          <cell r="S800">
            <v>0</v>
          </cell>
          <cell r="T800">
            <v>0</v>
          </cell>
        </row>
        <row r="801">
          <cell r="A801">
            <v>265</v>
          </cell>
          <cell r="B801">
            <v>2</v>
          </cell>
          <cell r="C801" t="str">
            <v>POLPETONE SEARA GOURMET CX/12X320GR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143.76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2</v>
          </cell>
          <cell r="P801">
            <v>0.03</v>
          </cell>
          <cell r="Q801">
            <v>0</v>
          </cell>
          <cell r="R801">
            <v>7.68</v>
          </cell>
          <cell r="S801">
            <v>0</v>
          </cell>
          <cell r="T801">
            <v>0</v>
          </cell>
        </row>
        <row r="802">
          <cell r="A802">
            <v>253</v>
          </cell>
          <cell r="B802">
            <v>2</v>
          </cell>
          <cell r="C802" t="str">
            <v>STEAK INCRIVEL EMPANADO SEARA CX/16X300GR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440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2</v>
          </cell>
          <cell r="P802">
            <v>0.03</v>
          </cell>
          <cell r="Q802">
            <v>0</v>
          </cell>
          <cell r="R802">
            <v>9.6</v>
          </cell>
          <cell r="S802">
            <v>0</v>
          </cell>
          <cell r="T802">
            <v>0</v>
          </cell>
        </row>
        <row r="803">
          <cell r="A803">
            <v>421</v>
          </cell>
          <cell r="B803">
            <v>1</v>
          </cell>
          <cell r="C803" t="str">
            <v>AGUA COCO MAIS COCO CX\24X200ML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52.92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1</v>
          </cell>
          <cell r="P803">
            <v>0.01</v>
          </cell>
          <cell r="Q803">
            <v>0</v>
          </cell>
          <cell r="R803">
            <v>4.8</v>
          </cell>
          <cell r="S803">
            <v>0</v>
          </cell>
          <cell r="T803">
            <v>0</v>
          </cell>
        </row>
        <row r="804">
          <cell r="A804">
            <v>442</v>
          </cell>
          <cell r="B804">
            <v>1</v>
          </cell>
          <cell r="C804" t="str">
            <v>BACON CUBOS SEARA GOURMET CX/24X140GR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244.61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1</v>
          </cell>
          <cell r="P804">
            <v>0.01</v>
          </cell>
          <cell r="Q804">
            <v>0</v>
          </cell>
          <cell r="R804">
            <v>3.36</v>
          </cell>
          <cell r="S804">
            <v>0</v>
          </cell>
          <cell r="T804">
            <v>0</v>
          </cell>
        </row>
        <row r="805">
          <cell r="A805">
            <v>3868</v>
          </cell>
          <cell r="B805">
            <v>1</v>
          </cell>
          <cell r="C805" t="str">
            <v>BARRA BANANINHA ZERO NUTRY 24X23GR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57.72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1</v>
          </cell>
          <cell r="P805">
            <v>0.01</v>
          </cell>
          <cell r="Q805">
            <v>0</v>
          </cell>
          <cell r="R805">
            <v>0.55000000000000004</v>
          </cell>
          <cell r="S805">
            <v>0</v>
          </cell>
          <cell r="T805">
            <v>0</v>
          </cell>
        </row>
        <row r="806">
          <cell r="A806">
            <v>3869</v>
          </cell>
          <cell r="B806">
            <v>1</v>
          </cell>
          <cell r="C806" t="str">
            <v>BARRA FRUTA BANANINHA NUTRY  24X30G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51.94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1</v>
          </cell>
          <cell r="P806">
            <v>0.01</v>
          </cell>
          <cell r="Q806">
            <v>0</v>
          </cell>
          <cell r="R806">
            <v>0.73</v>
          </cell>
          <cell r="S806">
            <v>0</v>
          </cell>
          <cell r="T806">
            <v>0</v>
          </cell>
        </row>
        <row r="807">
          <cell r="A807">
            <v>3876</v>
          </cell>
          <cell r="B807">
            <v>1</v>
          </cell>
          <cell r="C807" t="str">
            <v>BARRA TUBE PROTEIN MORANGO NUTRY 12X38GR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80.36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1</v>
          </cell>
          <cell r="P807">
            <v>0.01</v>
          </cell>
          <cell r="Q807">
            <v>0</v>
          </cell>
          <cell r="R807">
            <v>0.45</v>
          </cell>
          <cell r="S807">
            <v>0</v>
          </cell>
          <cell r="T807">
            <v>0</v>
          </cell>
        </row>
        <row r="808">
          <cell r="A808">
            <v>3756</v>
          </cell>
          <cell r="B808">
            <v>1</v>
          </cell>
          <cell r="C808" t="str">
            <v>BEB.LACTEA MORANGO DAMARE KIDS  24X200GR</v>
          </cell>
          <cell r="D808">
            <v>9891.0400000000009</v>
          </cell>
          <cell r="E808">
            <v>0.06</v>
          </cell>
          <cell r="F808">
            <v>585</v>
          </cell>
          <cell r="G808">
            <v>0</v>
          </cell>
          <cell r="H808">
            <v>0</v>
          </cell>
          <cell r="I808">
            <v>0</v>
          </cell>
          <cell r="J808">
            <v>19.89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2</v>
          </cell>
          <cell r="P808">
            <v>0.03</v>
          </cell>
          <cell r="Q808">
            <v>2808</v>
          </cell>
          <cell r="R808">
            <v>4.8</v>
          </cell>
          <cell r="S808">
            <v>0</v>
          </cell>
          <cell r="T808">
            <v>0</v>
          </cell>
        </row>
        <row r="809">
          <cell r="A809">
            <v>4249</v>
          </cell>
          <cell r="B809">
            <v>1</v>
          </cell>
          <cell r="C809" t="str">
            <v>COCO RALADO SECO 100 % DUCOCO 1KG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55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1</v>
          </cell>
          <cell r="P809">
            <v>0.01</v>
          </cell>
          <cell r="Q809">
            <v>0</v>
          </cell>
          <cell r="R809">
            <v>1</v>
          </cell>
          <cell r="S809">
            <v>0</v>
          </cell>
          <cell r="T809">
            <v>0</v>
          </cell>
        </row>
        <row r="810">
          <cell r="A810">
            <v>3410</v>
          </cell>
          <cell r="B810">
            <v>1</v>
          </cell>
          <cell r="C810" t="str">
            <v>CREME AVELA\CACAU  TRIANGULO MINEIRO 10X170G</v>
          </cell>
          <cell r="D810">
            <v>2093.94</v>
          </cell>
          <cell r="E810">
            <v>0.01</v>
          </cell>
          <cell r="F810">
            <v>30</v>
          </cell>
          <cell r="G810">
            <v>0</v>
          </cell>
          <cell r="H810">
            <v>0</v>
          </cell>
          <cell r="I810">
            <v>0</v>
          </cell>
          <cell r="J810">
            <v>86.24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2</v>
          </cell>
          <cell r="P810">
            <v>0.03</v>
          </cell>
          <cell r="Q810">
            <v>300</v>
          </cell>
          <cell r="R810">
            <v>10</v>
          </cell>
          <cell r="S810">
            <v>0</v>
          </cell>
          <cell r="T810">
            <v>0</v>
          </cell>
        </row>
        <row r="811">
          <cell r="A811">
            <v>3879</v>
          </cell>
          <cell r="B811">
            <v>1</v>
          </cell>
          <cell r="C811" t="str">
            <v>FARINHA LACTEA NUTRIMENTALCX/12X180G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85.16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1</v>
          </cell>
          <cell r="P811">
            <v>0.01</v>
          </cell>
          <cell r="Q811">
            <v>0</v>
          </cell>
          <cell r="R811">
            <v>2.16</v>
          </cell>
          <cell r="S811">
            <v>0</v>
          </cell>
          <cell r="T811">
            <v>0</v>
          </cell>
        </row>
        <row r="812">
          <cell r="A812">
            <v>4164</v>
          </cell>
          <cell r="B812">
            <v>1</v>
          </cell>
          <cell r="C812" t="str">
            <v>FILE COXA\SOBRECOXA TEMP IQF LAR CX\20X700GR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223.93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1</v>
          </cell>
          <cell r="P812">
            <v>0.01</v>
          </cell>
          <cell r="Q812">
            <v>0</v>
          </cell>
          <cell r="R812">
            <v>14</v>
          </cell>
          <cell r="S812">
            <v>0</v>
          </cell>
          <cell r="T812">
            <v>0</v>
          </cell>
        </row>
        <row r="813">
          <cell r="A813">
            <v>4263</v>
          </cell>
          <cell r="B813">
            <v>1</v>
          </cell>
          <cell r="C813" t="str">
            <v>GALO GORDO ROSAVES CX/22KG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138.47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1</v>
          </cell>
          <cell r="P813">
            <v>0.01</v>
          </cell>
          <cell r="Q813">
            <v>0</v>
          </cell>
          <cell r="R813">
            <v>22</v>
          </cell>
          <cell r="S813">
            <v>0</v>
          </cell>
          <cell r="T813">
            <v>0</v>
          </cell>
        </row>
        <row r="814">
          <cell r="A814">
            <v>2445</v>
          </cell>
          <cell r="B814">
            <v>1</v>
          </cell>
          <cell r="C814" t="str">
            <v>HAMBURGUER BOVINO AIR FRYER SEARA CX21X150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110.25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1</v>
          </cell>
          <cell r="P814">
            <v>0.01</v>
          </cell>
          <cell r="Q814">
            <v>0</v>
          </cell>
          <cell r="R814">
            <v>3.15</v>
          </cell>
          <cell r="S814">
            <v>0</v>
          </cell>
          <cell r="T814">
            <v>0</v>
          </cell>
        </row>
        <row r="815">
          <cell r="A815">
            <v>3577</v>
          </cell>
          <cell r="B815">
            <v>1</v>
          </cell>
          <cell r="C815" t="str">
            <v>HAMBURGUER BOVINO ANGUS COM TRUFA BLEND BURGER SEARA CX21X150G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132.30000000000001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1</v>
          </cell>
          <cell r="P815">
            <v>0.01</v>
          </cell>
          <cell r="Q815">
            <v>0</v>
          </cell>
          <cell r="R815">
            <v>3.15</v>
          </cell>
          <cell r="S815">
            <v>0</v>
          </cell>
          <cell r="T815">
            <v>0</v>
          </cell>
        </row>
        <row r="816">
          <cell r="A816">
            <v>3141</v>
          </cell>
          <cell r="B816">
            <v>1</v>
          </cell>
          <cell r="C816" t="str">
            <v>HAMBURGUER BOVINO BLEND SEARA CX21X150G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104.58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1</v>
          </cell>
          <cell r="P816">
            <v>0.01</v>
          </cell>
          <cell r="Q816">
            <v>0</v>
          </cell>
          <cell r="R816">
            <v>3.15</v>
          </cell>
          <cell r="S816">
            <v>0</v>
          </cell>
          <cell r="T816">
            <v>0</v>
          </cell>
        </row>
        <row r="817">
          <cell r="A817">
            <v>4146</v>
          </cell>
          <cell r="B817">
            <v>1</v>
          </cell>
          <cell r="C817" t="str">
            <v>KIBE AIRFRYER SEARA CX/8X840GR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183.26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1</v>
          </cell>
          <cell r="P817">
            <v>0.01</v>
          </cell>
          <cell r="Q817">
            <v>0</v>
          </cell>
          <cell r="R817">
            <v>6.72</v>
          </cell>
          <cell r="S817">
            <v>0</v>
          </cell>
          <cell r="T817">
            <v>0</v>
          </cell>
        </row>
        <row r="818">
          <cell r="A818">
            <v>612</v>
          </cell>
          <cell r="B818">
            <v>1</v>
          </cell>
          <cell r="C818" t="str">
            <v>LING FRANGO C\BACON GOURMET SEARA CX6KG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207.66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1</v>
          </cell>
          <cell r="P818">
            <v>0.01</v>
          </cell>
          <cell r="Q818">
            <v>0</v>
          </cell>
          <cell r="R818">
            <v>6</v>
          </cell>
          <cell r="S818">
            <v>0</v>
          </cell>
          <cell r="T818">
            <v>0</v>
          </cell>
        </row>
        <row r="819">
          <cell r="A819">
            <v>633</v>
          </cell>
          <cell r="B819">
            <v>1</v>
          </cell>
          <cell r="C819" t="str">
            <v>MAC &amp; CHEESE C/BACON SEARA CX/12X300GR</v>
          </cell>
          <cell r="D819">
            <v>182.3</v>
          </cell>
          <cell r="E819">
            <v>0</v>
          </cell>
          <cell r="F819">
            <v>2</v>
          </cell>
          <cell r="G819">
            <v>0</v>
          </cell>
          <cell r="H819">
            <v>0</v>
          </cell>
          <cell r="I819">
            <v>0</v>
          </cell>
          <cell r="J819">
            <v>104.86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2</v>
          </cell>
          <cell r="P819">
            <v>0.03</v>
          </cell>
          <cell r="Q819">
            <v>7.2</v>
          </cell>
          <cell r="R819">
            <v>3.6</v>
          </cell>
          <cell r="S819">
            <v>0</v>
          </cell>
          <cell r="T819">
            <v>0</v>
          </cell>
        </row>
        <row r="820">
          <cell r="A820">
            <v>642</v>
          </cell>
          <cell r="B820">
            <v>1</v>
          </cell>
          <cell r="C820" t="str">
            <v>MANDIOCA NATURE SUPREME SEARA CX/15X600G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289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1</v>
          </cell>
          <cell r="P820">
            <v>0.01</v>
          </cell>
          <cell r="Q820">
            <v>0</v>
          </cell>
          <cell r="R820">
            <v>9</v>
          </cell>
          <cell r="S820">
            <v>0</v>
          </cell>
          <cell r="T820">
            <v>0</v>
          </cell>
        </row>
        <row r="821">
          <cell r="A821">
            <v>1100</v>
          </cell>
          <cell r="B821">
            <v>1</v>
          </cell>
          <cell r="C821" t="str">
            <v>MANDIOCA SUPREME SEARA NATURE 6X1,5KG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250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1</v>
          </cell>
          <cell r="P821">
            <v>0.01</v>
          </cell>
          <cell r="Q821">
            <v>0</v>
          </cell>
          <cell r="R821">
            <v>9</v>
          </cell>
          <cell r="S821">
            <v>0</v>
          </cell>
          <cell r="T821">
            <v>0</v>
          </cell>
        </row>
        <row r="822">
          <cell r="A822">
            <v>4278</v>
          </cell>
          <cell r="B822">
            <v>1</v>
          </cell>
          <cell r="C822" t="str">
            <v>MANTEIGA SCALA CX\24X200GR</v>
          </cell>
          <cell r="D822">
            <v>847.05</v>
          </cell>
          <cell r="E822">
            <v>0.01</v>
          </cell>
          <cell r="F822">
            <v>5</v>
          </cell>
          <cell r="G822">
            <v>0</v>
          </cell>
          <cell r="H822">
            <v>0</v>
          </cell>
          <cell r="I822">
            <v>0</v>
          </cell>
          <cell r="J822">
            <v>198.94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2</v>
          </cell>
          <cell r="P822">
            <v>0.03</v>
          </cell>
          <cell r="Q822">
            <v>24</v>
          </cell>
          <cell r="R822">
            <v>4.8</v>
          </cell>
          <cell r="S822">
            <v>0</v>
          </cell>
          <cell r="T822">
            <v>0</v>
          </cell>
        </row>
        <row r="823">
          <cell r="A823">
            <v>366</v>
          </cell>
          <cell r="B823">
            <v>1</v>
          </cell>
          <cell r="C823" t="str">
            <v>MARGARINA DORIANA LIGTH CX\12X500G 57194</v>
          </cell>
          <cell r="D823">
            <v>715.2</v>
          </cell>
          <cell r="E823">
            <v>0</v>
          </cell>
          <cell r="F823">
            <v>10</v>
          </cell>
          <cell r="G823">
            <v>0</v>
          </cell>
          <cell r="H823">
            <v>0</v>
          </cell>
          <cell r="I823">
            <v>0</v>
          </cell>
          <cell r="J823">
            <v>83.3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2</v>
          </cell>
          <cell r="P823">
            <v>0.03</v>
          </cell>
          <cell r="Q823">
            <v>60</v>
          </cell>
          <cell r="R823">
            <v>6</v>
          </cell>
          <cell r="S823">
            <v>0</v>
          </cell>
          <cell r="T823">
            <v>0</v>
          </cell>
        </row>
        <row r="824">
          <cell r="A824">
            <v>1895</v>
          </cell>
          <cell r="B824">
            <v>1</v>
          </cell>
          <cell r="C824" t="str">
            <v>MARGARINA DORIANA S/SALCX\12X1KG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155.82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1</v>
          </cell>
          <cell r="P824">
            <v>0.01</v>
          </cell>
          <cell r="Q824">
            <v>0</v>
          </cell>
          <cell r="R824">
            <v>12</v>
          </cell>
          <cell r="S824">
            <v>0</v>
          </cell>
          <cell r="T824">
            <v>0</v>
          </cell>
        </row>
        <row r="825">
          <cell r="A825">
            <v>943</v>
          </cell>
          <cell r="B825">
            <v>1</v>
          </cell>
          <cell r="C825" t="str">
            <v>MEIO DA ASA IQF AURORA CX/10X1KG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183.6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1</v>
          </cell>
          <cell r="P825">
            <v>0.01</v>
          </cell>
          <cell r="Q825">
            <v>0</v>
          </cell>
          <cell r="R825">
            <v>10</v>
          </cell>
          <cell r="S825">
            <v>0</v>
          </cell>
          <cell r="T825">
            <v>0</v>
          </cell>
        </row>
        <row r="826">
          <cell r="A826">
            <v>2591</v>
          </cell>
          <cell r="B826">
            <v>1</v>
          </cell>
          <cell r="C826" t="str">
            <v>MORTADELA ITALIANA SEARA  471  4,55KG</v>
          </cell>
          <cell r="D826">
            <v>194.22</v>
          </cell>
          <cell r="E826">
            <v>0</v>
          </cell>
          <cell r="F826">
            <v>2</v>
          </cell>
          <cell r="G826">
            <v>0</v>
          </cell>
          <cell r="H826">
            <v>0</v>
          </cell>
          <cell r="I826">
            <v>0</v>
          </cell>
          <cell r="J826">
            <v>108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2</v>
          </cell>
          <cell r="P826">
            <v>0.03</v>
          </cell>
          <cell r="Q826">
            <v>9.1</v>
          </cell>
          <cell r="R826">
            <v>4.55</v>
          </cell>
          <cell r="S826">
            <v>0</v>
          </cell>
          <cell r="T826">
            <v>0</v>
          </cell>
        </row>
        <row r="827">
          <cell r="A827">
            <v>3902</v>
          </cell>
          <cell r="B827">
            <v>1</v>
          </cell>
          <cell r="C827" t="str">
            <v>NUTRIBOM AVEIA E ARROZ 12X600G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131.81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1</v>
          </cell>
          <cell r="P827">
            <v>0.01</v>
          </cell>
          <cell r="Q827">
            <v>0</v>
          </cell>
          <cell r="R827">
            <v>7.2</v>
          </cell>
          <cell r="S827">
            <v>0</v>
          </cell>
          <cell r="T827">
            <v>0</v>
          </cell>
        </row>
        <row r="828">
          <cell r="A828">
            <v>3900</v>
          </cell>
          <cell r="B828">
            <v>1</v>
          </cell>
          <cell r="C828" t="str">
            <v>NUTRIBOM MULTICEREAIS 12X360G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83.89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1</v>
          </cell>
          <cell r="P828">
            <v>0.01</v>
          </cell>
          <cell r="Q828">
            <v>0</v>
          </cell>
          <cell r="R828">
            <v>4.32</v>
          </cell>
          <cell r="S828">
            <v>0</v>
          </cell>
          <cell r="T828">
            <v>0</v>
          </cell>
        </row>
        <row r="829">
          <cell r="A829">
            <v>1902</v>
          </cell>
          <cell r="B829">
            <v>1</v>
          </cell>
          <cell r="C829" t="str">
            <v>PANELINHA C.MANDIOCA FRANGO SEARA 12X300</v>
          </cell>
          <cell r="D829">
            <v>254.23</v>
          </cell>
          <cell r="E829">
            <v>0</v>
          </cell>
          <cell r="F829">
            <v>2</v>
          </cell>
          <cell r="G829">
            <v>0</v>
          </cell>
          <cell r="H829">
            <v>0</v>
          </cell>
          <cell r="I829">
            <v>0</v>
          </cell>
          <cell r="J829">
            <v>149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2</v>
          </cell>
          <cell r="P829">
            <v>0.03</v>
          </cell>
          <cell r="Q829">
            <v>7.2</v>
          </cell>
          <cell r="R829">
            <v>3.6</v>
          </cell>
          <cell r="S829">
            <v>0</v>
          </cell>
          <cell r="T829">
            <v>0</v>
          </cell>
        </row>
        <row r="830">
          <cell r="A830">
            <v>1904</v>
          </cell>
          <cell r="B830">
            <v>1</v>
          </cell>
          <cell r="C830" t="str">
            <v>PANELINHA CALDO VERDE CALAB.SEARA 12X300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119.76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1</v>
          </cell>
          <cell r="P830">
            <v>0.01</v>
          </cell>
          <cell r="Q830">
            <v>0</v>
          </cell>
          <cell r="R830">
            <v>3.6</v>
          </cell>
          <cell r="S830">
            <v>0</v>
          </cell>
          <cell r="T830">
            <v>0</v>
          </cell>
        </row>
        <row r="831">
          <cell r="A831">
            <v>3733</v>
          </cell>
          <cell r="B831">
            <v>1</v>
          </cell>
          <cell r="C831" t="str">
            <v>PATE DE FIGADO  LEBON CX/30X100GR</v>
          </cell>
          <cell r="D831">
            <v>57.84</v>
          </cell>
          <cell r="E831">
            <v>0</v>
          </cell>
          <cell r="F831">
            <v>1</v>
          </cell>
          <cell r="G831">
            <v>0</v>
          </cell>
          <cell r="H831">
            <v>0</v>
          </cell>
          <cell r="I831">
            <v>0</v>
          </cell>
          <cell r="J831">
            <v>11.7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2</v>
          </cell>
          <cell r="P831">
            <v>0.03</v>
          </cell>
          <cell r="Q831">
            <v>3</v>
          </cell>
          <cell r="R831">
            <v>3</v>
          </cell>
          <cell r="S831">
            <v>0</v>
          </cell>
          <cell r="T831">
            <v>0</v>
          </cell>
        </row>
        <row r="832">
          <cell r="A832">
            <v>1967</v>
          </cell>
          <cell r="B832">
            <v>1</v>
          </cell>
          <cell r="C832" t="str">
            <v>PATE FRANGO ERVAS LEBON CX/30X100GR</v>
          </cell>
          <cell r="D832">
            <v>57.84</v>
          </cell>
          <cell r="E832">
            <v>0</v>
          </cell>
          <cell r="F832">
            <v>1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2</v>
          </cell>
          <cell r="P832">
            <v>0.03</v>
          </cell>
          <cell r="Q832">
            <v>3</v>
          </cell>
          <cell r="R832">
            <v>3</v>
          </cell>
          <cell r="S832">
            <v>0</v>
          </cell>
          <cell r="T832">
            <v>0</v>
          </cell>
        </row>
        <row r="833">
          <cell r="A833">
            <v>1417</v>
          </cell>
          <cell r="B833">
            <v>1</v>
          </cell>
          <cell r="C833" t="str">
            <v>PATE PRESUNTO LEBON CX/30X100GR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1</v>
          </cell>
          <cell r="P833">
            <v>0.01</v>
          </cell>
          <cell r="Q833">
            <v>0</v>
          </cell>
          <cell r="R833">
            <v>3</v>
          </cell>
          <cell r="S833">
            <v>0</v>
          </cell>
          <cell r="T833">
            <v>0</v>
          </cell>
        </row>
        <row r="834">
          <cell r="A834">
            <v>3973</v>
          </cell>
          <cell r="B834">
            <v>1</v>
          </cell>
          <cell r="C834" t="str">
            <v>PEIXE SURUBIM POSTA MULTIPESC 15X1KG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689.92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1</v>
          </cell>
          <cell r="P834">
            <v>0.01</v>
          </cell>
          <cell r="Q834">
            <v>0</v>
          </cell>
          <cell r="R834">
            <v>15</v>
          </cell>
          <cell r="S834">
            <v>0</v>
          </cell>
          <cell r="T834">
            <v>0</v>
          </cell>
        </row>
        <row r="835">
          <cell r="A835">
            <v>843</v>
          </cell>
          <cell r="B835">
            <v>1</v>
          </cell>
          <cell r="C835" t="str">
            <v>PIZZA 4 QUEIJOS SEARA CX\12X460GR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175.42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1</v>
          </cell>
          <cell r="P835">
            <v>0.01</v>
          </cell>
          <cell r="Q835">
            <v>0</v>
          </cell>
          <cell r="R835">
            <v>5.52</v>
          </cell>
          <cell r="S835">
            <v>0</v>
          </cell>
          <cell r="T835">
            <v>0</v>
          </cell>
        </row>
        <row r="836">
          <cell r="A836">
            <v>708</v>
          </cell>
          <cell r="B836">
            <v>1</v>
          </cell>
          <cell r="C836" t="str">
            <v>PIZZA FRANGO REQUEIJAO LEBON CX\12X400GR</v>
          </cell>
          <cell r="D836">
            <v>122.74</v>
          </cell>
          <cell r="E836">
            <v>0</v>
          </cell>
          <cell r="F836">
            <v>1</v>
          </cell>
          <cell r="G836">
            <v>0</v>
          </cell>
          <cell r="H836">
            <v>0</v>
          </cell>
          <cell r="I836">
            <v>0</v>
          </cell>
          <cell r="J836">
            <v>144.06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2</v>
          </cell>
          <cell r="P836">
            <v>0.03</v>
          </cell>
          <cell r="Q836">
            <v>4.8</v>
          </cell>
          <cell r="R836">
            <v>4.8</v>
          </cell>
          <cell r="S836">
            <v>0</v>
          </cell>
          <cell r="T836">
            <v>0</v>
          </cell>
        </row>
        <row r="837">
          <cell r="A837">
            <v>906</v>
          </cell>
          <cell r="B837">
            <v>1</v>
          </cell>
          <cell r="C837" t="str">
            <v>PIZZA LOMBO REQUEIJAO LEBON CX\12X400GR</v>
          </cell>
          <cell r="D837">
            <v>122.74</v>
          </cell>
          <cell r="E837">
            <v>0</v>
          </cell>
          <cell r="F837">
            <v>1</v>
          </cell>
          <cell r="G837">
            <v>0</v>
          </cell>
          <cell r="H837">
            <v>0</v>
          </cell>
          <cell r="I837">
            <v>0</v>
          </cell>
          <cell r="J837">
            <v>137.93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2</v>
          </cell>
          <cell r="P837">
            <v>0.03</v>
          </cell>
          <cell r="Q837">
            <v>4.8</v>
          </cell>
          <cell r="R837">
            <v>4.8</v>
          </cell>
          <cell r="S837">
            <v>0</v>
          </cell>
          <cell r="T837">
            <v>0</v>
          </cell>
        </row>
        <row r="838">
          <cell r="A838">
            <v>4181</v>
          </cell>
          <cell r="B838">
            <v>1</v>
          </cell>
          <cell r="C838" t="str">
            <v>PIZZA MARGHERITA SEARA CX\8X360G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195.02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1</v>
          </cell>
          <cell r="P838">
            <v>0.01</v>
          </cell>
          <cell r="Q838">
            <v>0</v>
          </cell>
          <cell r="R838">
            <v>2.88</v>
          </cell>
          <cell r="S838">
            <v>0</v>
          </cell>
          <cell r="T838">
            <v>0</v>
          </cell>
        </row>
        <row r="839">
          <cell r="A839">
            <v>4205</v>
          </cell>
          <cell r="B839">
            <v>1</v>
          </cell>
          <cell r="C839" t="str">
            <v>PRESUNTO CRU ITALIANO FATIADO SEARA CX/18X120GR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152.88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1</v>
          </cell>
          <cell r="P839">
            <v>0.01</v>
          </cell>
          <cell r="Q839">
            <v>0</v>
          </cell>
          <cell r="R839">
            <v>1.8</v>
          </cell>
          <cell r="S839">
            <v>0</v>
          </cell>
          <cell r="T839">
            <v>0</v>
          </cell>
        </row>
        <row r="840">
          <cell r="A840">
            <v>1909</v>
          </cell>
          <cell r="B840">
            <v>1</v>
          </cell>
          <cell r="C840" t="str">
            <v>PRESUNTO SERRANO FATIADO GOURMET 15X80GR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212.86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1</v>
          </cell>
          <cell r="P840">
            <v>0.01</v>
          </cell>
          <cell r="Q840">
            <v>0</v>
          </cell>
          <cell r="R840">
            <v>1.2</v>
          </cell>
          <cell r="S840">
            <v>0</v>
          </cell>
          <cell r="T840">
            <v>0</v>
          </cell>
        </row>
        <row r="841">
          <cell r="A841">
            <v>4282</v>
          </cell>
          <cell r="B841">
            <v>1</v>
          </cell>
          <cell r="C841" t="str">
            <v>QUEIJO COALHO SEM ESPETO SCALA CX/16X215GR</v>
          </cell>
          <cell r="D841">
            <v>905.5</v>
          </cell>
          <cell r="E841">
            <v>0.01</v>
          </cell>
          <cell r="F841">
            <v>5</v>
          </cell>
          <cell r="G841">
            <v>0</v>
          </cell>
          <cell r="H841">
            <v>0</v>
          </cell>
          <cell r="I841">
            <v>0</v>
          </cell>
          <cell r="J841">
            <v>221.97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2</v>
          </cell>
          <cell r="P841">
            <v>0.03</v>
          </cell>
          <cell r="Q841">
            <v>17.2</v>
          </cell>
          <cell r="R841">
            <v>3.44</v>
          </cell>
          <cell r="S841">
            <v>0</v>
          </cell>
          <cell r="T841">
            <v>0</v>
          </cell>
        </row>
        <row r="842">
          <cell r="A842">
            <v>4286</v>
          </cell>
          <cell r="B842">
            <v>1</v>
          </cell>
          <cell r="C842" t="str">
            <v>REQUEIJAO C.CHEESE LIGHT POTE SCALA CX\16X150GR</v>
          </cell>
          <cell r="D842">
            <v>479.42</v>
          </cell>
          <cell r="E842">
            <v>0</v>
          </cell>
          <cell r="F842">
            <v>5</v>
          </cell>
          <cell r="G842">
            <v>0</v>
          </cell>
          <cell r="H842">
            <v>0</v>
          </cell>
          <cell r="I842">
            <v>0</v>
          </cell>
          <cell r="J842">
            <v>111.92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2</v>
          </cell>
          <cell r="P842">
            <v>0.03</v>
          </cell>
          <cell r="Q842">
            <v>12</v>
          </cell>
          <cell r="R842">
            <v>2.4</v>
          </cell>
          <cell r="S842">
            <v>0</v>
          </cell>
          <cell r="T842">
            <v>0</v>
          </cell>
        </row>
        <row r="843">
          <cell r="A843">
            <v>4284</v>
          </cell>
          <cell r="B843">
            <v>1</v>
          </cell>
          <cell r="C843" t="str">
            <v>REQUEIJAO C.CHEESE POTE SCALA CX\8X300GR</v>
          </cell>
          <cell r="D843">
            <v>186.04</v>
          </cell>
          <cell r="E843">
            <v>0</v>
          </cell>
          <cell r="F843">
            <v>2</v>
          </cell>
          <cell r="G843">
            <v>0</v>
          </cell>
          <cell r="H843">
            <v>0</v>
          </cell>
          <cell r="I843">
            <v>0</v>
          </cell>
          <cell r="J843">
            <v>106.33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2</v>
          </cell>
          <cell r="P843">
            <v>0.03</v>
          </cell>
          <cell r="Q843">
            <v>4.8</v>
          </cell>
          <cell r="R843">
            <v>2.4</v>
          </cell>
          <cell r="S843">
            <v>0</v>
          </cell>
          <cell r="T843">
            <v>0</v>
          </cell>
        </row>
        <row r="844">
          <cell r="A844">
            <v>853</v>
          </cell>
          <cell r="B844">
            <v>1</v>
          </cell>
          <cell r="C844" t="str">
            <v>SACOLA BRANCA KILO FORTE 30X40 PCT 5K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115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1</v>
          </cell>
          <cell r="P844">
            <v>0.01</v>
          </cell>
          <cell r="Q844">
            <v>0</v>
          </cell>
          <cell r="R844">
            <v>5</v>
          </cell>
          <cell r="S844">
            <v>0</v>
          </cell>
          <cell r="T844">
            <v>0</v>
          </cell>
        </row>
        <row r="845">
          <cell r="A845">
            <v>327</v>
          </cell>
          <cell r="B845">
            <v>1</v>
          </cell>
          <cell r="C845" t="str">
            <v>SACOLA RECICLADA 40X50 PCT 5KG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55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1</v>
          </cell>
          <cell r="P845">
            <v>0.01</v>
          </cell>
          <cell r="Q845">
            <v>0</v>
          </cell>
          <cell r="R845">
            <v>5</v>
          </cell>
          <cell r="S845">
            <v>0</v>
          </cell>
          <cell r="T845">
            <v>0</v>
          </cell>
        </row>
        <row r="846">
          <cell r="A846">
            <v>2791</v>
          </cell>
          <cell r="B846">
            <v>0</v>
          </cell>
          <cell r="C846" t="str">
            <v>02713BRY RETENTOR RODA TRAS - SAB</v>
          </cell>
          <cell r="D846">
            <v>3029.15</v>
          </cell>
          <cell r="E846">
            <v>0.02</v>
          </cell>
          <cell r="F846">
            <v>55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1</v>
          </cell>
          <cell r="P846">
            <v>0.01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</row>
        <row r="847">
          <cell r="A847">
            <v>4255</v>
          </cell>
          <cell r="B847">
            <v>0</v>
          </cell>
          <cell r="C847" t="str">
            <v>24903450 REF:24903450 ROLAMENTO DE ROLOS CONICOS MARCA: CNH</v>
          </cell>
          <cell r="D847">
            <v>11309.91</v>
          </cell>
          <cell r="E847">
            <v>7.0000000000000007E-2</v>
          </cell>
          <cell r="F847">
            <v>11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1</v>
          </cell>
          <cell r="P847">
            <v>0.01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</row>
        <row r="848">
          <cell r="A848">
            <v>4302</v>
          </cell>
          <cell r="B848">
            <v>0</v>
          </cell>
          <cell r="C848" t="str">
            <v>BACON FATIAS 20GR SEARA FS 2,5KG</v>
          </cell>
          <cell r="D848">
            <v>3193.5</v>
          </cell>
          <cell r="E848">
            <v>0.02</v>
          </cell>
          <cell r="F848">
            <v>30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1</v>
          </cell>
          <cell r="P848">
            <v>0.01</v>
          </cell>
          <cell r="Q848">
            <v>75</v>
          </cell>
          <cell r="R848">
            <v>0</v>
          </cell>
          <cell r="S848">
            <v>0</v>
          </cell>
          <cell r="T848">
            <v>0</v>
          </cell>
        </row>
        <row r="849">
          <cell r="A849">
            <v>879</v>
          </cell>
          <cell r="B849">
            <v>0</v>
          </cell>
          <cell r="C849" t="str">
            <v>BACON MANTA LEBON KG</v>
          </cell>
          <cell r="D849">
            <v>3708.64</v>
          </cell>
          <cell r="E849">
            <v>0.02</v>
          </cell>
          <cell r="F849">
            <v>144.53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1</v>
          </cell>
          <cell r="P849">
            <v>0.01</v>
          </cell>
          <cell r="Q849">
            <v>144.53</v>
          </cell>
          <cell r="R849">
            <v>0</v>
          </cell>
          <cell r="S849">
            <v>0</v>
          </cell>
          <cell r="T849">
            <v>0</v>
          </cell>
        </row>
        <row r="850">
          <cell r="A850">
            <v>310</v>
          </cell>
          <cell r="B850">
            <v>0</v>
          </cell>
          <cell r="C850" t="str">
            <v>BACON TABLETE SEARA GOURMET CX\30X150GR</v>
          </cell>
          <cell r="D850">
            <v>417.77</v>
          </cell>
          <cell r="E850">
            <v>0</v>
          </cell>
          <cell r="F850">
            <v>2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1</v>
          </cell>
          <cell r="P850">
            <v>0.01</v>
          </cell>
          <cell r="Q850">
            <v>10</v>
          </cell>
          <cell r="R850">
            <v>0</v>
          </cell>
          <cell r="S850">
            <v>0</v>
          </cell>
          <cell r="T850">
            <v>0</v>
          </cell>
        </row>
        <row r="851">
          <cell r="A851">
            <v>538</v>
          </cell>
          <cell r="B851">
            <v>0</v>
          </cell>
          <cell r="C851" t="str">
            <v>FETTUCINE BOLONHESA SEARA CX/12X350GR</v>
          </cell>
          <cell r="D851">
            <v>87.02</v>
          </cell>
          <cell r="E851">
            <v>0</v>
          </cell>
          <cell r="F851">
            <v>1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1</v>
          </cell>
          <cell r="P851">
            <v>0.01</v>
          </cell>
          <cell r="Q851">
            <v>12.35</v>
          </cell>
          <cell r="R851">
            <v>0</v>
          </cell>
          <cell r="S851">
            <v>0</v>
          </cell>
          <cell r="T851">
            <v>0</v>
          </cell>
        </row>
        <row r="852">
          <cell r="A852">
            <v>2335</v>
          </cell>
          <cell r="B852">
            <v>0</v>
          </cell>
          <cell r="C852" t="str">
            <v>LASANHA BOLONHESA LEBON 10X600GR</v>
          </cell>
          <cell r="D852">
            <v>1409.4</v>
          </cell>
          <cell r="E852">
            <v>0.01</v>
          </cell>
          <cell r="F852">
            <v>15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1</v>
          </cell>
          <cell r="P852">
            <v>0.01</v>
          </cell>
          <cell r="Q852">
            <v>90</v>
          </cell>
          <cell r="R852">
            <v>0</v>
          </cell>
          <cell r="S852">
            <v>0</v>
          </cell>
          <cell r="T852">
            <v>0</v>
          </cell>
        </row>
        <row r="853">
          <cell r="A853">
            <v>376</v>
          </cell>
          <cell r="B853">
            <v>0</v>
          </cell>
          <cell r="C853" t="str">
            <v>LING APIMENTADA GOURMET SEARA CX/12X450G</v>
          </cell>
          <cell r="D853">
            <v>474.34</v>
          </cell>
          <cell r="E853">
            <v>0</v>
          </cell>
          <cell r="F853">
            <v>3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1</v>
          </cell>
          <cell r="P853">
            <v>0.01</v>
          </cell>
          <cell r="Q853">
            <v>16.2</v>
          </cell>
          <cell r="R853">
            <v>0</v>
          </cell>
          <cell r="S853">
            <v>0</v>
          </cell>
          <cell r="T853">
            <v>0</v>
          </cell>
        </row>
        <row r="854">
          <cell r="A854">
            <v>4224</v>
          </cell>
          <cell r="B854">
            <v>0</v>
          </cell>
          <cell r="C854" t="str">
            <v>LING SUINA REZENDE CX/32X600G</v>
          </cell>
          <cell r="D854">
            <v>4627.2</v>
          </cell>
          <cell r="E854">
            <v>0.03</v>
          </cell>
          <cell r="F854">
            <v>20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1</v>
          </cell>
          <cell r="P854">
            <v>0.01</v>
          </cell>
          <cell r="Q854">
            <v>384</v>
          </cell>
          <cell r="R854">
            <v>0</v>
          </cell>
          <cell r="S854">
            <v>0</v>
          </cell>
          <cell r="T854">
            <v>0</v>
          </cell>
        </row>
        <row r="855">
          <cell r="A855">
            <v>4265</v>
          </cell>
          <cell r="B855">
            <v>0</v>
          </cell>
          <cell r="C855" t="str">
            <v>MUSSARELA BOLINHA SCALA 340GR</v>
          </cell>
          <cell r="D855">
            <v>495.23</v>
          </cell>
          <cell r="E855">
            <v>0</v>
          </cell>
          <cell r="F855">
            <v>24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1</v>
          </cell>
          <cell r="P855">
            <v>0.01</v>
          </cell>
          <cell r="Q855">
            <v>8.16</v>
          </cell>
          <cell r="R855">
            <v>0</v>
          </cell>
          <cell r="S855">
            <v>0</v>
          </cell>
          <cell r="T855">
            <v>0</v>
          </cell>
        </row>
        <row r="856">
          <cell r="A856">
            <v>4266</v>
          </cell>
          <cell r="B856">
            <v>0</v>
          </cell>
          <cell r="C856" t="str">
            <v>MUSSARELA MINI SCALA 400GR</v>
          </cell>
          <cell r="D856">
            <v>554.86</v>
          </cell>
          <cell r="E856">
            <v>0</v>
          </cell>
          <cell r="F856">
            <v>24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1</v>
          </cell>
          <cell r="P856">
            <v>0.01</v>
          </cell>
          <cell r="Q856">
            <v>9.6</v>
          </cell>
          <cell r="R856">
            <v>0</v>
          </cell>
          <cell r="S856">
            <v>0</v>
          </cell>
          <cell r="T856">
            <v>0</v>
          </cell>
        </row>
        <row r="857">
          <cell r="A857">
            <v>3643</v>
          </cell>
          <cell r="B857">
            <v>0</v>
          </cell>
          <cell r="C857" t="str">
            <v>PAO DE QUEIJO TRADICIONA SEARA CX/10X1KG</v>
          </cell>
          <cell r="D857">
            <v>1638</v>
          </cell>
          <cell r="E857">
            <v>0.01</v>
          </cell>
          <cell r="F857">
            <v>10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1</v>
          </cell>
          <cell r="P857">
            <v>0.01</v>
          </cell>
          <cell r="Q857">
            <v>100</v>
          </cell>
          <cell r="R857">
            <v>0</v>
          </cell>
          <cell r="S857">
            <v>0</v>
          </cell>
          <cell r="T857">
            <v>0</v>
          </cell>
        </row>
        <row r="858">
          <cell r="A858">
            <v>4165</v>
          </cell>
          <cell r="B858">
            <v>0</v>
          </cell>
          <cell r="C858" t="str">
            <v>PAO DE QUEIJO USAR NE OUTRO</v>
          </cell>
          <cell r="D858">
            <v>6851.23</v>
          </cell>
          <cell r="E858">
            <v>0.04</v>
          </cell>
          <cell r="F858">
            <v>41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1</v>
          </cell>
          <cell r="P858">
            <v>0.01</v>
          </cell>
          <cell r="Q858">
            <v>41</v>
          </cell>
          <cell r="R858">
            <v>0</v>
          </cell>
          <cell r="S858">
            <v>0</v>
          </cell>
          <cell r="T858">
            <v>0</v>
          </cell>
        </row>
        <row r="859">
          <cell r="A859">
            <v>4301</v>
          </cell>
          <cell r="B859">
            <v>0</v>
          </cell>
          <cell r="C859" t="str">
            <v>PIZZA CALABRESE GOURMET SEARA CX\8X360G</v>
          </cell>
          <cell r="D859">
            <v>140.43</v>
          </cell>
          <cell r="E859">
            <v>0</v>
          </cell>
          <cell r="F859">
            <v>1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1</v>
          </cell>
          <cell r="P859">
            <v>0.01</v>
          </cell>
          <cell r="Q859">
            <v>2.88</v>
          </cell>
          <cell r="R859">
            <v>0</v>
          </cell>
          <cell r="S859">
            <v>0</v>
          </cell>
          <cell r="T859">
            <v>0</v>
          </cell>
        </row>
        <row r="860">
          <cell r="A860">
            <v>4276</v>
          </cell>
          <cell r="B860">
            <v>0</v>
          </cell>
          <cell r="C860" t="str">
            <v>QUEIJO COLONIAL SCALA KG</v>
          </cell>
          <cell r="D860">
            <v>387.92</v>
          </cell>
          <cell r="E860">
            <v>0</v>
          </cell>
          <cell r="F860">
            <v>6.17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1</v>
          </cell>
          <cell r="P860">
            <v>0.01</v>
          </cell>
          <cell r="Q860">
            <v>6.17</v>
          </cell>
          <cell r="R860">
            <v>0</v>
          </cell>
          <cell r="S860">
            <v>0</v>
          </cell>
          <cell r="T860">
            <v>0</v>
          </cell>
        </row>
        <row r="861">
          <cell r="A861">
            <v>4280</v>
          </cell>
          <cell r="B861">
            <v>0</v>
          </cell>
          <cell r="C861" t="str">
            <v>QUEIJO MATURADO MOFO AZUL SCALA KG</v>
          </cell>
          <cell r="D861">
            <v>358.88</v>
          </cell>
          <cell r="E861">
            <v>0</v>
          </cell>
          <cell r="F861">
            <v>5.56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1</v>
          </cell>
          <cell r="P861">
            <v>0.01</v>
          </cell>
          <cell r="Q861">
            <v>5.56</v>
          </cell>
          <cell r="R861">
            <v>0</v>
          </cell>
          <cell r="S861">
            <v>0</v>
          </cell>
          <cell r="T861">
            <v>0</v>
          </cell>
        </row>
        <row r="862">
          <cell r="A862">
            <v>4275</v>
          </cell>
          <cell r="B862">
            <v>0</v>
          </cell>
          <cell r="C862" t="str">
            <v>QUEIJO MINAS FRACIONADO SCALA KG</v>
          </cell>
          <cell r="D862">
            <v>300.83999999999997</v>
          </cell>
          <cell r="E862">
            <v>0</v>
          </cell>
          <cell r="F862">
            <v>5.96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1</v>
          </cell>
          <cell r="P862">
            <v>0.01</v>
          </cell>
          <cell r="Q862">
            <v>5.96</v>
          </cell>
          <cell r="R862">
            <v>0</v>
          </cell>
          <cell r="S862">
            <v>0</v>
          </cell>
          <cell r="T862">
            <v>0</v>
          </cell>
        </row>
        <row r="863">
          <cell r="A863">
            <v>4277</v>
          </cell>
          <cell r="B863">
            <v>0</v>
          </cell>
          <cell r="C863" t="str">
            <v>QUEIJO MINAS MEIA CURA SCALA KG</v>
          </cell>
          <cell r="D863">
            <v>357.36</v>
          </cell>
          <cell r="E863">
            <v>0</v>
          </cell>
          <cell r="F863">
            <v>6.57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1</v>
          </cell>
          <cell r="P863">
            <v>0.01</v>
          </cell>
          <cell r="Q863">
            <v>6.57</v>
          </cell>
          <cell r="R863">
            <v>0</v>
          </cell>
          <cell r="S863">
            <v>0</v>
          </cell>
          <cell r="T863">
            <v>0</v>
          </cell>
        </row>
        <row r="864">
          <cell r="A864">
            <v>4268</v>
          </cell>
          <cell r="B864">
            <v>0</v>
          </cell>
          <cell r="C864" t="str">
            <v>QUEIJO MONTANHES SCALA 180GR</v>
          </cell>
          <cell r="D864">
            <v>605.87</v>
          </cell>
          <cell r="E864">
            <v>0</v>
          </cell>
          <cell r="F864">
            <v>36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1</v>
          </cell>
          <cell r="P864">
            <v>0.01</v>
          </cell>
          <cell r="Q864">
            <v>6.48</v>
          </cell>
          <cell r="R864">
            <v>0</v>
          </cell>
          <cell r="S864">
            <v>0</v>
          </cell>
          <cell r="T864">
            <v>0</v>
          </cell>
        </row>
        <row r="865">
          <cell r="A865">
            <v>4270</v>
          </cell>
          <cell r="B865">
            <v>0</v>
          </cell>
          <cell r="C865" t="str">
            <v>QUEIJO PARMESAO 12 MESES SCALA 180GR</v>
          </cell>
          <cell r="D865">
            <v>684.37</v>
          </cell>
          <cell r="E865">
            <v>0</v>
          </cell>
          <cell r="F865">
            <v>36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1</v>
          </cell>
          <cell r="P865">
            <v>0.01</v>
          </cell>
          <cell r="Q865">
            <v>6.48</v>
          </cell>
          <cell r="R865">
            <v>0</v>
          </cell>
          <cell r="S865">
            <v>0</v>
          </cell>
          <cell r="T865">
            <v>0</v>
          </cell>
        </row>
        <row r="866">
          <cell r="A866">
            <v>4272</v>
          </cell>
          <cell r="B866">
            <v>0</v>
          </cell>
          <cell r="C866" t="str">
            <v>QUEIJO PARMESAO 18 MESES SCALA 180GR</v>
          </cell>
          <cell r="D866">
            <v>365.08</v>
          </cell>
          <cell r="E866">
            <v>0</v>
          </cell>
          <cell r="F866">
            <v>16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1</v>
          </cell>
          <cell r="P866">
            <v>0.01</v>
          </cell>
          <cell r="Q866">
            <v>2.88</v>
          </cell>
          <cell r="R866">
            <v>0</v>
          </cell>
          <cell r="S866">
            <v>0</v>
          </cell>
          <cell r="T866">
            <v>0</v>
          </cell>
        </row>
        <row r="867">
          <cell r="A867">
            <v>4269</v>
          </cell>
          <cell r="B867">
            <v>0</v>
          </cell>
          <cell r="C867" t="str">
            <v>QUEIJO PARMESAO 6 MESES SCALA 180GR</v>
          </cell>
          <cell r="D867">
            <v>547.73</v>
          </cell>
          <cell r="E867">
            <v>0</v>
          </cell>
          <cell r="F867">
            <v>36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1</v>
          </cell>
          <cell r="P867">
            <v>0.01</v>
          </cell>
          <cell r="Q867">
            <v>6.48</v>
          </cell>
          <cell r="R867">
            <v>0</v>
          </cell>
          <cell r="S867">
            <v>0</v>
          </cell>
          <cell r="T867">
            <v>0</v>
          </cell>
        </row>
        <row r="868">
          <cell r="A868">
            <v>4273</v>
          </cell>
          <cell r="B868">
            <v>0</v>
          </cell>
          <cell r="C868" t="str">
            <v>QUEIJO PARMESAO CILINDRO SCALA 180GR</v>
          </cell>
          <cell r="D868">
            <v>524.82000000000005</v>
          </cell>
          <cell r="E868">
            <v>0</v>
          </cell>
          <cell r="F868">
            <v>30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1</v>
          </cell>
          <cell r="P868">
            <v>0.01</v>
          </cell>
          <cell r="Q868">
            <v>5.4</v>
          </cell>
          <cell r="R868">
            <v>0</v>
          </cell>
          <cell r="S868">
            <v>0</v>
          </cell>
          <cell r="T868">
            <v>0</v>
          </cell>
        </row>
        <row r="869">
          <cell r="A869">
            <v>4274</v>
          </cell>
          <cell r="B869">
            <v>0</v>
          </cell>
          <cell r="C869" t="str">
            <v>QUEIJO PARMESAO LASCAS SCALA 150GR</v>
          </cell>
          <cell r="D869">
            <v>425.8</v>
          </cell>
          <cell r="E869">
            <v>0</v>
          </cell>
          <cell r="F869">
            <v>24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1</v>
          </cell>
          <cell r="P869">
            <v>0.01</v>
          </cell>
          <cell r="Q869">
            <v>3.6</v>
          </cell>
          <cell r="R869">
            <v>0</v>
          </cell>
          <cell r="S869">
            <v>0</v>
          </cell>
          <cell r="T869">
            <v>0</v>
          </cell>
        </row>
        <row r="870">
          <cell r="A870">
            <v>2349</v>
          </cell>
          <cell r="B870">
            <v>0</v>
          </cell>
          <cell r="C870" t="str">
            <v>QUEIJO PARMESAO RALADO SCALA 100GR</v>
          </cell>
          <cell r="D870">
            <v>1394.59</v>
          </cell>
          <cell r="E870">
            <v>0.01</v>
          </cell>
          <cell r="F870">
            <v>200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1</v>
          </cell>
          <cell r="P870">
            <v>0.01</v>
          </cell>
          <cell r="Q870">
            <v>20</v>
          </cell>
          <cell r="R870">
            <v>0</v>
          </cell>
          <cell r="S870">
            <v>0</v>
          </cell>
          <cell r="T870">
            <v>0</v>
          </cell>
        </row>
        <row r="871">
          <cell r="A871">
            <v>4000</v>
          </cell>
          <cell r="B871">
            <v>0</v>
          </cell>
          <cell r="C871" t="str">
            <v>QUEIJO PARMESAO RALADO SCALA 20X50GR</v>
          </cell>
          <cell r="D871">
            <v>711.73</v>
          </cell>
          <cell r="E871">
            <v>0</v>
          </cell>
          <cell r="F871">
            <v>10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1</v>
          </cell>
          <cell r="P871">
            <v>0.01</v>
          </cell>
          <cell r="Q871">
            <v>10</v>
          </cell>
          <cell r="R871">
            <v>0</v>
          </cell>
          <cell r="S871">
            <v>0</v>
          </cell>
          <cell r="T871">
            <v>0</v>
          </cell>
        </row>
        <row r="872">
          <cell r="A872">
            <v>4267</v>
          </cell>
          <cell r="B872">
            <v>0</v>
          </cell>
          <cell r="C872" t="str">
            <v>QUEIJO PRATO MINI SCALA  KG</v>
          </cell>
          <cell r="D872">
            <v>712.46</v>
          </cell>
          <cell r="E872">
            <v>0</v>
          </cell>
          <cell r="F872">
            <v>11.36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1</v>
          </cell>
          <cell r="P872">
            <v>0.01</v>
          </cell>
          <cell r="Q872">
            <v>11.36</v>
          </cell>
          <cell r="R872">
            <v>0</v>
          </cell>
          <cell r="S872">
            <v>0</v>
          </cell>
          <cell r="T872">
            <v>0</v>
          </cell>
        </row>
        <row r="873">
          <cell r="A873">
            <v>4281</v>
          </cell>
          <cell r="B873">
            <v>0</v>
          </cell>
          <cell r="C873" t="str">
            <v>QUEIJO PROVOLONE SCALA KG</v>
          </cell>
          <cell r="D873">
            <v>640.41</v>
          </cell>
          <cell r="E873">
            <v>0</v>
          </cell>
          <cell r="F873">
            <v>11.05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1</v>
          </cell>
          <cell r="P873">
            <v>0.01</v>
          </cell>
          <cell r="Q873">
            <v>11.05</v>
          </cell>
          <cell r="R873">
            <v>0</v>
          </cell>
          <cell r="S873">
            <v>0</v>
          </cell>
          <cell r="T873">
            <v>0</v>
          </cell>
        </row>
        <row r="874">
          <cell r="A874">
            <v>4285</v>
          </cell>
          <cell r="B874">
            <v>0</v>
          </cell>
          <cell r="C874" t="str">
            <v>REQUEIJAO C.CHEESE LIGHT POTE SCALA CX\8X300GR</v>
          </cell>
          <cell r="D874">
            <v>186.05</v>
          </cell>
          <cell r="E874">
            <v>0</v>
          </cell>
          <cell r="F874">
            <v>2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1</v>
          </cell>
          <cell r="P874">
            <v>0.01</v>
          </cell>
          <cell r="Q874">
            <v>4.8</v>
          </cell>
          <cell r="R874">
            <v>0</v>
          </cell>
          <cell r="S874">
            <v>0</v>
          </cell>
          <cell r="T874">
            <v>0</v>
          </cell>
        </row>
        <row r="875">
          <cell r="A875">
            <v>4248</v>
          </cell>
          <cell r="B875">
            <v>0</v>
          </cell>
          <cell r="C875" t="str">
            <v>SALSICHA AMERICAN GRILL DEF. BOVINA CX/30X330G</v>
          </cell>
          <cell r="D875">
            <v>5215.32</v>
          </cell>
          <cell r="E875">
            <v>0.03</v>
          </cell>
          <cell r="F875">
            <v>20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1</v>
          </cell>
          <cell r="P875">
            <v>0.01</v>
          </cell>
          <cell r="Q875">
            <v>198</v>
          </cell>
          <cell r="R875">
            <v>0</v>
          </cell>
          <cell r="S875">
            <v>0</v>
          </cell>
          <cell r="T875">
            <v>0</v>
          </cell>
        </row>
        <row r="876">
          <cell r="A876">
            <v>258</v>
          </cell>
          <cell r="B876">
            <v>0</v>
          </cell>
          <cell r="C876" t="str">
            <v>SALSICHA LONGUETTE SEARA CX/12X500GR</v>
          </cell>
          <cell r="D876">
            <v>343.8</v>
          </cell>
          <cell r="E876">
            <v>0</v>
          </cell>
          <cell r="F876">
            <v>5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1</v>
          </cell>
          <cell r="P876">
            <v>0.01</v>
          </cell>
          <cell r="Q876">
            <v>30</v>
          </cell>
          <cell r="R876">
            <v>0</v>
          </cell>
          <cell r="S876">
            <v>0</v>
          </cell>
          <cell r="T876">
            <v>0</v>
          </cell>
        </row>
        <row r="877">
          <cell r="B877">
            <v>387028.41000000003</v>
          </cell>
          <cell r="D877">
            <v>15637453.049999999</v>
          </cell>
          <cell r="E877">
            <v>99.90000000000029</v>
          </cell>
          <cell r="F877">
            <v>295180.11</v>
          </cell>
          <cell r="G877">
            <v>794.22</v>
          </cell>
          <cell r="H877">
            <v>100</v>
          </cell>
          <cell r="I877">
            <v>18</v>
          </cell>
          <cell r="J877">
            <v>22925783.93000003</v>
          </cell>
          <cell r="K877">
            <v>99.750000000000668</v>
          </cell>
          <cell r="L877">
            <v>173780.5100000001</v>
          </cell>
          <cell r="M877">
            <v>100.04000000000009</v>
          </cell>
          <cell r="N877">
            <v>3068.2599999999993</v>
          </cell>
          <cell r="P877">
            <v>903.9200000000003</v>
          </cell>
          <cell r="Q877">
            <v>1412215.9900000007</v>
          </cell>
          <cell r="R877">
            <v>1821921.7499999984</v>
          </cell>
          <cell r="S877">
            <v>69</v>
          </cell>
          <cell r="T877">
            <v>13494.709999999997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sheet"/>
      <sheetName val="Desempenho_de_Produtos"/>
    </sheetNames>
    <sheetDataSet>
      <sheetData sheetId="0">
        <row r="1">
          <cell r="A1" t="str">
            <v>Código</v>
          </cell>
          <cell r="B1" t="str">
            <v>Qtd. Neg. Vendas</v>
          </cell>
          <cell r="C1" t="str">
            <v>Descrição</v>
          </cell>
          <cell r="D1" t="str">
            <v>Vlr. Compras</v>
          </cell>
          <cell r="E1" t="str">
            <v>% Total Compras</v>
          </cell>
          <cell r="F1" t="str">
            <v>Qtd. Neg. Compras</v>
          </cell>
          <cell r="G1" t="str">
            <v>Vlr. Dev. Compras</v>
          </cell>
          <cell r="H1" t="str">
            <v>% Total Dev. Compras</v>
          </cell>
          <cell r="I1" t="str">
            <v>Qtd. Neg. Dev. Compras</v>
          </cell>
          <cell r="J1" t="str">
            <v>Vlr. Vendas</v>
          </cell>
          <cell r="K1" t="str">
            <v>% Total Vendas</v>
          </cell>
          <cell r="L1" t="str">
            <v>Vlr. Dev. Vendas</v>
          </cell>
          <cell r="M1" t="str">
            <v>% Total Dev. Vendas</v>
          </cell>
          <cell r="N1" t="str">
            <v>Qtd. Neg. Dev. Vendas</v>
          </cell>
          <cell r="O1" t="str">
            <v>Qtd. Clientes Atendidos</v>
          </cell>
          <cell r="P1" t="str">
            <v>% Clientes Atendidos</v>
          </cell>
          <cell r="Q1" t="str">
            <v>Peso Liq. Compras</v>
          </cell>
          <cell r="R1" t="str">
            <v>Peso Liq. Vendas</v>
          </cell>
          <cell r="S1" t="str">
            <v>Peso Liq. Dev. Compras</v>
          </cell>
          <cell r="T1" t="str">
            <v>Peso Liq. Dev. Vendas</v>
          </cell>
        </row>
        <row r="2">
          <cell r="A2">
            <v>98</v>
          </cell>
          <cell r="B2">
            <v>223.29</v>
          </cell>
          <cell r="C2" t="str">
            <v>PALETA BOVINA PCT MATOSO KG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7589.46</v>
          </cell>
          <cell r="K2">
            <v>0.1</v>
          </cell>
          <cell r="L2">
            <v>0</v>
          </cell>
          <cell r="M2">
            <v>0</v>
          </cell>
          <cell r="N2">
            <v>0</v>
          </cell>
          <cell r="O2">
            <v>9</v>
          </cell>
          <cell r="P2">
            <v>0.12</v>
          </cell>
          <cell r="Q2">
            <v>0</v>
          </cell>
          <cell r="R2">
            <v>223.29</v>
          </cell>
          <cell r="S2">
            <v>0</v>
          </cell>
          <cell r="T2">
            <v>0</v>
          </cell>
        </row>
        <row r="3">
          <cell r="A3">
            <v>974</v>
          </cell>
          <cell r="B3">
            <v>3</v>
          </cell>
          <cell r="C3" t="str">
            <v>MOSTARDA SACHE DAJUDA  192 X7G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50.66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3</v>
          </cell>
          <cell r="P3">
            <v>0.04</v>
          </cell>
          <cell r="Q3">
            <v>0</v>
          </cell>
          <cell r="R3">
            <v>6</v>
          </cell>
          <cell r="S3">
            <v>0</v>
          </cell>
          <cell r="T3">
            <v>0</v>
          </cell>
        </row>
        <row r="4">
          <cell r="A4">
            <v>972</v>
          </cell>
          <cell r="B4">
            <v>3</v>
          </cell>
          <cell r="C4" t="str">
            <v>MOSTARDA D´AJUDA GALAO  3,2KG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77.48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3</v>
          </cell>
          <cell r="P4">
            <v>0.04</v>
          </cell>
          <cell r="Q4">
            <v>0</v>
          </cell>
          <cell r="R4">
            <v>15</v>
          </cell>
          <cell r="S4">
            <v>0</v>
          </cell>
          <cell r="T4">
            <v>0</v>
          </cell>
        </row>
        <row r="5">
          <cell r="A5">
            <v>971</v>
          </cell>
          <cell r="B5">
            <v>34</v>
          </cell>
          <cell r="C5" t="str">
            <v>MAIONESE SACHE TEMPERADA DAJUDA 192X7GR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890.93</v>
          </cell>
          <cell r="K5">
            <v>0.01</v>
          </cell>
          <cell r="L5">
            <v>0</v>
          </cell>
          <cell r="M5">
            <v>0</v>
          </cell>
          <cell r="N5">
            <v>0</v>
          </cell>
          <cell r="O5">
            <v>13</v>
          </cell>
          <cell r="P5">
            <v>0.18</v>
          </cell>
          <cell r="Q5">
            <v>0</v>
          </cell>
          <cell r="R5">
            <v>51</v>
          </cell>
          <cell r="S5">
            <v>0</v>
          </cell>
          <cell r="T5">
            <v>0</v>
          </cell>
        </row>
        <row r="6">
          <cell r="A6">
            <v>970</v>
          </cell>
          <cell r="B6">
            <v>77</v>
          </cell>
          <cell r="C6" t="str">
            <v>MAIONESE TEMPERADA BOX DAJUDA 3KG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2720.72</v>
          </cell>
          <cell r="K6">
            <v>0.04</v>
          </cell>
          <cell r="L6">
            <v>213</v>
          </cell>
          <cell r="M6">
            <v>0.65</v>
          </cell>
          <cell r="N6">
            <v>6</v>
          </cell>
          <cell r="O6">
            <v>23</v>
          </cell>
          <cell r="P6">
            <v>0.31</v>
          </cell>
          <cell r="Q6">
            <v>0</v>
          </cell>
          <cell r="R6">
            <v>215.6</v>
          </cell>
          <cell r="S6">
            <v>0</v>
          </cell>
          <cell r="T6">
            <v>16.8</v>
          </cell>
        </row>
        <row r="7">
          <cell r="A7">
            <v>961</v>
          </cell>
          <cell r="B7">
            <v>166</v>
          </cell>
          <cell r="C7" t="str">
            <v>LING T.CALABRESA REZENDE CX 6X2,5KG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7724.62</v>
          </cell>
          <cell r="K7">
            <v>0.1</v>
          </cell>
          <cell r="L7">
            <v>0</v>
          </cell>
          <cell r="M7">
            <v>0</v>
          </cell>
          <cell r="N7">
            <v>0</v>
          </cell>
          <cell r="O7">
            <v>44</v>
          </cell>
          <cell r="P7">
            <v>0.59</v>
          </cell>
          <cell r="Q7">
            <v>0</v>
          </cell>
          <cell r="R7">
            <v>415</v>
          </cell>
          <cell r="S7">
            <v>0</v>
          </cell>
          <cell r="T7">
            <v>0</v>
          </cell>
        </row>
        <row r="8">
          <cell r="A8">
            <v>945</v>
          </cell>
          <cell r="B8">
            <v>0</v>
          </cell>
          <cell r="C8" t="str">
            <v>KIBE INCRIVEL SEARA CX/12X300GR</v>
          </cell>
          <cell r="D8">
            <v>275.89999999999998</v>
          </cell>
          <cell r="E8">
            <v>0.01</v>
          </cell>
          <cell r="F8">
            <v>2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1</v>
          </cell>
          <cell r="P8">
            <v>0.01</v>
          </cell>
          <cell r="Q8">
            <v>12</v>
          </cell>
          <cell r="R8">
            <v>0</v>
          </cell>
          <cell r="S8">
            <v>0</v>
          </cell>
          <cell r="T8">
            <v>0</v>
          </cell>
        </row>
        <row r="9">
          <cell r="A9">
            <v>942</v>
          </cell>
          <cell r="B9">
            <v>49</v>
          </cell>
          <cell r="C9" t="str">
            <v>BATATA P.FRITA BOBS FININHA CX\10X1,05KG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8509.92</v>
          </cell>
          <cell r="K9">
            <v>0.11</v>
          </cell>
          <cell r="L9">
            <v>0</v>
          </cell>
          <cell r="M9">
            <v>0</v>
          </cell>
          <cell r="N9">
            <v>0</v>
          </cell>
          <cell r="O9">
            <v>29</v>
          </cell>
          <cell r="P9">
            <v>0.39</v>
          </cell>
          <cell r="Q9">
            <v>0</v>
          </cell>
          <cell r="R9">
            <v>514.5</v>
          </cell>
          <cell r="S9">
            <v>0</v>
          </cell>
          <cell r="T9">
            <v>0</v>
          </cell>
        </row>
        <row r="10">
          <cell r="A10">
            <v>937</v>
          </cell>
          <cell r="B10">
            <v>3</v>
          </cell>
          <cell r="C10" t="str">
            <v>FRANGO PADARIA S/MIUDOS SEARA CX/14,4KG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595.95000000000005</v>
          </cell>
          <cell r="K10">
            <v>0.01</v>
          </cell>
          <cell r="L10">
            <v>0</v>
          </cell>
          <cell r="M10">
            <v>0</v>
          </cell>
          <cell r="N10">
            <v>0</v>
          </cell>
          <cell r="O10">
            <v>3</v>
          </cell>
          <cell r="P10">
            <v>0.04</v>
          </cell>
          <cell r="Q10">
            <v>0</v>
          </cell>
          <cell r="R10">
            <v>43.2</v>
          </cell>
          <cell r="S10">
            <v>0</v>
          </cell>
          <cell r="T10">
            <v>0</v>
          </cell>
        </row>
        <row r="11">
          <cell r="A11">
            <v>936</v>
          </cell>
          <cell r="B11">
            <v>6</v>
          </cell>
          <cell r="C11" t="str">
            <v>FILE COXA\SOBRECOXA BDJ SEARA 12X1KG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1119.23</v>
          </cell>
          <cell r="K11">
            <v>0.01</v>
          </cell>
          <cell r="L11">
            <v>0</v>
          </cell>
          <cell r="M11">
            <v>0</v>
          </cell>
          <cell r="N11">
            <v>0</v>
          </cell>
          <cell r="O11">
            <v>5</v>
          </cell>
          <cell r="P11">
            <v>7.0000000000000007E-2</v>
          </cell>
          <cell r="Q11">
            <v>0</v>
          </cell>
          <cell r="R11">
            <v>72</v>
          </cell>
          <cell r="S11">
            <v>0</v>
          </cell>
          <cell r="T11">
            <v>0</v>
          </cell>
        </row>
        <row r="12">
          <cell r="A12">
            <v>93</v>
          </cell>
          <cell r="B12">
            <v>43.42</v>
          </cell>
          <cell r="C12" t="str">
            <v>ALCATRA COMPLETA GRILL BOVINA FRIGODIAS KG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2082.61</v>
          </cell>
          <cell r="K12">
            <v>0.03</v>
          </cell>
          <cell r="L12">
            <v>0</v>
          </cell>
          <cell r="M12">
            <v>0</v>
          </cell>
          <cell r="N12">
            <v>0</v>
          </cell>
          <cell r="O12">
            <v>2</v>
          </cell>
          <cell r="P12">
            <v>0.03</v>
          </cell>
          <cell r="Q12">
            <v>0</v>
          </cell>
          <cell r="R12">
            <v>43.42</v>
          </cell>
          <cell r="S12">
            <v>0</v>
          </cell>
          <cell r="T12">
            <v>0</v>
          </cell>
        </row>
        <row r="13">
          <cell r="A13">
            <v>92</v>
          </cell>
          <cell r="B13">
            <v>133.59</v>
          </cell>
          <cell r="C13" t="str">
            <v>CUPIM TEMP. BACON BOVINO PALADAR KG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4713.05</v>
          </cell>
          <cell r="K13">
            <v>0.06</v>
          </cell>
          <cell r="L13">
            <v>0</v>
          </cell>
          <cell r="M13">
            <v>0</v>
          </cell>
          <cell r="N13">
            <v>0</v>
          </cell>
          <cell r="O13">
            <v>5</v>
          </cell>
          <cell r="P13">
            <v>7.0000000000000007E-2</v>
          </cell>
          <cell r="Q13">
            <v>0</v>
          </cell>
          <cell r="R13">
            <v>133.59</v>
          </cell>
          <cell r="S13">
            <v>0</v>
          </cell>
          <cell r="T13">
            <v>0</v>
          </cell>
        </row>
        <row r="14">
          <cell r="A14">
            <v>91</v>
          </cell>
          <cell r="B14">
            <v>1346.58</v>
          </cell>
          <cell r="C14" t="str">
            <v>MACA PEITO PCT BOVINA PLENA KG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45710.54</v>
          </cell>
          <cell r="K14">
            <v>0.6</v>
          </cell>
          <cell r="L14">
            <v>0</v>
          </cell>
          <cell r="M14">
            <v>0</v>
          </cell>
          <cell r="N14">
            <v>0</v>
          </cell>
          <cell r="O14">
            <v>72</v>
          </cell>
          <cell r="P14">
            <v>0.97</v>
          </cell>
          <cell r="Q14">
            <v>0</v>
          </cell>
          <cell r="R14">
            <v>1346.58</v>
          </cell>
          <cell r="S14">
            <v>0</v>
          </cell>
          <cell r="T14">
            <v>0</v>
          </cell>
        </row>
        <row r="15">
          <cell r="A15">
            <v>909</v>
          </cell>
          <cell r="B15">
            <v>12</v>
          </cell>
          <cell r="C15" t="str">
            <v>CHICKEN CROC CROCANT LEBON 12X300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870.24</v>
          </cell>
          <cell r="K15">
            <v>0.01</v>
          </cell>
          <cell r="L15">
            <v>0</v>
          </cell>
          <cell r="M15">
            <v>0</v>
          </cell>
          <cell r="N15">
            <v>0</v>
          </cell>
          <cell r="O15">
            <v>3</v>
          </cell>
          <cell r="P15">
            <v>0.04</v>
          </cell>
          <cell r="Q15">
            <v>0</v>
          </cell>
          <cell r="R15">
            <v>43.2</v>
          </cell>
          <cell r="S15">
            <v>0</v>
          </cell>
          <cell r="T15">
            <v>0</v>
          </cell>
        </row>
        <row r="16">
          <cell r="A16">
            <v>908</v>
          </cell>
          <cell r="B16">
            <v>1</v>
          </cell>
          <cell r="C16" t="str">
            <v>SALSICHA LEBON CX/12X450 GR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65.66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0.01</v>
          </cell>
          <cell r="Q16">
            <v>0</v>
          </cell>
          <cell r="R16">
            <v>5.4</v>
          </cell>
          <cell r="S16">
            <v>0</v>
          </cell>
          <cell r="T16">
            <v>0</v>
          </cell>
        </row>
        <row r="17">
          <cell r="A17">
            <v>907</v>
          </cell>
          <cell r="B17">
            <v>83</v>
          </cell>
          <cell r="C17" t="str">
            <v>PRESUNTO LEBON OVAL 3,400</v>
          </cell>
          <cell r="D17">
            <v>0</v>
          </cell>
          <cell r="E17">
            <v>0</v>
          </cell>
          <cell r="F17">
            <v>0</v>
          </cell>
          <cell r="G17">
            <v>15571.8</v>
          </cell>
          <cell r="H17">
            <v>95.25</v>
          </cell>
          <cell r="I17">
            <v>246</v>
          </cell>
          <cell r="J17">
            <v>6267.8</v>
          </cell>
          <cell r="K17">
            <v>0.08</v>
          </cell>
          <cell r="L17">
            <v>0</v>
          </cell>
          <cell r="M17">
            <v>0</v>
          </cell>
          <cell r="N17">
            <v>0</v>
          </cell>
          <cell r="O17">
            <v>25</v>
          </cell>
          <cell r="P17">
            <v>0.34</v>
          </cell>
          <cell r="Q17">
            <v>0</v>
          </cell>
          <cell r="R17">
            <v>282.2</v>
          </cell>
          <cell r="S17">
            <v>836.4</v>
          </cell>
          <cell r="T17">
            <v>0</v>
          </cell>
        </row>
        <row r="18">
          <cell r="A18">
            <v>906</v>
          </cell>
          <cell r="B18">
            <v>5</v>
          </cell>
          <cell r="C18" t="str">
            <v>PIZZA LOMBO REQUEIJAO LEBON CX\12X400GR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594</v>
          </cell>
          <cell r="K18">
            <v>0.01</v>
          </cell>
          <cell r="L18">
            <v>0</v>
          </cell>
          <cell r="M18">
            <v>0</v>
          </cell>
          <cell r="N18">
            <v>0</v>
          </cell>
          <cell r="O18">
            <v>3</v>
          </cell>
          <cell r="P18">
            <v>0.04</v>
          </cell>
          <cell r="Q18">
            <v>0</v>
          </cell>
          <cell r="R18">
            <v>24</v>
          </cell>
          <cell r="S18">
            <v>0</v>
          </cell>
          <cell r="T18">
            <v>0</v>
          </cell>
        </row>
        <row r="19">
          <cell r="A19">
            <v>90</v>
          </cell>
          <cell r="B19">
            <v>872.84</v>
          </cell>
          <cell r="C19" t="str">
            <v>MACA PEITO BOVINA PLENA KG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28181.1</v>
          </cell>
          <cell r="K19">
            <v>0.37</v>
          </cell>
          <cell r="L19">
            <v>0</v>
          </cell>
          <cell r="M19">
            <v>0</v>
          </cell>
          <cell r="N19">
            <v>0</v>
          </cell>
          <cell r="O19">
            <v>17</v>
          </cell>
          <cell r="P19">
            <v>0.23</v>
          </cell>
          <cell r="Q19">
            <v>0</v>
          </cell>
          <cell r="R19">
            <v>872.84</v>
          </cell>
          <cell r="S19">
            <v>0</v>
          </cell>
          <cell r="T19">
            <v>0</v>
          </cell>
        </row>
        <row r="20">
          <cell r="A20">
            <v>9</v>
          </cell>
          <cell r="B20">
            <v>440</v>
          </cell>
          <cell r="C20" t="str">
            <v>LEITE UHT INTEGRAL PIRACANJUBA CX\12 LT</v>
          </cell>
          <cell r="D20">
            <v>20359.2</v>
          </cell>
          <cell r="E20">
            <v>0.48</v>
          </cell>
          <cell r="F20">
            <v>340</v>
          </cell>
          <cell r="G20">
            <v>0</v>
          </cell>
          <cell r="H20">
            <v>0</v>
          </cell>
          <cell r="I20">
            <v>0</v>
          </cell>
          <cell r="J20">
            <v>31658.02</v>
          </cell>
          <cell r="K20">
            <v>0.41</v>
          </cell>
          <cell r="L20">
            <v>431.58</v>
          </cell>
          <cell r="M20">
            <v>1.31</v>
          </cell>
          <cell r="N20">
            <v>6</v>
          </cell>
          <cell r="O20">
            <v>97</v>
          </cell>
          <cell r="P20">
            <v>1.31</v>
          </cell>
          <cell r="Q20">
            <v>4080</v>
          </cell>
          <cell r="R20">
            <v>5280</v>
          </cell>
          <cell r="S20">
            <v>0</v>
          </cell>
          <cell r="T20">
            <v>72</v>
          </cell>
        </row>
        <row r="21">
          <cell r="A21">
            <v>899</v>
          </cell>
          <cell r="B21">
            <v>56</v>
          </cell>
          <cell r="C21" t="str">
            <v>MORTADELA LEBON  CX\4X3,250KG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1594.04</v>
          </cell>
          <cell r="K21">
            <v>0.02</v>
          </cell>
          <cell r="L21">
            <v>0</v>
          </cell>
          <cell r="M21">
            <v>0</v>
          </cell>
          <cell r="N21">
            <v>0</v>
          </cell>
          <cell r="O21">
            <v>13</v>
          </cell>
          <cell r="P21">
            <v>0.18</v>
          </cell>
          <cell r="Q21">
            <v>0</v>
          </cell>
          <cell r="R21">
            <v>182</v>
          </cell>
          <cell r="S21">
            <v>0</v>
          </cell>
          <cell r="T21">
            <v>0</v>
          </cell>
        </row>
        <row r="22">
          <cell r="A22">
            <v>897</v>
          </cell>
          <cell r="B22">
            <v>75</v>
          </cell>
          <cell r="C22" t="str">
            <v>HAMBURGUER ENVELOPADO LEBON CX\36UN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2762.24</v>
          </cell>
          <cell r="K22">
            <v>0.04</v>
          </cell>
          <cell r="L22">
            <v>0</v>
          </cell>
          <cell r="M22">
            <v>0</v>
          </cell>
          <cell r="N22">
            <v>0</v>
          </cell>
          <cell r="O22">
            <v>15</v>
          </cell>
          <cell r="P22">
            <v>0.2</v>
          </cell>
          <cell r="Q22">
            <v>0</v>
          </cell>
          <cell r="R22">
            <v>151.19999999999999</v>
          </cell>
          <cell r="S22">
            <v>0</v>
          </cell>
          <cell r="T22">
            <v>0</v>
          </cell>
        </row>
        <row r="23">
          <cell r="A23">
            <v>893</v>
          </cell>
          <cell r="B23">
            <v>14</v>
          </cell>
          <cell r="C23" t="str">
            <v>SALSICHA REZENDE CX/12X500GR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905.52</v>
          </cell>
          <cell r="K23">
            <v>0.01</v>
          </cell>
          <cell r="L23">
            <v>0</v>
          </cell>
          <cell r="M23">
            <v>0</v>
          </cell>
          <cell r="N23">
            <v>0</v>
          </cell>
          <cell r="O23">
            <v>8</v>
          </cell>
          <cell r="P23">
            <v>0.11</v>
          </cell>
          <cell r="Q23">
            <v>0</v>
          </cell>
          <cell r="R23">
            <v>84</v>
          </cell>
          <cell r="S23">
            <v>0</v>
          </cell>
          <cell r="T23">
            <v>0</v>
          </cell>
        </row>
        <row r="24">
          <cell r="A24">
            <v>891</v>
          </cell>
          <cell r="B24">
            <v>135</v>
          </cell>
          <cell r="C24" t="str">
            <v>LING FRANGO SEARA CX\4X5KG</v>
          </cell>
          <cell r="D24">
            <v>12490</v>
          </cell>
          <cell r="E24">
            <v>0.28999999999999998</v>
          </cell>
          <cell r="F24">
            <v>200</v>
          </cell>
          <cell r="G24">
            <v>0</v>
          </cell>
          <cell r="H24">
            <v>0</v>
          </cell>
          <cell r="I24">
            <v>0</v>
          </cell>
          <cell r="J24">
            <v>10061.549999999999</v>
          </cell>
          <cell r="K24">
            <v>0.13</v>
          </cell>
          <cell r="L24">
            <v>0</v>
          </cell>
          <cell r="M24">
            <v>0</v>
          </cell>
          <cell r="N24">
            <v>0</v>
          </cell>
          <cell r="O24">
            <v>31</v>
          </cell>
          <cell r="P24">
            <v>0.42</v>
          </cell>
          <cell r="Q24">
            <v>1000</v>
          </cell>
          <cell r="R24">
            <v>675</v>
          </cell>
          <cell r="S24">
            <v>0</v>
          </cell>
          <cell r="T24">
            <v>0</v>
          </cell>
        </row>
        <row r="25">
          <cell r="A25">
            <v>890</v>
          </cell>
          <cell r="B25">
            <v>15</v>
          </cell>
          <cell r="C25" t="str">
            <v>ISCAS FRANGO EMPANADAS SEARA CX/5X900GR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1987.2</v>
          </cell>
          <cell r="K25">
            <v>0.03</v>
          </cell>
          <cell r="L25">
            <v>0</v>
          </cell>
          <cell r="M25">
            <v>0</v>
          </cell>
          <cell r="N25">
            <v>0</v>
          </cell>
          <cell r="O25">
            <v>12</v>
          </cell>
          <cell r="P25">
            <v>0.16</v>
          </cell>
          <cell r="Q25">
            <v>0</v>
          </cell>
          <cell r="R25">
            <v>72</v>
          </cell>
          <cell r="S25">
            <v>0</v>
          </cell>
          <cell r="T25">
            <v>0</v>
          </cell>
        </row>
        <row r="26">
          <cell r="A26">
            <v>887</v>
          </cell>
          <cell r="B26">
            <v>450</v>
          </cell>
          <cell r="C26" t="str">
            <v>LING CHURRASCO REZENDE CX\4X5KG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29847.57</v>
          </cell>
          <cell r="K26">
            <v>0.39</v>
          </cell>
          <cell r="L26">
            <v>67.75</v>
          </cell>
          <cell r="M26">
            <v>0.21</v>
          </cell>
          <cell r="N26">
            <v>1</v>
          </cell>
          <cell r="O26">
            <v>113</v>
          </cell>
          <cell r="P26">
            <v>1.52</v>
          </cell>
          <cell r="Q26">
            <v>0</v>
          </cell>
          <cell r="R26">
            <v>2250</v>
          </cell>
          <cell r="S26">
            <v>0</v>
          </cell>
          <cell r="T26">
            <v>5</v>
          </cell>
        </row>
        <row r="27">
          <cell r="A27">
            <v>885</v>
          </cell>
          <cell r="B27">
            <v>47</v>
          </cell>
          <cell r="C27" t="str">
            <v>COSTELA SUINA EM TIRAS PIF PAF CX/20KG</v>
          </cell>
          <cell r="D27">
            <v>27760.46</v>
          </cell>
          <cell r="E27">
            <v>0.65</v>
          </cell>
          <cell r="F27">
            <v>85</v>
          </cell>
          <cell r="G27">
            <v>0</v>
          </cell>
          <cell r="H27">
            <v>0</v>
          </cell>
          <cell r="I27">
            <v>0</v>
          </cell>
          <cell r="J27">
            <v>17425.439999999999</v>
          </cell>
          <cell r="K27">
            <v>0.23</v>
          </cell>
          <cell r="L27">
            <v>0</v>
          </cell>
          <cell r="M27">
            <v>0</v>
          </cell>
          <cell r="N27">
            <v>0</v>
          </cell>
          <cell r="O27">
            <v>36</v>
          </cell>
          <cell r="P27">
            <v>0.48</v>
          </cell>
          <cell r="Q27">
            <v>1700</v>
          </cell>
          <cell r="R27">
            <v>940</v>
          </cell>
          <cell r="S27">
            <v>0</v>
          </cell>
          <cell r="T27">
            <v>0</v>
          </cell>
        </row>
        <row r="28">
          <cell r="A28">
            <v>884</v>
          </cell>
          <cell r="B28">
            <v>28</v>
          </cell>
          <cell r="C28" t="str">
            <v>COSTELA SUINA PIF PAF CX/20KG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10264.25</v>
          </cell>
          <cell r="K28">
            <v>0.13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>
            <v>0.32</v>
          </cell>
          <cell r="Q28">
            <v>0</v>
          </cell>
          <cell r="R28">
            <v>560</v>
          </cell>
          <cell r="S28">
            <v>0</v>
          </cell>
          <cell r="T28">
            <v>0</v>
          </cell>
        </row>
        <row r="29">
          <cell r="A29">
            <v>883</v>
          </cell>
          <cell r="B29">
            <v>30</v>
          </cell>
          <cell r="C29" t="str">
            <v>LASANHA MIX PIF PAF CX.10X600GR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3245.6</v>
          </cell>
          <cell r="K29">
            <v>0.04</v>
          </cell>
          <cell r="L29">
            <v>0</v>
          </cell>
          <cell r="M29">
            <v>0</v>
          </cell>
          <cell r="N29">
            <v>0</v>
          </cell>
          <cell r="O29">
            <v>27</v>
          </cell>
          <cell r="P29">
            <v>0.36</v>
          </cell>
          <cell r="Q29">
            <v>0</v>
          </cell>
          <cell r="R29">
            <v>180</v>
          </cell>
          <cell r="S29">
            <v>0</v>
          </cell>
          <cell r="T29">
            <v>0</v>
          </cell>
        </row>
        <row r="30">
          <cell r="A30">
            <v>880</v>
          </cell>
          <cell r="B30">
            <v>3</v>
          </cell>
          <cell r="C30" t="str">
            <v>PIZZA LOMBO CATUPIRY SEARA CX\12X460G</v>
          </cell>
          <cell r="D30">
            <v>1543.94</v>
          </cell>
          <cell r="E30">
            <v>0.04</v>
          </cell>
          <cell r="F30">
            <v>10</v>
          </cell>
          <cell r="G30">
            <v>0</v>
          </cell>
          <cell r="H30">
            <v>0</v>
          </cell>
          <cell r="I30">
            <v>0</v>
          </cell>
          <cell r="J30">
            <v>462</v>
          </cell>
          <cell r="K30">
            <v>0.01</v>
          </cell>
          <cell r="L30">
            <v>0</v>
          </cell>
          <cell r="M30">
            <v>0</v>
          </cell>
          <cell r="N30">
            <v>0</v>
          </cell>
          <cell r="O30">
            <v>4</v>
          </cell>
          <cell r="P30">
            <v>0.05</v>
          </cell>
          <cell r="Q30">
            <v>200</v>
          </cell>
          <cell r="R30">
            <v>60</v>
          </cell>
          <cell r="S30">
            <v>0</v>
          </cell>
          <cell r="T30">
            <v>0</v>
          </cell>
        </row>
        <row r="31">
          <cell r="A31">
            <v>879</v>
          </cell>
          <cell r="B31">
            <v>144.53</v>
          </cell>
          <cell r="C31" t="str">
            <v>BACON MANTA LEBON KG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4220.2700000000004</v>
          </cell>
          <cell r="K31">
            <v>0.06</v>
          </cell>
          <cell r="L31">
            <v>0</v>
          </cell>
          <cell r="M31">
            <v>0</v>
          </cell>
          <cell r="N31">
            <v>0</v>
          </cell>
          <cell r="O31">
            <v>4</v>
          </cell>
          <cell r="P31">
            <v>0.05</v>
          </cell>
          <cell r="Q31">
            <v>0</v>
          </cell>
          <cell r="R31">
            <v>144.53</v>
          </cell>
          <cell r="S31">
            <v>0</v>
          </cell>
          <cell r="T31">
            <v>0</v>
          </cell>
        </row>
        <row r="32">
          <cell r="A32">
            <v>877</v>
          </cell>
          <cell r="B32">
            <v>3</v>
          </cell>
          <cell r="C32" t="str">
            <v>BACALHAU POSTA SAITHE PESCA NOBRE CX/12X800GR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1531.74</v>
          </cell>
          <cell r="K32">
            <v>0.02</v>
          </cell>
          <cell r="L32">
            <v>0</v>
          </cell>
          <cell r="M32">
            <v>0</v>
          </cell>
          <cell r="N32">
            <v>0</v>
          </cell>
          <cell r="O32">
            <v>2</v>
          </cell>
          <cell r="P32">
            <v>0.03</v>
          </cell>
          <cell r="Q32">
            <v>0</v>
          </cell>
          <cell r="R32">
            <v>28.8</v>
          </cell>
          <cell r="S32">
            <v>0</v>
          </cell>
          <cell r="T32">
            <v>0</v>
          </cell>
        </row>
        <row r="33">
          <cell r="A33">
            <v>872</v>
          </cell>
          <cell r="B33">
            <v>360</v>
          </cell>
          <cell r="C33" t="str">
            <v>FILE PEITO ENVELOPADO FRIAL CX\20KG</v>
          </cell>
          <cell r="D33">
            <v>234436.08</v>
          </cell>
          <cell r="E33">
            <v>5.49</v>
          </cell>
          <cell r="F33">
            <v>1000</v>
          </cell>
          <cell r="G33">
            <v>0</v>
          </cell>
          <cell r="H33">
            <v>0</v>
          </cell>
          <cell r="I33">
            <v>0</v>
          </cell>
          <cell r="J33">
            <v>101105.83</v>
          </cell>
          <cell r="K33">
            <v>1.32</v>
          </cell>
          <cell r="L33">
            <v>0</v>
          </cell>
          <cell r="M33">
            <v>0</v>
          </cell>
          <cell r="N33">
            <v>0</v>
          </cell>
          <cell r="O33">
            <v>215</v>
          </cell>
          <cell r="P33">
            <v>2.89</v>
          </cell>
          <cell r="Q33">
            <v>20000</v>
          </cell>
          <cell r="R33">
            <v>7200</v>
          </cell>
          <cell r="S33">
            <v>0</v>
          </cell>
          <cell r="T33">
            <v>0</v>
          </cell>
        </row>
        <row r="34">
          <cell r="A34">
            <v>865</v>
          </cell>
          <cell r="B34">
            <v>167</v>
          </cell>
          <cell r="C34" t="str">
            <v>VITAMINA FRUTAS IBITURUNA CX/27X200ML</v>
          </cell>
          <cell r="D34">
            <v>16871.02</v>
          </cell>
          <cell r="E34">
            <v>0.4</v>
          </cell>
          <cell r="F34">
            <v>720</v>
          </cell>
          <cell r="G34">
            <v>0</v>
          </cell>
          <cell r="H34">
            <v>0</v>
          </cell>
          <cell r="I34">
            <v>0</v>
          </cell>
          <cell r="J34">
            <v>4728.9399999999996</v>
          </cell>
          <cell r="K34">
            <v>0.06</v>
          </cell>
          <cell r="L34">
            <v>111.72</v>
          </cell>
          <cell r="M34">
            <v>0.34</v>
          </cell>
          <cell r="N34">
            <v>4</v>
          </cell>
          <cell r="O34">
            <v>78</v>
          </cell>
          <cell r="P34">
            <v>1.05</v>
          </cell>
          <cell r="Q34">
            <v>4320</v>
          </cell>
          <cell r="R34">
            <v>1002</v>
          </cell>
          <cell r="S34">
            <v>0</v>
          </cell>
          <cell r="T34">
            <v>24</v>
          </cell>
        </row>
        <row r="35">
          <cell r="A35">
            <v>864</v>
          </cell>
          <cell r="B35">
            <v>12</v>
          </cell>
          <cell r="C35" t="str">
            <v>VITAMINA FRUTAS IBITURUNA CX/12X1LT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677.35</v>
          </cell>
          <cell r="K35">
            <v>0.01</v>
          </cell>
          <cell r="L35">
            <v>0</v>
          </cell>
          <cell r="M35">
            <v>0</v>
          </cell>
          <cell r="N35">
            <v>0</v>
          </cell>
          <cell r="O35">
            <v>10</v>
          </cell>
          <cell r="P35">
            <v>0.13</v>
          </cell>
          <cell r="Q35">
            <v>0</v>
          </cell>
          <cell r="R35">
            <v>144</v>
          </cell>
          <cell r="S35">
            <v>0</v>
          </cell>
          <cell r="T35">
            <v>0</v>
          </cell>
        </row>
        <row r="36">
          <cell r="A36">
            <v>858</v>
          </cell>
          <cell r="B36">
            <v>14</v>
          </cell>
          <cell r="C36" t="str">
            <v>SOBRECOXA SEARA BANDEJA CX\12KG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2114.46</v>
          </cell>
          <cell r="K36">
            <v>0.03</v>
          </cell>
          <cell r="L36">
            <v>0</v>
          </cell>
          <cell r="M36">
            <v>0</v>
          </cell>
          <cell r="N36">
            <v>0</v>
          </cell>
          <cell r="O36">
            <v>12</v>
          </cell>
          <cell r="P36">
            <v>0.16</v>
          </cell>
          <cell r="Q36">
            <v>0</v>
          </cell>
          <cell r="R36">
            <v>168</v>
          </cell>
          <cell r="S36">
            <v>0</v>
          </cell>
          <cell r="T36">
            <v>0</v>
          </cell>
        </row>
        <row r="37">
          <cell r="A37">
            <v>856</v>
          </cell>
          <cell r="B37">
            <v>10</v>
          </cell>
          <cell r="C37" t="str">
            <v>SALAME ITALIANO GRANDE GOURMET SEARA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293.16000000000003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9</v>
          </cell>
          <cell r="P37">
            <v>0.12</v>
          </cell>
          <cell r="Q37">
            <v>0</v>
          </cell>
          <cell r="R37">
            <v>10</v>
          </cell>
          <cell r="S37">
            <v>0</v>
          </cell>
          <cell r="T37">
            <v>0</v>
          </cell>
        </row>
        <row r="38">
          <cell r="A38">
            <v>849</v>
          </cell>
          <cell r="B38">
            <v>5</v>
          </cell>
          <cell r="C38" t="str">
            <v>PIZZA MIX PIF PAF CX12X460GR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884.26</v>
          </cell>
          <cell r="K38">
            <v>0.01</v>
          </cell>
          <cell r="L38">
            <v>0</v>
          </cell>
          <cell r="M38">
            <v>0</v>
          </cell>
          <cell r="N38">
            <v>0</v>
          </cell>
          <cell r="O38">
            <v>4</v>
          </cell>
          <cell r="P38">
            <v>0.05</v>
          </cell>
          <cell r="Q38">
            <v>0</v>
          </cell>
          <cell r="R38">
            <v>30</v>
          </cell>
          <cell r="S38">
            <v>0</v>
          </cell>
          <cell r="T38">
            <v>0</v>
          </cell>
        </row>
        <row r="39">
          <cell r="A39">
            <v>848</v>
          </cell>
          <cell r="B39">
            <v>40</v>
          </cell>
          <cell r="C39" t="str">
            <v>PIZZA MIX SEARA CX12X460GR</v>
          </cell>
          <cell r="D39">
            <v>4631.83</v>
          </cell>
          <cell r="E39">
            <v>0.11</v>
          </cell>
          <cell r="F39">
            <v>30</v>
          </cell>
          <cell r="G39">
            <v>0</v>
          </cell>
          <cell r="H39">
            <v>0</v>
          </cell>
          <cell r="I39">
            <v>0</v>
          </cell>
          <cell r="J39">
            <v>7482.23</v>
          </cell>
          <cell r="K39">
            <v>0.1</v>
          </cell>
          <cell r="L39">
            <v>0</v>
          </cell>
          <cell r="M39">
            <v>0</v>
          </cell>
          <cell r="N39">
            <v>0</v>
          </cell>
          <cell r="O39">
            <v>39</v>
          </cell>
          <cell r="P39">
            <v>0.53</v>
          </cell>
          <cell r="Q39">
            <v>180</v>
          </cell>
          <cell r="R39">
            <v>240</v>
          </cell>
          <cell r="S39">
            <v>0</v>
          </cell>
          <cell r="T39">
            <v>0</v>
          </cell>
        </row>
        <row r="40">
          <cell r="A40">
            <v>846</v>
          </cell>
          <cell r="B40">
            <v>2</v>
          </cell>
          <cell r="C40" t="str">
            <v>PIZZA FRANGO\REQUEIJAO REZENDE CX\12X400GR</v>
          </cell>
          <cell r="D40">
            <v>587.04</v>
          </cell>
          <cell r="E40">
            <v>0.01</v>
          </cell>
          <cell r="F40">
            <v>5</v>
          </cell>
          <cell r="G40">
            <v>0</v>
          </cell>
          <cell r="H40">
            <v>0</v>
          </cell>
          <cell r="I40">
            <v>0</v>
          </cell>
          <cell r="J40">
            <v>283.10000000000002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3</v>
          </cell>
          <cell r="P40">
            <v>0.04</v>
          </cell>
          <cell r="Q40">
            <v>24</v>
          </cell>
          <cell r="R40">
            <v>9.6</v>
          </cell>
          <cell r="S40">
            <v>0</v>
          </cell>
          <cell r="T40">
            <v>0</v>
          </cell>
        </row>
        <row r="41">
          <cell r="A41">
            <v>840</v>
          </cell>
          <cell r="B41">
            <v>30</v>
          </cell>
          <cell r="C41" t="str">
            <v>PAO ALHO  PIF PAF CX\12X300GR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3912.86</v>
          </cell>
          <cell r="K41">
            <v>0.05</v>
          </cell>
          <cell r="L41">
            <v>0</v>
          </cell>
          <cell r="M41">
            <v>0</v>
          </cell>
          <cell r="N41">
            <v>0</v>
          </cell>
          <cell r="O41">
            <v>26</v>
          </cell>
          <cell r="P41">
            <v>0.35</v>
          </cell>
          <cell r="Q41">
            <v>0</v>
          </cell>
          <cell r="R41">
            <v>108</v>
          </cell>
          <cell r="S41">
            <v>0</v>
          </cell>
          <cell r="T41">
            <v>0</v>
          </cell>
        </row>
        <row r="42">
          <cell r="A42">
            <v>838</v>
          </cell>
          <cell r="B42">
            <v>13</v>
          </cell>
          <cell r="C42" t="str">
            <v>MORTADELA BOLONHA REZENDE CX/2X5KG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609.12</v>
          </cell>
          <cell r="K42">
            <v>0.01</v>
          </cell>
          <cell r="L42">
            <v>0</v>
          </cell>
          <cell r="M42">
            <v>0</v>
          </cell>
          <cell r="N42">
            <v>0</v>
          </cell>
          <cell r="O42">
            <v>4</v>
          </cell>
          <cell r="P42">
            <v>0.05</v>
          </cell>
          <cell r="Q42">
            <v>0</v>
          </cell>
          <cell r="R42">
            <v>65</v>
          </cell>
          <cell r="S42">
            <v>0</v>
          </cell>
          <cell r="T42">
            <v>0</v>
          </cell>
        </row>
        <row r="43">
          <cell r="A43">
            <v>835</v>
          </cell>
          <cell r="B43">
            <v>477</v>
          </cell>
          <cell r="C43" t="str">
            <v>MILHO VERDE LT STELLA D.ORO CX24X170G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29782.76</v>
          </cell>
          <cell r="K43">
            <v>0.39</v>
          </cell>
          <cell r="L43">
            <v>0</v>
          </cell>
          <cell r="M43">
            <v>0</v>
          </cell>
          <cell r="N43">
            <v>0</v>
          </cell>
          <cell r="O43">
            <v>272</v>
          </cell>
          <cell r="P43">
            <v>3.66</v>
          </cell>
          <cell r="Q43">
            <v>0</v>
          </cell>
          <cell r="R43">
            <v>3100.5</v>
          </cell>
          <cell r="S43">
            <v>0</v>
          </cell>
          <cell r="T43">
            <v>0</v>
          </cell>
        </row>
        <row r="44">
          <cell r="A44">
            <v>834</v>
          </cell>
          <cell r="B44">
            <v>202</v>
          </cell>
          <cell r="C44" t="str">
            <v>MILHO VERDE COPO OLE CX\12X170G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8843.66</v>
          </cell>
          <cell r="K44">
            <v>0.12</v>
          </cell>
          <cell r="L44">
            <v>0</v>
          </cell>
          <cell r="M44">
            <v>0</v>
          </cell>
          <cell r="N44">
            <v>0</v>
          </cell>
          <cell r="O44">
            <v>128</v>
          </cell>
          <cell r="P44">
            <v>1.72</v>
          </cell>
          <cell r="Q44">
            <v>0</v>
          </cell>
          <cell r="R44">
            <v>808</v>
          </cell>
          <cell r="S44">
            <v>0</v>
          </cell>
          <cell r="T44">
            <v>0</v>
          </cell>
        </row>
        <row r="45">
          <cell r="A45">
            <v>833</v>
          </cell>
          <cell r="B45">
            <v>106</v>
          </cell>
          <cell r="C45" t="str">
            <v>MILHO VERDE COPO OLE CX\12X120G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4010.16</v>
          </cell>
          <cell r="K45">
            <v>0.05</v>
          </cell>
          <cell r="L45">
            <v>76.23</v>
          </cell>
          <cell r="M45">
            <v>0.23</v>
          </cell>
          <cell r="N45">
            <v>2</v>
          </cell>
          <cell r="O45">
            <v>63</v>
          </cell>
          <cell r="P45">
            <v>0.85</v>
          </cell>
          <cell r="Q45">
            <v>0</v>
          </cell>
          <cell r="R45">
            <v>318</v>
          </cell>
          <cell r="S45">
            <v>0</v>
          </cell>
          <cell r="T45">
            <v>6</v>
          </cell>
        </row>
        <row r="46">
          <cell r="A46">
            <v>830</v>
          </cell>
          <cell r="B46">
            <v>192</v>
          </cell>
          <cell r="C46" t="str">
            <v>MEIO DA ASA IQF SEARA 12X1KG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51862.96</v>
          </cell>
          <cell r="K46">
            <v>0.68</v>
          </cell>
          <cell r="L46">
            <v>269.89</v>
          </cell>
          <cell r="M46">
            <v>0.82</v>
          </cell>
          <cell r="N46">
            <v>1</v>
          </cell>
          <cell r="O46">
            <v>143</v>
          </cell>
          <cell r="P46">
            <v>1.93</v>
          </cell>
          <cell r="Q46">
            <v>0</v>
          </cell>
          <cell r="R46">
            <v>2304</v>
          </cell>
          <cell r="S46">
            <v>0</v>
          </cell>
          <cell r="T46">
            <v>12</v>
          </cell>
        </row>
        <row r="47">
          <cell r="A47">
            <v>83</v>
          </cell>
          <cell r="B47">
            <v>89</v>
          </cell>
          <cell r="C47" t="str">
            <v>CARNE BOVINA MOIDA TUDBOM PLENA 24X500G</v>
          </cell>
          <cell r="D47">
            <v>55294.57</v>
          </cell>
          <cell r="E47">
            <v>1.3</v>
          </cell>
          <cell r="F47">
            <v>200</v>
          </cell>
          <cell r="G47">
            <v>0</v>
          </cell>
          <cell r="H47">
            <v>0</v>
          </cell>
          <cell r="I47">
            <v>0</v>
          </cell>
          <cell r="J47">
            <v>29272.3</v>
          </cell>
          <cell r="K47">
            <v>0.38</v>
          </cell>
          <cell r="L47">
            <v>0</v>
          </cell>
          <cell r="M47">
            <v>0</v>
          </cell>
          <cell r="N47">
            <v>0</v>
          </cell>
          <cell r="O47">
            <v>79</v>
          </cell>
          <cell r="P47">
            <v>1.06</v>
          </cell>
          <cell r="Q47">
            <v>2400</v>
          </cell>
          <cell r="R47">
            <v>1068</v>
          </cell>
          <cell r="S47">
            <v>0</v>
          </cell>
          <cell r="T47">
            <v>0</v>
          </cell>
        </row>
        <row r="48">
          <cell r="A48">
            <v>829</v>
          </cell>
          <cell r="B48">
            <v>4</v>
          </cell>
          <cell r="C48" t="str">
            <v>MARGARINA CREMOSY CX/12X500GR 997874</v>
          </cell>
          <cell r="D48">
            <v>592.79999999999995</v>
          </cell>
          <cell r="E48">
            <v>0.01</v>
          </cell>
          <cell r="F48">
            <v>10</v>
          </cell>
          <cell r="G48">
            <v>0</v>
          </cell>
          <cell r="H48">
            <v>0</v>
          </cell>
          <cell r="I48">
            <v>0</v>
          </cell>
          <cell r="J48">
            <v>211.68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5</v>
          </cell>
          <cell r="P48">
            <v>7.0000000000000007E-2</v>
          </cell>
          <cell r="Q48">
            <v>60</v>
          </cell>
          <cell r="R48">
            <v>24</v>
          </cell>
          <cell r="S48">
            <v>0</v>
          </cell>
          <cell r="T48">
            <v>0</v>
          </cell>
        </row>
        <row r="49">
          <cell r="A49">
            <v>827</v>
          </cell>
          <cell r="B49">
            <v>12</v>
          </cell>
          <cell r="C49" t="str">
            <v>LING T.CALABRESA GOURMET SEARA 6X2,5KG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719.8</v>
          </cell>
          <cell r="K49">
            <v>0.01</v>
          </cell>
          <cell r="L49">
            <v>0</v>
          </cell>
          <cell r="M49">
            <v>0</v>
          </cell>
          <cell r="N49">
            <v>0</v>
          </cell>
          <cell r="O49">
            <v>3</v>
          </cell>
          <cell r="P49">
            <v>0.04</v>
          </cell>
          <cell r="Q49">
            <v>0</v>
          </cell>
          <cell r="R49">
            <v>30</v>
          </cell>
          <cell r="S49">
            <v>0</v>
          </cell>
          <cell r="T49">
            <v>0</v>
          </cell>
        </row>
        <row r="50">
          <cell r="A50">
            <v>823</v>
          </cell>
          <cell r="B50">
            <v>48</v>
          </cell>
          <cell r="C50" t="str">
            <v>LING DEF.FINA SEARA CX\6X2,5KG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2342.34</v>
          </cell>
          <cell r="K50">
            <v>0.03</v>
          </cell>
          <cell r="L50">
            <v>0</v>
          </cell>
          <cell r="M50">
            <v>0</v>
          </cell>
          <cell r="N50">
            <v>0</v>
          </cell>
          <cell r="O50">
            <v>27</v>
          </cell>
          <cell r="P50">
            <v>0.36</v>
          </cell>
          <cell r="Q50">
            <v>0</v>
          </cell>
          <cell r="R50">
            <v>120</v>
          </cell>
          <cell r="S50">
            <v>0</v>
          </cell>
          <cell r="T50">
            <v>0</v>
          </cell>
        </row>
        <row r="51">
          <cell r="A51">
            <v>812</v>
          </cell>
          <cell r="B51">
            <v>25</v>
          </cell>
          <cell r="C51" t="str">
            <v>IOGURTE BANDEJA YOGUEDES CX\12</v>
          </cell>
          <cell r="D51">
            <v>1239.9000000000001</v>
          </cell>
          <cell r="E51">
            <v>0.03</v>
          </cell>
          <cell r="F51">
            <v>40</v>
          </cell>
          <cell r="G51">
            <v>0</v>
          </cell>
          <cell r="H51">
            <v>0</v>
          </cell>
          <cell r="I51">
            <v>0</v>
          </cell>
          <cell r="J51">
            <v>934.04</v>
          </cell>
          <cell r="K51">
            <v>0.01</v>
          </cell>
          <cell r="L51">
            <v>0</v>
          </cell>
          <cell r="M51">
            <v>0</v>
          </cell>
          <cell r="N51">
            <v>0</v>
          </cell>
          <cell r="O51">
            <v>19</v>
          </cell>
          <cell r="P51">
            <v>0.26</v>
          </cell>
          <cell r="Q51">
            <v>216</v>
          </cell>
          <cell r="R51">
            <v>135</v>
          </cell>
          <cell r="S51">
            <v>0</v>
          </cell>
          <cell r="T51">
            <v>0</v>
          </cell>
        </row>
        <row r="52">
          <cell r="A52">
            <v>811</v>
          </cell>
          <cell r="B52">
            <v>3</v>
          </cell>
          <cell r="C52" t="str">
            <v>HAMBURGUER TEXAS BURGER CX/12X672GR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547.6</v>
          </cell>
          <cell r="K52">
            <v>0.01</v>
          </cell>
          <cell r="L52">
            <v>0</v>
          </cell>
          <cell r="M52">
            <v>0</v>
          </cell>
          <cell r="N52">
            <v>0</v>
          </cell>
          <cell r="O52">
            <v>2</v>
          </cell>
          <cell r="P52">
            <v>0.03</v>
          </cell>
          <cell r="Q52">
            <v>0</v>
          </cell>
          <cell r="R52">
            <v>24.12</v>
          </cell>
          <cell r="S52">
            <v>0</v>
          </cell>
          <cell r="T52">
            <v>0</v>
          </cell>
        </row>
        <row r="53">
          <cell r="A53">
            <v>808</v>
          </cell>
          <cell r="B53">
            <v>37</v>
          </cell>
          <cell r="C53" t="str">
            <v>FRANGO PASSARINHO PADARIA  IQF TEMP .SEARA 12X1KG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5778.58</v>
          </cell>
          <cell r="K53">
            <v>0.08</v>
          </cell>
          <cell r="L53">
            <v>0</v>
          </cell>
          <cell r="M53">
            <v>0</v>
          </cell>
          <cell r="N53">
            <v>0</v>
          </cell>
          <cell r="O53">
            <v>30</v>
          </cell>
          <cell r="P53">
            <v>0.4</v>
          </cell>
          <cell r="Q53">
            <v>0</v>
          </cell>
          <cell r="R53">
            <v>444</v>
          </cell>
          <cell r="S53">
            <v>0</v>
          </cell>
          <cell r="T53">
            <v>0</v>
          </cell>
        </row>
        <row r="54">
          <cell r="A54">
            <v>805</v>
          </cell>
          <cell r="B54">
            <v>197</v>
          </cell>
          <cell r="C54" t="str">
            <v>FILE PEITO ENVELOPADO FRANCAP CX\20KG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56177.760000000002</v>
          </cell>
          <cell r="K54">
            <v>0.74</v>
          </cell>
          <cell r="L54">
            <v>283.86</v>
          </cell>
          <cell r="M54">
            <v>0.86</v>
          </cell>
          <cell r="N54">
            <v>1</v>
          </cell>
          <cell r="O54">
            <v>120</v>
          </cell>
          <cell r="P54">
            <v>1.62</v>
          </cell>
          <cell r="Q54">
            <v>0</v>
          </cell>
          <cell r="R54">
            <v>3940</v>
          </cell>
          <cell r="S54">
            <v>0</v>
          </cell>
          <cell r="T54">
            <v>20</v>
          </cell>
        </row>
        <row r="55">
          <cell r="A55">
            <v>803</v>
          </cell>
          <cell r="B55">
            <v>155</v>
          </cell>
          <cell r="C55" t="str">
            <v>FILE PEITO BANDEJA SEARA CX12X1KG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31995.599999999999</v>
          </cell>
          <cell r="K55">
            <v>0.42</v>
          </cell>
          <cell r="L55">
            <v>210</v>
          </cell>
          <cell r="M55">
            <v>0.64</v>
          </cell>
          <cell r="N55">
            <v>1</v>
          </cell>
          <cell r="O55">
            <v>114</v>
          </cell>
          <cell r="P55">
            <v>1.53</v>
          </cell>
          <cell r="Q55">
            <v>0</v>
          </cell>
          <cell r="R55">
            <v>1860</v>
          </cell>
          <cell r="S55">
            <v>0</v>
          </cell>
          <cell r="T55">
            <v>12</v>
          </cell>
        </row>
        <row r="56">
          <cell r="A56">
            <v>798</v>
          </cell>
          <cell r="B56">
            <v>24</v>
          </cell>
          <cell r="C56" t="str">
            <v>DOCE DE LEITE TRIANGULO MINEIRO 12X300G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1387.74</v>
          </cell>
          <cell r="K56">
            <v>0.02</v>
          </cell>
          <cell r="L56">
            <v>0</v>
          </cell>
          <cell r="M56">
            <v>0</v>
          </cell>
          <cell r="N56">
            <v>0</v>
          </cell>
          <cell r="O56">
            <v>23</v>
          </cell>
          <cell r="P56">
            <v>0.31</v>
          </cell>
          <cell r="Q56">
            <v>0</v>
          </cell>
          <cell r="R56">
            <v>86.4</v>
          </cell>
          <cell r="S56">
            <v>0</v>
          </cell>
          <cell r="T56">
            <v>0</v>
          </cell>
        </row>
        <row r="57">
          <cell r="A57">
            <v>791</v>
          </cell>
          <cell r="B57">
            <v>19</v>
          </cell>
          <cell r="C57" t="str">
            <v>COXA IQF SEARA CX\12KG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2606.8000000000002</v>
          </cell>
          <cell r="K57">
            <v>0.03</v>
          </cell>
          <cell r="L57">
            <v>0</v>
          </cell>
          <cell r="M57">
            <v>0</v>
          </cell>
          <cell r="N57">
            <v>0</v>
          </cell>
          <cell r="O57">
            <v>17</v>
          </cell>
          <cell r="P57">
            <v>0.23</v>
          </cell>
          <cell r="Q57">
            <v>0</v>
          </cell>
          <cell r="R57">
            <v>228</v>
          </cell>
          <cell r="S57">
            <v>0</v>
          </cell>
          <cell r="T57">
            <v>0</v>
          </cell>
        </row>
        <row r="58">
          <cell r="A58">
            <v>783</v>
          </cell>
          <cell r="B58">
            <v>3</v>
          </cell>
          <cell r="C58" t="str">
            <v>BATATA P.FRITA SEARA CX\5X2KG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483</v>
          </cell>
          <cell r="K58">
            <v>0.01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>
            <v>0.03</v>
          </cell>
          <cell r="Q58">
            <v>0</v>
          </cell>
          <cell r="R58">
            <v>30</v>
          </cell>
          <cell r="S58">
            <v>0</v>
          </cell>
          <cell r="T58">
            <v>0</v>
          </cell>
        </row>
        <row r="59">
          <cell r="A59">
            <v>775</v>
          </cell>
          <cell r="B59">
            <v>4</v>
          </cell>
          <cell r="C59" t="str">
            <v>APRESUNTADO AURORA 3,7 KG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306.16000000000003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3</v>
          </cell>
          <cell r="P59">
            <v>0.04</v>
          </cell>
          <cell r="Q59">
            <v>0</v>
          </cell>
          <cell r="R59">
            <v>14.8</v>
          </cell>
          <cell r="S59">
            <v>0</v>
          </cell>
          <cell r="T59">
            <v>0</v>
          </cell>
        </row>
        <row r="60">
          <cell r="A60">
            <v>771</v>
          </cell>
          <cell r="B60">
            <v>33</v>
          </cell>
          <cell r="C60" t="str">
            <v>LEITE UHT ZERO LACTOSE PIRACANJUBA CX\12</v>
          </cell>
          <cell r="D60">
            <v>11424</v>
          </cell>
          <cell r="E60">
            <v>0.27</v>
          </cell>
          <cell r="F60">
            <v>170</v>
          </cell>
          <cell r="G60">
            <v>0</v>
          </cell>
          <cell r="H60">
            <v>0</v>
          </cell>
          <cell r="I60">
            <v>0</v>
          </cell>
          <cell r="J60">
            <v>2572.62</v>
          </cell>
          <cell r="K60">
            <v>0.03</v>
          </cell>
          <cell r="L60">
            <v>0</v>
          </cell>
          <cell r="M60">
            <v>0</v>
          </cell>
          <cell r="N60">
            <v>0</v>
          </cell>
          <cell r="O60">
            <v>24</v>
          </cell>
          <cell r="P60">
            <v>0.32</v>
          </cell>
          <cell r="Q60">
            <v>2040</v>
          </cell>
          <cell r="R60">
            <v>396</v>
          </cell>
          <cell r="S60">
            <v>0</v>
          </cell>
          <cell r="T60">
            <v>0</v>
          </cell>
        </row>
        <row r="61">
          <cell r="A61">
            <v>770</v>
          </cell>
          <cell r="B61">
            <v>21</v>
          </cell>
          <cell r="C61" t="str">
            <v>LEITE EM PO INTEGRAL PIRACANJUBA FD/25X400G</v>
          </cell>
          <cell r="D61">
            <v>17842.12</v>
          </cell>
          <cell r="E61">
            <v>0.42</v>
          </cell>
          <cell r="F61">
            <v>50</v>
          </cell>
          <cell r="G61">
            <v>0</v>
          </cell>
          <cell r="H61">
            <v>0</v>
          </cell>
          <cell r="I61">
            <v>0</v>
          </cell>
          <cell r="J61">
            <v>9134.68</v>
          </cell>
          <cell r="K61">
            <v>0.12</v>
          </cell>
          <cell r="L61">
            <v>0</v>
          </cell>
          <cell r="M61">
            <v>0</v>
          </cell>
          <cell r="N61">
            <v>0</v>
          </cell>
          <cell r="O61">
            <v>18</v>
          </cell>
          <cell r="P61">
            <v>0.24</v>
          </cell>
          <cell r="Q61">
            <v>500</v>
          </cell>
          <cell r="R61">
            <v>210</v>
          </cell>
          <cell r="S61">
            <v>0</v>
          </cell>
          <cell r="T61">
            <v>0</v>
          </cell>
        </row>
        <row r="62">
          <cell r="A62">
            <v>768</v>
          </cell>
          <cell r="B62">
            <v>4</v>
          </cell>
          <cell r="C62" t="str">
            <v>HAMBURGUER INCRIVEL LUVA SEARA CX\12X226</v>
          </cell>
          <cell r="D62">
            <v>275.77</v>
          </cell>
          <cell r="E62">
            <v>0.01</v>
          </cell>
          <cell r="F62">
            <v>2</v>
          </cell>
          <cell r="G62">
            <v>0</v>
          </cell>
          <cell r="H62">
            <v>0</v>
          </cell>
          <cell r="I62">
            <v>0</v>
          </cell>
          <cell r="J62">
            <v>689.92</v>
          </cell>
          <cell r="K62">
            <v>0.01</v>
          </cell>
          <cell r="L62">
            <v>0</v>
          </cell>
          <cell r="M62">
            <v>0</v>
          </cell>
          <cell r="N62">
            <v>0</v>
          </cell>
          <cell r="O62">
            <v>4</v>
          </cell>
          <cell r="P62">
            <v>0.05</v>
          </cell>
          <cell r="Q62">
            <v>5.42</v>
          </cell>
          <cell r="R62">
            <v>10.85</v>
          </cell>
          <cell r="S62">
            <v>0</v>
          </cell>
          <cell r="T62">
            <v>0</v>
          </cell>
        </row>
        <row r="63">
          <cell r="A63">
            <v>765</v>
          </cell>
          <cell r="B63">
            <v>171</v>
          </cell>
          <cell r="C63" t="str">
            <v>VITAMINA FRUTAS CEMIL CX\27X200ML</v>
          </cell>
          <cell r="D63">
            <v>4139.1899999999996</v>
          </cell>
          <cell r="E63">
            <v>0.1</v>
          </cell>
          <cell r="F63">
            <v>165</v>
          </cell>
          <cell r="G63">
            <v>0</v>
          </cell>
          <cell r="H63">
            <v>0</v>
          </cell>
          <cell r="I63">
            <v>0</v>
          </cell>
          <cell r="J63">
            <v>5116.67</v>
          </cell>
          <cell r="K63">
            <v>7.0000000000000007E-2</v>
          </cell>
          <cell r="L63">
            <v>0</v>
          </cell>
          <cell r="M63">
            <v>0</v>
          </cell>
          <cell r="N63">
            <v>0</v>
          </cell>
          <cell r="O63">
            <v>92</v>
          </cell>
          <cell r="P63">
            <v>1.24</v>
          </cell>
          <cell r="Q63">
            <v>891</v>
          </cell>
          <cell r="R63">
            <v>923.4</v>
          </cell>
          <cell r="S63">
            <v>0</v>
          </cell>
          <cell r="T63">
            <v>0</v>
          </cell>
        </row>
        <row r="64">
          <cell r="A64">
            <v>759</v>
          </cell>
          <cell r="B64">
            <v>13</v>
          </cell>
          <cell r="C64" t="str">
            <v>UVA PASSA S/SEMENTE POTE TOZZI 12X180GR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782.73</v>
          </cell>
          <cell r="K64">
            <v>0.01</v>
          </cell>
          <cell r="L64">
            <v>59.93</v>
          </cell>
          <cell r="M64">
            <v>0.18</v>
          </cell>
          <cell r="N64">
            <v>1</v>
          </cell>
          <cell r="O64">
            <v>11</v>
          </cell>
          <cell r="P64">
            <v>0.15</v>
          </cell>
          <cell r="Q64">
            <v>0</v>
          </cell>
          <cell r="R64">
            <v>28.08</v>
          </cell>
          <cell r="S64">
            <v>0</v>
          </cell>
          <cell r="T64">
            <v>2.16</v>
          </cell>
        </row>
        <row r="65">
          <cell r="A65">
            <v>757</v>
          </cell>
          <cell r="B65">
            <v>14</v>
          </cell>
          <cell r="C65" t="str">
            <v>TORRESMO UAI DAS GERAIS FD\5X200G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932.96</v>
          </cell>
          <cell r="K65">
            <v>0.01</v>
          </cell>
          <cell r="L65">
            <v>0</v>
          </cell>
          <cell r="M65">
            <v>0</v>
          </cell>
          <cell r="N65">
            <v>0</v>
          </cell>
          <cell r="O65">
            <v>9</v>
          </cell>
          <cell r="P65">
            <v>0.12</v>
          </cell>
          <cell r="Q65">
            <v>0</v>
          </cell>
          <cell r="R65">
            <v>14</v>
          </cell>
          <cell r="S65">
            <v>0</v>
          </cell>
          <cell r="T65">
            <v>0</v>
          </cell>
        </row>
        <row r="66">
          <cell r="A66">
            <v>756</v>
          </cell>
          <cell r="B66">
            <v>5</v>
          </cell>
          <cell r="C66" t="str">
            <v>TORRESMO UAI DAS GERAIS CX\20X60GR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279.14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3</v>
          </cell>
          <cell r="P66">
            <v>0.04</v>
          </cell>
          <cell r="Q66">
            <v>0</v>
          </cell>
          <cell r="R66">
            <v>6</v>
          </cell>
          <cell r="S66">
            <v>0</v>
          </cell>
          <cell r="T66">
            <v>0</v>
          </cell>
        </row>
        <row r="67">
          <cell r="A67">
            <v>754</v>
          </cell>
          <cell r="B67">
            <v>39</v>
          </cell>
          <cell r="C67" t="str">
            <v>TIRINHAS DE FRANGO AURORA CX\16X275GR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3445.2</v>
          </cell>
          <cell r="K67">
            <v>0.05</v>
          </cell>
          <cell r="L67">
            <v>0</v>
          </cell>
          <cell r="M67">
            <v>0</v>
          </cell>
          <cell r="N67">
            <v>0</v>
          </cell>
          <cell r="O67">
            <v>37</v>
          </cell>
          <cell r="P67">
            <v>0.5</v>
          </cell>
          <cell r="Q67">
            <v>0</v>
          </cell>
          <cell r="R67">
            <v>171.6</v>
          </cell>
          <cell r="S67">
            <v>0</v>
          </cell>
          <cell r="T67">
            <v>0</v>
          </cell>
        </row>
        <row r="68">
          <cell r="A68">
            <v>753</v>
          </cell>
          <cell r="B68">
            <v>4</v>
          </cell>
          <cell r="C68" t="str">
            <v>TEKITOS SEARA QUEIJO/OREGANO CX\16X300GR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450.8</v>
          </cell>
          <cell r="K68">
            <v>0.01</v>
          </cell>
          <cell r="L68">
            <v>0</v>
          </cell>
          <cell r="M68">
            <v>0</v>
          </cell>
          <cell r="N68">
            <v>0</v>
          </cell>
          <cell r="O68">
            <v>3</v>
          </cell>
          <cell r="P68">
            <v>0.04</v>
          </cell>
          <cell r="Q68">
            <v>0</v>
          </cell>
          <cell r="R68">
            <v>19.2</v>
          </cell>
          <cell r="S68">
            <v>0</v>
          </cell>
          <cell r="T68">
            <v>0</v>
          </cell>
        </row>
        <row r="69">
          <cell r="A69">
            <v>752</v>
          </cell>
          <cell r="B69">
            <v>21</v>
          </cell>
          <cell r="C69" t="str">
            <v>TEKITOS SEARA QUEIJO/OREGANO CX/5X1KG</v>
          </cell>
          <cell r="D69">
            <v>1377</v>
          </cell>
          <cell r="E69">
            <v>0.03</v>
          </cell>
          <cell r="F69">
            <v>20</v>
          </cell>
          <cell r="G69">
            <v>0</v>
          </cell>
          <cell r="H69">
            <v>0</v>
          </cell>
          <cell r="I69">
            <v>0</v>
          </cell>
          <cell r="J69">
            <v>1754.48</v>
          </cell>
          <cell r="K69">
            <v>0.02</v>
          </cell>
          <cell r="L69">
            <v>0</v>
          </cell>
          <cell r="M69">
            <v>0</v>
          </cell>
          <cell r="N69">
            <v>0</v>
          </cell>
          <cell r="O69">
            <v>16</v>
          </cell>
          <cell r="P69">
            <v>0.22</v>
          </cell>
          <cell r="Q69">
            <v>100</v>
          </cell>
          <cell r="R69">
            <v>105</v>
          </cell>
          <cell r="S69">
            <v>0</v>
          </cell>
          <cell r="T69">
            <v>0</v>
          </cell>
        </row>
        <row r="70">
          <cell r="A70">
            <v>751</v>
          </cell>
          <cell r="B70">
            <v>17</v>
          </cell>
          <cell r="C70" t="str">
            <v>TEKITOS SEARA CX\2X2,5KG</v>
          </cell>
          <cell r="D70">
            <v>1962</v>
          </cell>
          <cell r="E70">
            <v>0.05</v>
          </cell>
          <cell r="F70">
            <v>30</v>
          </cell>
          <cell r="G70">
            <v>0</v>
          </cell>
          <cell r="H70">
            <v>0</v>
          </cell>
          <cell r="I70">
            <v>0</v>
          </cell>
          <cell r="J70">
            <v>1318.8</v>
          </cell>
          <cell r="K70">
            <v>0.02</v>
          </cell>
          <cell r="L70">
            <v>0</v>
          </cell>
          <cell r="M70">
            <v>0</v>
          </cell>
          <cell r="N70">
            <v>0</v>
          </cell>
          <cell r="O70">
            <v>17</v>
          </cell>
          <cell r="P70">
            <v>0.23</v>
          </cell>
          <cell r="Q70">
            <v>150</v>
          </cell>
          <cell r="R70">
            <v>85</v>
          </cell>
          <cell r="S70">
            <v>0</v>
          </cell>
          <cell r="T70">
            <v>0</v>
          </cell>
        </row>
        <row r="71">
          <cell r="A71">
            <v>750</v>
          </cell>
          <cell r="B71">
            <v>20</v>
          </cell>
          <cell r="C71" t="str">
            <v>TEKITOS BIG QUEIJO SEARA CX\5X900GR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1826.52</v>
          </cell>
          <cell r="K71">
            <v>0.02</v>
          </cell>
          <cell r="L71">
            <v>0</v>
          </cell>
          <cell r="M71">
            <v>0</v>
          </cell>
          <cell r="N71">
            <v>0</v>
          </cell>
          <cell r="O71">
            <v>12</v>
          </cell>
          <cell r="P71">
            <v>0.16</v>
          </cell>
          <cell r="Q71">
            <v>0</v>
          </cell>
          <cell r="R71">
            <v>90</v>
          </cell>
          <cell r="S71">
            <v>0</v>
          </cell>
          <cell r="T71">
            <v>0</v>
          </cell>
        </row>
        <row r="72">
          <cell r="A72">
            <v>75</v>
          </cell>
          <cell r="B72">
            <v>513.24</v>
          </cell>
          <cell r="C72" t="str">
            <v>COSTELA BOVINA TIRAS FRIGOMATOSO KG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10259.57</v>
          </cell>
          <cell r="K72">
            <v>0.13</v>
          </cell>
          <cell r="L72">
            <v>0</v>
          </cell>
          <cell r="M72">
            <v>0</v>
          </cell>
          <cell r="N72">
            <v>0</v>
          </cell>
          <cell r="O72">
            <v>18</v>
          </cell>
          <cell r="P72">
            <v>0.24</v>
          </cell>
          <cell r="Q72">
            <v>0</v>
          </cell>
          <cell r="R72">
            <v>513.24</v>
          </cell>
          <cell r="S72">
            <v>0</v>
          </cell>
          <cell r="T72">
            <v>0</v>
          </cell>
        </row>
        <row r="73">
          <cell r="A73">
            <v>748</v>
          </cell>
          <cell r="B73">
            <v>12</v>
          </cell>
          <cell r="C73" t="str">
            <v>SUCO UVA 100% TIAL CX/12X1LT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1253.3699999999999</v>
          </cell>
          <cell r="K73">
            <v>0.02</v>
          </cell>
          <cell r="L73">
            <v>0</v>
          </cell>
          <cell r="M73">
            <v>0</v>
          </cell>
          <cell r="N73">
            <v>0</v>
          </cell>
          <cell r="O73">
            <v>11</v>
          </cell>
          <cell r="P73">
            <v>0.15</v>
          </cell>
          <cell r="Q73">
            <v>0</v>
          </cell>
          <cell r="R73">
            <v>144</v>
          </cell>
          <cell r="S73">
            <v>0</v>
          </cell>
          <cell r="T73">
            <v>0</v>
          </cell>
        </row>
        <row r="74">
          <cell r="A74">
            <v>747</v>
          </cell>
          <cell r="B74">
            <v>117</v>
          </cell>
          <cell r="C74" t="str">
            <v>SUCO NECTAR UVA TIAL CX\24X200ML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4484.22</v>
          </cell>
          <cell r="K74">
            <v>0.06</v>
          </cell>
          <cell r="L74">
            <v>0</v>
          </cell>
          <cell r="M74">
            <v>0</v>
          </cell>
          <cell r="N74">
            <v>0</v>
          </cell>
          <cell r="O74">
            <v>56</v>
          </cell>
          <cell r="P74">
            <v>0.75</v>
          </cell>
          <cell r="Q74">
            <v>0</v>
          </cell>
          <cell r="R74">
            <v>561.6</v>
          </cell>
          <cell r="S74">
            <v>0</v>
          </cell>
          <cell r="T74">
            <v>0</v>
          </cell>
        </row>
        <row r="75">
          <cell r="A75">
            <v>746</v>
          </cell>
          <cell r="B75">
            <v>63</v>
          </cell>
          <cell r="C75" t="str">
            <v>SUCO NECTAR UVA TIAL CX/12X1LT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4315.88</v>
          </cell>
          <cell r="K75">
            <v>0.06</v>
          </cell>
          <cell r="L75">
            <v>0</v>
          </cell>
          <cell r="M75">
            <v>0</v>
          </cell>
          <cell r="N75">
            <v>0</v>
          </cell>
          <cell r="O75">
            <v>42</v>
          </cell>
          <cell r="P75">
            <v>0.56999999999999995</v>
          </cell>
          <cell r="Q75">
            <v>0</v>
          </cell>
          <cell r="R75">
            <v>756</v>
          </cell>
          <cell r="S75">
            <v>0</v>
          </cell>
          <cell r="T75">
            <v>0</v>
          </cell>
        </row>
        <row r="76">
          <cell r="A76">
            <v>745</v>
          </cell>
          <cell r="B76">
            <v>11</v>
          </cell>
          <cell r="C76" t="str">
            <v>SUCO NECTAR PESSEGO TIAL CX\24X200ML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422.76</v>
          </cell>
          <cell r="K76">
            <v>0.01</v>
          </cell>
          <cell r="L76">
            <v>0</v>
          </cell>
          <cell r="M76">
            <v>0</v>
          </cell>
          <cell r="N76">
            <v>0</v>
          </cell>
          <cell r="O76">
            <v>9</v>
          </cell>
          <cell r="P76">
            <v>0.12</v>
          </cell>
          <cell r="Q76">
            <v>0</v>
          </cell>
          <cell r="R76">
            <v>52.8</v>
          </cell>
          <cell r="S76">
            <v>0</v>
          </cell>
          <cell r="T76">
            <v>0</v>
          </cell>
        </row>
        <row r="77">
          <cell r="A77">
            <v>744</v>
          </cell>
          <cell r="B77">
            <v>11</v>
          </cell>
          <cell r="C77" t="str">
            <v>SUCO NECTAR PESSEGO TIAL CX/12X1LT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755.56</v>
          </cell>
          <cell r="K77">
            <v>0.01</v>
          </cell>
          <cell r="L77">
            <v>0</v>
          </cell>
          <cell r="M77">
            <v>0</v>
          </cell>
          <cell r="N77">
            <v>0</v>
          </cell>
          <cell r="O77">
            <v>10</v>
          </cell>
          <cell r="P77">
            <v>0.13</v>
          </cell>
          <cell r="Q77">
            <v>0</v>
          </cell>
          <cell r="R77">
            <v>132</v>
          </cell>
          <cell r="S77">
            <v>0</v>
          </cell>
          <cell r="T77">
            <v>0</v>
          </cell>
        </row>
        <row r="78">
          <cell r="A78">
            <v>743</v>
          </cell>
          <cell r="B78">
            <v>17</v>
          </cell>
          <cell r="C78" t="str">
            <v>SUCO NECTAR MARACUJA TIAL CX/24X200ML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653.64</v>
          </cell>
          <cell r="K78">
            <v>0.01</v>
          </cell>
          <cell r="L78">
            <v>0</v>
          </cell>
          <cell r="M78">
            <v>0</v>
          </cell>
          <cell r="N78">
            <v>0</v>
          </cell>
          <cell r="O78">
            <v>15</v>
          </cell>
          <cell r="P78">
            <v>0.2</v>
          </cell>
          <cell r="Q78">
            <v>0</v>
          </cell>
          <cell r="R78">
            <v>81.599999999999994</v>
          </cell>
          <cell r="S78">
            <v>0</v>
          </cell>
          <cell r="T78">
            <v>0</v>
          </cell>
        </row>
        <row r="79">
          <cell r="A79">
            <v>742</v>
          </cell>
          <cell r="B79">
            <v>15</v>
          </cell>
          <cell r="C79" t="str">
            <v>SUCO NECTAR MARACUJA TIAL CX 12X1LT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1028.78</v>
          </cell>
          <cell r="K79">
            <v>0.01</v>
          </cell>
          <cell r="L79">
            <v>0</v>
          </cell>
          <cell r="M79">
            <v>0</v>
          </cell>
          <cell r="N79">
            <v>0</v>
          </cell>
          <cell r="O79">
            <v>13</v>
          </cell>
          <cell r="P79">
            <v>0.18</v>
          </cell>
          <cell r="Q79">
            <v>0</v>
          </cell>
          <cell r="R79">
            <v>180</v>
          </cell>
          <cell r="S79">
            <v>0</v>
          </cell>
          <cell r="T79">
            <v>0</v>
          </cell>
        </row>
        <row r="80">
          <cell r="A80">
            <v>741</v>
          </cell>
          <cell r="B80">
            <v>20</v>
          </cell>
          <cell r="C80" t="str">
            <v>SUCO NECTAR MANGA TIAL CX/24X200ML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770.64</v>
          </cell>
          <cell r="K80">
            <v>0.01</v>
          </cell>
          <cell r="L80">
            <v>0</v>
          </cell>
          <cell r="M80">
            <v>0</v>
          </cell>
          <cell r="N80">
            <v>0</v>
          </cell>
          <cell r="O80">
            <v>18</v>
          </cell>
          <cell r="P80">
            <v>0.24</v>
          </cell>
          <cell r="Q80">
            <v>0</v>
          </cell>
          <cell r="R80">
            <v>96</v>
          </cell>
          <cell r="S80">
            <v>0</v>
          </cell>
          <cell r="T80">
            <v>0</v>
          </cell>
        </row>
        <row r="81">
          <cell r="A81">
            <v>740</v>
          </cell>
          <cell r="B81">
            <v>19</v>
          </cell>
          <cell r="C81" t="str">
            <v>SUCO NECTAR MANGA TIAL  CX/12X1LT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1302.04</v>
          </cell>
          <cell r="K81">
            <v>0.02</v>
          </cell>
          <cell r="L81">
            <v>0</v>
          </cell>
          <cell r="M81">
            <v>0</v>
          </cell>
          <cell r="N81">
            <v>0</v>
          </cell>
          <cell r="O81">
            <v>15</v>
          </cell>
          <cell r="P81">
            <v>0.2</v>
          </cell>
          <cell r="Q81">
            <v>0</v>
          </cell>
          <cell r="R81">
            <v>228</v>
          </cell>
          <cell r="S81">
            <v>0</v>
          </cell>
          <cell r="T81">
            <v>0</v>
          </cell>
        </row>
        <row r="82">
          <cell r="A82">
            <v>739</v>
          </cell>
          <cell r="B82">
            <v>22</v>
          </cell>
          <cell r="C82" t="str">
            <v>SUCO NECTAR LARANJA TIAL CX\24X200ML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844.74</v>
          </cell>
          <cell r="K82">
            <v>0.01</v>
          </cell>
          <cell r="L82">
            <v>0</v>
          </cell>
          <cell r="M82">
            <v>0</v>
          </cell>
          <cell r="N82">
            <v>0</v>
          </cell>
          <cell r="O82">
            <v>20</v>
          </cell>
          <cell r="P82">
            <v>0.27</v>
          </cell>
          <cell r="Q82">
            <v>0</v>
          </cell>
          <cell r="R82">
            <v>105.6</v>
          </cell>
          <cell r="S82">
            <v>0</v>
          </cell>
          <cell r="T82">
            <v>0</v>
          </cell>
        </row>
        <row r="83">
          <cell r="A83">
            <v>738</v>
          </cell>
          <cell r="B83">
            <v>77</v>
          </cell>
          <cell r="C83" t="str">
            <v>SUCO NECTAR GOIABA TIAL CX/24X200ML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2878.2</v>
          </cell>
          <cell r="K83">
            <v>0.04</v>
          </cell>
          <cell r="L83">
            <v>38.22</v>
          </cell>
          <cell r="M83">
            <v>0.12</v>
          </cell>
          <cell r="N83">
            <v>1</v>
          </cell>
          <cell r="O83">
            <v>38</v>
          </cell>
          <cell r="P83">
            <v>0.51</v>
          </cell>
          <cell r="Q83">
            <v>0</v>
          </cell>
          <cell r="R83">
            <v>369.6</v>
          </cell>
          <cell r="S83">
            <v>0</v>
          </cell>
          <cell r="T83">
            <v>4.8</v>
          </cell>
        </row>
        <row r="84">
          <cell r="A84">
            <v>737</v>
          </cell>
          <cell r="B84">
            <v>38</v>
          </cell>
          <cell r="C84" t="str">
            <v>SUCO NECTAR GOIABA TIAL CX/12X1LT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2604.06</v>
          </cell>
          <cell r="K84">
            <v>0.03</v>
          </cell>
          <cell r="L84">
            <v>0</v>
          </cell>
          <cell r="M84">
            <v>0</v>
          </cell>
          <cell r="N84">
            <v>0</v>
          </cell>
          <cell r="O84">
            <v>32</v>
          </cell>
          <cell r="P84">
            <v>0.43</v>
          </cell>
          <cell r="Q84">
            <v>0</v>
          </cell>
          <cell r="R84">
            <v>456</v>
          </cell>
          <cell r="S84">
            <v>0</v>
          </cell>
          <cell r="T84">
            <v>0</v>
          </cell>
        </row>
        <row r="85">
          <cell r="A85">
            <v>735</v>
          </cell>
          <cell r="B85">
            <v>11</v>
          </cell>
          <cell r="C85" t="str">
            <v>STEAK RECHEADO LEVISSIMO\QUEIJO SEARA CX\25X110GR</v>
          </cell>
          <cell r="D85">
            <v>1513.6</v>
          </cell>
          <cell r="E85">
            <v>0.04</v>
          </cell>
          <cell r="F85">
            <v>20</v>
          </cell>
          <cell r="G85">
            <v>0</v>
          </cell>
          <cell r="H85">
            <v>0</v>
          </cell>
          <cell r="I85">
            <v>0</v>
          </cell>
          <cell r="J85">
            <v>996.15</v>
          </cell>
          <cell r="K85">
            <v>0.01</v>
          </cell>
          <cell r="L85">
            <v>0</v>
          </cell>
          <cell r="M85">
            <v>0</v>
          </cell>
          <cell r="N85">
            <v>0</v>
          </cell>
          <cell r="O85">
            <v>10</v>
          </cell>
          <cell r="P85">
            <v>0.13</v>
          </cell>
          <cell r="Q85">
            <v>55</v>
          </cell>
          <cell r="R85">
            <v>30.25</v>
          </cell>
          <cell r="S85">
            <v>0</v>
          </cell>
          <cell r="T85">
            <v>0</v>
          </cell>
        </row>
        <row r="86">
          <cell r="A86">
            <v>734</v>
          </cell>
          <cell r="B86">
            <v>9</v>
          </cell>
          <cell r="C86" t="str">
            <v>STEAK SABOR QUEIJO SEARA CX\72X100GR</v>
          </cell>
          <cell r="D86">
            <v>1009.44</v>
          </cell>
          <cell r="E86">
            <v>0.02</v>
          </cell>
          <cell r="F86">
            <v>10</v>
          </cell>
          <cell r="G86">
            <v>0</v>
          </cell>
          <cell r="H86">
            <v>0</v>
          </cell>
          <cell r="I86">
            <v>0</v>
          </cell>
          <cell r="J86">
            <v>1087.47</v>
          </cell>
          <cell r="K86">
            <v>0.01</v>
          </cell>
          <cell r="L86">
            <v>0</v>
          </cell>
          <cell r="M86">
            <v>0</v>
          </cell>
          <cell r="N86">
            <v>0</v>
          </cell>
          <cell r="O86">
            <v>9</v>
          </cell>
          <cell r="P86">
            <v>0.12</v>
          </cell>
          <cell r="Q86">
            <v>72</v>
          </cell>
          <cell r="R86">
            <v>64.8</v>
          </cell>
          <cell r="S86">
            <v>0</v>
          </cell>
          <cell r="T86">
            <v>0</v>
          </cell>
        </row>
        <row r="87">
          <cell r="A87">
            <v>733</v>
          </cell>
          <cell r="B87">
            <v>51</v>
          </cell>
          <cell r="C87" t="str">
            <v>STEAK TRADICIONAL REZENDE CX\72X100GR</v>
          </cell>
          <cell r="D87">
            <v>908.64</v>
          </cell>
          <cell r="E87">
            <v>0.02</v>
          </cell>
          <cell r="F87">
            <v>10</v>
          </cell>
          <cell r="G87">
            <v>0</v>
          </cell>
          <cell r="H87">
            <v>0</v>
          </cell>
          <cell r="I87">
            <v>0</v>
          </cell>
          <cell r="J87">
            <v>3633.71</v>
          </cell>
          <cell r="K87">
            <v>0.05</v>
          </cell>
          <cell r="L87">
            <v>0</v>
          </cell>
          <cell r="M87">
            <v>0</v>
          </cell>
          <cell r="N87">
            <v>0</v>
          </cell>
          <cell r="O87">
            <v>43</v>
          </cell>
          <cell r="P87">
            <v>0.57999999999999996</v>
          </cell>
          <cell r="Q87">
            <v>72</v>
          </cell>
          <cell r="R87">
            <v>367.2</v>
          </cell>
          <cell r="S87">
            <v>0</v>
          </cell>
          <cell r="T87">
            <v>0</v>
          </cell>
        </row>
        <row r="88">
          <cell r="A88">
            <v>732</v>
          </cell>
          <cell r="B88">
            <v>6</v>
          </cell>
          <cell r="C88" t="str">
            <v>STEAK TRADICIONAL FRANGOSUL CX\72X100GR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704.4</v>
          </cell>
          <cell r="K88">
            <v>0.01</v>
          </cell>
          <cell r="L88">
            <v>0</v>
          </cell>
          <cell r="M88">
            <v>0</v>
          </cell>
          <cell r="N88">
            <v>0</v>
          </cell>
          <cell r="O88">
            <v>6</v>
          </cell>
          <cell r="P88">
            <v>0.08</v>
          </cell>
          <cell r="Q88">
            <v>0</v>
          </cell>
          <cell r="R88">
            <v>43.2</v>
          </cell>
          <cell r="S88">
            <v>0</v>
          </cell>
          <cell r="T88">
            <v>0</v>
          </cell>
        </row>
        <row r="89">
          <cell r="A89">
            <v>731</v>
          </cell>
          <cell r="B89">
            <v>63</v>
          </cell>
          <cell r="C89" t="str">
            <v>SPETTIN FRANGO PIF PAF CX\3KG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4807.92</v>
          </cell>
          <cell r="K89">
            <v>0.06</v>
          </cell>
          <cell r="L89">
            <v>0</v>
          </cell>
          <cell r="M89">
            <v>0</v>
          </cell>
          <cell r="N89">
            <v>0</v>
          </cell>
          <cell r="O89">
            <v>13</v>
          </cell>
          <cell r="P89">
            <v>0.18</v>
          </cell>
          <cell r="Q89">
            <v>0</v>
          </cell>
          <cell r="R89">
            <v>189</v>
          </cell>
          <cell r="S89">
            <v>0</v>
          </cell>
          <cell r="T89">
            <v>0</v>
          </cell>
        </row>
        <row r="90">
          <cell r="A90">
            <v>730</v>
          </cell>
          <cell r="B90">
            <v>6</v>
          </cell>
          <cell r="C90" t="str">
            <v>SOBRECOXA RIVELLI BANDEJA CX\12KG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941.28</v>
          </cell>
          <cell r="K90">
            <v>0.01</v>
          </cell>
          <cell r="L90">
            <v>159</v>
          </cell>
          <cell r="M90">
            <v>0.48</v>
          </cell>
          <cell r="N90">
            <v>1</v>
          </cell>
          <cell r="O90">
            <v>5</v>
          </cell>
          <cell r="P90">
            <v>7.0000000000000007E-2</v>
          </cell>
          <cell r="Q90">
            <v>0</v>
          </cell>
          <cell r="R90">
            <v>72</v>
          </cell>
          <cell r="S90">
            <v>0</v>
          </cell>
          <cell r="T90">
            <v>12</v>
          </cell>
        </row>
        <row r="91">
          <cell r="A91">
            <v>729</v>
          </cell>
          <cell r="B91">
            <v>22</v>
          </cell>
          <cell r="C91" t="str">
            <v>SOBRECOXA ENVELOPADA  REAL  CX/20KG</v>
          </cell>
          <cell r="D91">
            <v>51636.57</v>
          </cell>
          <cell r="E91">
            <v>1.21</v>
          </cell>
          <cell r="F91">
            <v>350</v>
          </cell>
          <cell r="G91">
            <v>0</v>
          </cell>
          <cell r="H91">
            <v>0</v>
          </cell>
          <cell r="I91">
            <v>0</v>
          </cell>
          <cell r="J91">
            <v>3915.27</v>
          </cell>
          <cell r="K91">
            <v>0.05</v>
          </cell>
          <cell r="L91">
            <v>0</v>
          </cell>
          <cell r="M91">
            <v>0</v>
          </cell>
          <cell r="N91">
            <v>0</v>
          </cell>
          <cell r="O91">
            <v>7</v>
          </cell>
          <cell r="P91">
            <v>0.09</v>
          </cell>
          <cell r="Q91">
            <v>7000</v>
          </cell>
          <cell r="R91">
            <v>440</v>
          </cell>
          <cell r="S91">
            <v>0</v>
          </cell>
          <cell r="T91">
            <v>0</v>
          </cell>
        </row>
        <row r="92">
          <cell r="A92">
            <v>728</v>
          </cell>
          <cell r="B92">
            <v>1</v>
          </cell>
          <cell r="C92" t="str">
            <v>SELETA LEGUMES SEARA NATURE 10X1,0KG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184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1</v>
          </cell>
          <cell r="P92">
            <v>0.01</v>
          </cell>
          <cell r="Q92">
            <v>0</v>
          </cell>
          <cell r="R92">
            <v>10</v>
          </cell>
          <cell r="S92">
            <v>0</v>
          </cell>
          <cell r="T92">
            <v>0</v>
          </cell>
        </row>
        <row r="93">
          <cell r="A93">
            <v>725</v>
          </cell>
          <cell r="B93">
            <v>626</v>
          </cell>
          <cell r="C93" t="str">
            <v>SALSICHA LEBON CX\4X4KG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17485.28</v>
          </cell>
          <cell r="K93">
            <v>0.23</v>
          </cell>
          <cell r="L93">
            <v>0</v>
          </cell>
          <cell r="M93">
            <v>0</v>
          </cell>
          <cell r="N93">
            <v>0</v>
          </cell>
          <cell r="O93">
            <v>96</v>
          </cell>
          <cell r="P93">
            <v>1.29</v>
          </cell>
          <cell r="Q93">
            <v>0</v>
          </cell>
          <cell r="R93">
            <v>2504</v>
          </cell>
          <cell r="S93">
            <v>0</v>
          </cell>
          <cell r="T93">
            <v>0</v>
          </cell>
        </row>
        <row r="94">
          <cell r="A94">
            <v>724</v>
          </cell>
          <cell r="B94">
            <v>39</v>
          </cell>
          <cell r="C94" t="str">
            <v>SALSICHA DEFUMADA SEARA CX\6X3KG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929.76</v>
          </cell>
          <cell r="K94">
            <v>0.01</v>
          </cell>
          <cell r="L94">
            <v>0</v>
          </cell>
          <cell r="M94">
            <v>0</v>
          </cell>
          <cell r="N94">
            <v>0</v>
          </cell>
          <cell r="O94">
            <v>10</v>
          </cell>
          <cell r="P94">
            <v>0.13</v>
          </cell>
          <cell r="Q94">
            <v>0</v>
          </cell>
          <cell r="R94">
            <v>117</v>
          </cell>
          <cell r="S94">
            <v>0</v>
          </cell>
          <cell r="T94">
            <v>0</v>
          </cell>
        </row>
        <row r="95">
          <cell r="A95">
            <v>723</v>
          </cell>
          <cell r="B95">
            <v>2</v>
          </cell>
          <cell r="C95" t="str">
            <v>SALSICHA DEFUMADA SEARA CX/12X500GR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164.64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1</v>
          </cell>
          <cell r="P95">
            <v>0.01</v>
          </cell>
          <cell r="Q95">
            <v>0</v>
          </cell>
          <cell r="R95">
            <v>12</v>
          </cell>
          <cell r="S95">
            <v>0</v>
          </cell>
          <cell r="T95">
            <v>0</v>
          </cell>
        </row>
        <row r="96">
          <cell r="A96">
            <v>72</v>
          </cell>
          <cell r="B96">
            <v>272.82</v>
          </cell>
          <cell r="C96" t="str">
            <v>COPA LOMBO SUINO DICASA KG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4364.08</v>
          </cell>
          <cell r="K96">
            <v>0.06</v>
          </cell>
          <cell r="L96">
            <v>0</v>
          </cell>
          <cell r="M96">
            <v>0</v>
          </cell>
          <cell r="N96">
            <v>0</v>
          </cell>
          <cell r="O96">
            <v>9</v>
          </cell>
          <cell r="P96">
            <v>0.12</v>
          </cell>
          <cell r="Q96">
            <v>0</v>
          </cell>
          <cell r="R96">
            <v>272.82</v>
          </cell>
          <cell r="S96">
            <v>0</v>
          </cell>
          <cell r="T96">
            <v>0</v>
          </cell>
        </row>
        <row r="97">
          <cell r="A97">
            <v>719</v>
          </cell>
          <cell r="B97">
            <v>5</v>
          </cell>
          <cell r="C97" t="str">
            <v>REQUEIJAO BISNAGA M.CHEDDAR VEREDA 1,5KG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236.12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5</v>
          </cell>
          <cell r="P97">
            <v>7.0000000000000007E-2</v>
          </cell>
          <cell r="Q97">
            <v>0</v>
          </cell>
          <cell r="R97">
            <v>7.5</v>
          </cell>
          <cell r="S97">
            <v>0</v>
          </cell>
          <cell r="T97">
            <v>0</v>
          </cell>
        </row>
        <row r="98">
          <cell r="A98">
            <v>718</v>
          </cell>
          <cell r="B98">
            <v>411</v>
          </cell>
          <cell r="C98" t="str">
            <v>REQUEIJAO BISNAGA CHEDDAR ISADORA 1,2KG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8212.08</v>
          </cell>
          <cell r="K98">
            <v>0.11</v>
          </cell>
          <cell r="L98">
            <v>19.8</v>
          </cell>
          <cell r="M98">
            <v>0.06</v>
          </cell>
          <cell r="N98">
            <v>1</v>
          </cell>
          <cell r="O98">
            <v>109</v>
          </cell>
          <cell r="P98">
            <v>1.47</v>
          </cell>
          <cell r="Q98">
            <v>0</v>
          </cell>
          <cell r="R98">
            <v>493.2</v>
          </cell>
          <cell r="S98">
            <v>0</v>
          </cell>
          <cell r="T98">
            <v>1.2</v>
          </cell>
        </row>
        <row r="99">
          <cell r="A99">
            <v>715</v>
          </cell>
          <cell r="B99">
            <v>92</v>
          </cell>
          <cell r="C99" t="str">
            <v>PRESUNTO SEARA FATIADO CX/22X180GR</v>
          </cell>
          <cell r="D99">
            <v>13796.64</v>
          </cell>
          <cell r="E99">
            <v>0.32</v>
          </cell>
          <cell r="F99">
            <v>100</v>
          </cell>
          <cell r="G99">
            <v>0</v>
          </cell>
          <cell r="H99">
            <v>0</v>
          </cell>
          <cell r="I99">
            <v>0</v>
          </cell>
          <cell r="J99">
            <v>14993.12</v>
          </cell>
          <cell r="K99">
            <v>0.2</v>
          </cell>
          <cell r="L99">
            <v>0</v>
          </cell>
          <cell r="M99">
            <v>0</v>
          </cell>
          <cell r="N99">
            <v>0</v>
          </cell>
          <cell r="O99">
            <v>84</v>
          </cell>
          <cell r="P99">
            <v>1.1299999999999999</v>
          </cell>
          <cell r="Q99">
            <v>396</v>
          </cell>
          <cell r="R99">
            <v>364.32</v>
          </cell>
          <cell r="S99">
            <v>0</v>
          </cell>
          <cell r="T99">
            <v>0</v>
          </cell>
        </row>
        <row r="100">
          <cell r="A100">
            <v>714</v>
          </cell>
          <cell r="B100">
            <v>241</v>
          </cell>
          <cell r="C100" t="str">
            <v>PRESUNTO REZENDE OVAL 3,5G</v>
          </cell>
          <cell r="D100">
            <v>32054.48</v>
          </cell>
          <cell r="E100">
            <v>0.75</v>
          </cell>
          <cell r="F100">
            <v>588</v>
          </cell>
          <cell r="G100">
            <v>0</v>
          </cell>
          <cell r="H100">
            <v>0</v>
          </cell>
          <cell r="I100">
            <v>0</v>
          </cell>
          <cell r="J100">
            <v>16391.78</v>
          </cell>
          <cell r="K100">
            <v>0.21</v>
          </cell>
          <cell r="L100">
            <v>70</v>
          </cell>
          <cell r="M100">
            <v>0.21</v>
          </cell>
          <cell r="N100">
            <v>1</v>
          </cell>
          <cell r="O100">
            <v>94</v>
          </cell>
          <cell r="P100">
            <v>1.27</v>
          </cell>
          <cell r="Q100">
            <v>2058</v>
          </cell>
          <cell r="R100">
            <v>843.5</v>
          </cell>
          <cell r="S100">
            <v>0</v>
          </cell>
          <cell r="T100">
            <v>3.5</v>
          </cell>
        </row>
        <row r="101">
          <cell r="A101">
            <v>713</v>
          </cell>
          <cell r="B101">
            <v>75</v>
          </cell>
          <cell r="C101" t="str">
            <v>PRESUNTO RETANGULAR PIF PAF 3,8KG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5578.06</v>
          </cell>
          <cell r="K101">
            <v>7.0000000000000007E-2</v>
          </cell>
          <cell r="L101">
            <v>0</v>
          </cell>
          <cell r="M101">
            <v>0</v>
          </cell>
          <cell r="N101">
            <v>0</v>
          </cell>
          <cell r="O101">
            <v>39</v>
          </cell>
          <cell r="P101">
            <v>0.53</v>
          </cell>
          <cell r="Q101">
            <v>0</v>
          </cell>
          <cell r="R101">
            <v>285</v>
          </cell>
          <cell r="S101">
            <v>0</v>
          </cell>
          <cell r="T101">
            <v>0</v>
          </cell>
        </row>
        <row r="102">
          <cell r="A102">
            <v>709</v>
          </cell>
          <cell r="B102">
            <v>4</v>
          </cell>
          <cell r="C102" t="str">
            <v>PIZZA FRANGO/CATUPIRY SEARA CX\12X460GR</v>
          </cell>
          <cell r="D102">
            <v>3087.89</v>
          </cell>
          <cell r="E102">
            <v>7.0000000000000007E-2</v>
          </cell>
          <cell r="F102">
            <v>20</v>
          </cell>
          <cell r="G102">
            <v>0</v>
          </cell>
          <cell r="H102">
            <v>0</v>
          </cell>
          <cell r="I102">
            <v>0</v>
          </cell>
          <cell r="J102">
            <v>740.52</v>
          </cell>
          <cell r="K102">
            <v>0.01</v>
          </cell>
          <cell r="L102">
            <v>0</v>
          </cell>
          <cell r="M102">
            <v>0</v>
          </cell>
          <cell r="N102">
            <v>0</v>
          </cell>
          <cell r="O102">
            <v>5</v>
          </cell>
          <cell r="P102">
            <v>7.0000000000000007E-2</v>
          </cell>
          <cell r="Q102">
            <v>110.4</v>
          </cell>
          <cell r="R102">
            <v>22.08</v>
          </cell>
          <cell r="S102">
            <v>0</v>
          </cell>
          <cell r="T102">
            <v>0</v>
          </cell>
        </row>
        <row r="103">
          <cell r="A103">
            <v>708</v>
          </cell>
          <cell r="B103">
            <v>1</v>
          </cell>
          <cell r="C103" t="str">
            <v>PIZZA FRANGO REQUEIJAO LEBON CX\12X400GR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118.8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1</v>
          </cell>
          <cell r="P103">
            <v>0.01</v>
          </cell>
          <cell r="Q103">
            <v>0</v>
          </cell>
          <cell r="R103">
            <v>4.8</v>
          </cell>
          <cell r="S103">
            <v>0</v>
          </cell>
          <cell r="T103">
            <v>0</v>
          </cell>
        </row>
        <row r="104">
          <cell r="A104">
            <v>706</v>
          </cell>
          <cell r="B104">
            <v>9</v>
          </cell>
          <cell r="C104" t="str">
            <v>PIZZA CALABRESA SEARA CX12X460GR</v>
          </cell>
          <cell r="D104">
            <v>3087.89</v>
          </cell>
          <cell r="E104">
            <v>7.0000000000000007E-2</v>
          </cell>
          <cell r="F104">
            <v>20</v>
          </cell>
          <cell r="G104">
            <v>0</v>
          </cell>
          <cell r="H104">
            <v>0</v>
          </cell>
          <cell r="I104">
            <v>0</v>
          </cell>
          <cell r="J104">
            <v>1677.65</v>
          </cell>
          <cell r="K104">
            <v>0.02</v>
          </cell>
          <cell r="L104">
            <v>0</v>
          </cell>
          <cell r="M104">
            <v>0</v>
          </cell>
          <cell r="N104">
            <v>0</v>
          </cell>
          <cell r="O104">
            <v>10</v>
          </cell>
          <cell r="P104">
            <v>0.13</v>
          </cell>
          <cell r="Q104">
            <v>110.4</v>
          </cell>
          <cell r="R104">
            <v>49.68</v>
          </cell>
          <cell r="S104">
            <v>0</v>
          </cell>
          <cell r="T104">
            <v>0</v>
          </cell>
        </row>
        <row r="105">
          <cell r="A105">
            <v>704</v>
          </cell>
          <cell r="B105">
            <v>87.96</v>
          </cell>
          <cell r="C105" t="str">
            <v>PICANHA BOVINA GRILL DICASA KG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7190.94</v>
          </cell>
          <cell r="K105">
            <v>0.09</v>
          </cell>
          <cell r="L105">
            <v>2361.58</v>
          </cell>
          <cell r="M105">
            <v>7.17</v>
          </cell>
          <cell r="N105">
            <v>28.98</v>
          </cell>
          <cell r="O105">
            <v>7</v>
          </cell>
          <cell r="P105">
            <v>0.09</v>
          </cell>
          <cell r="Q105">
            <v>0</v>
          </cell>
          <cell r="R105">
            <v>87.96</v>
          </cell>
          <cell r="S105">
            <v>0</v>
          </cell>
          <cell r="T105">
            <v>28.98</v>
          </cell>
        </row>
        <row r="106">
          <cell r="A106">
            <v>695</v>
          </cell>
          <cell r="B106">
            <v>246</v>
          </cell>
          <cell r="C106" t="str">
            <v>PEITO FRANGO ENVELOPADO REAL CX\18KG</v>
          </cell>
          <cell r="D106">
            <v>22174.22</v>
          </cell>
          <cell r="E106">
            <v>0.52</v>
          </cell>
          <cell r="F106">
            <v>167</v>
          </cell>
          <cell r="G106">
            <v>0</v>
          </cell>
          <cell r="H106">
            <v>0</v>
          </cell>
          <cell r="I106">
            <v>0</v>
          </cell>
          <cell r="J106">
            <v>38546.080000000002</v>
          </cell>
          <cell r="K106">
            <v>0.5</v>
          </cell>
          <cell r="L106">
            <v>0</v>
          </cell>
          <cell r="M106">
            <v>0</v>
          </cell>
          <cell r="N106">
            <v>0</v>
          </cell>
          <cell r="O106">
            <v>100</v>
          </cell>
          <cell r="P106">
            <v>1.35</v>
          </cell>
          <cell r="Q106">
            <v>3006</v>
          </cell>
          <cell r="R106">
            <v>4428</v>
          </cell>
          <cell r="S106">
            <v>0</v>
          </cell>
          <cell r="T106">
            <v>0</v>
          </cell>
        </row>
        <row r="107">
          <cell r="A107">
            <v>693</v>
          </cell>
          <cell r="B107">
            <v>7</v>
          </cell>
          <cell r="C107" t="str">
            <v>PEITO PERU DEFUMADO SEARA CX\2X2,5KG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768.32</v>
          </cell>
          <cell r="K107">
            <v>0.01</v>
          </cell>
          <cell r="L107">
            <v>0</v>
          </cell>
          <cell r="M107">
            <v>0</v>
          </cell>
          <cell r="N107">
            <v>0</v>
          </cell>
          <cell r="O107">
            <v>5</v>
          </cell>
          <cell r="P107">
            <v>7.0000000000000007E-2</v>
          </cell>
          <cell r="Q107">
            <v>0</v>
          </cell>
          <cell r="R107">
            <v>17.5</v>
          </cell>
          <cell r="S107">
            <v>0</v>
          </cell>
          <cell r="T107">
            <v>0</v>
          </cell>
        </row>
        <row r="108">
          <cell r="A108">
            <v>69</v>
          </cell>
          <cell r="B108">
            <v>166.06</v>
          </cell>
          <cell r="C108" t="str">
            <v>CAPA FILE PCT BOVINA CARA BRANCA KG</v>
          </cell>
          <cell r="D108">
            <v>37036.61</v>
          </cell>
          <cell r="E108">
            <v>0.87</v>
          </cell>
          <cell r="F108">
            <v>1148.96</v>
          </cell>
          <cell r="G108">
            <v>0</v>
          </cell>
          <cell r="H108">
            <v>0</v>
          </cell>
          <cell r="I108">
            <v>0</v>
          </cell>
          <cell r="J108">
            <v>6465.06</v>
          </cell>
          <cell r="K108">
            <v>0.08</v>
          </cell>
          <cell r="L108">
            <v>0</v>
          </cell>
          <cell r="M108">
            <v>0</v>
          </cell>
          <cell r="N108">
            <v>0</v>
          </cell>
          <cell r="O108">
            <v>8</v>
          </cell>
          <cell r="P108">
            <v>0.11</v>
          </cell>
          <cell r="Q108">
            <v>1148.96</v>
          </cell>
          <cell r="R108">
            <v>166.06</v>
          </cell>
          <cell r="S108">
            <v>0</v>
          </cell>
          <cell r="T108">
            <v>0</v>
          </cell>
        </row>
        <row r="109">
          <cell r="A109">
            <v>683</v>
          </cell>
          <cell r="B109">
            <v>76.83</v>
          </cell>
          <cell r="C109" t="str">
            <v>MUSCULO BOVINO CARA BRANCA KG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2447.1999999999998</v>
          </cell>
          <cell r="K109">
            <v>0.03</v>
          </cell>
          <cell r="L109">
            <v>0</v>
          </cell>
          <cell r="M109">
            <v>0</v>
          </cell>
          <cell r="N109">
            <v>0</v>
          </cell>
          <cell r="O109">
            <v>1</v>
          </cell>
          <cell r="P109">
            <v>0.01</v>
          </cell>
          <cell r="Q109">
            <v>0</v>
          </cell>
          <cell r="R109">
            <v>76.83</v>
          </cell>
          <cell r="S109">
            <v>0</v>
          </cell>
          <cell r="T109">
            <v>0</v>
          </cell>
        </row>
        <row r="110">
          <cell r="A110">
            <v>680</v>
          </cell>
          <cell r="B110">
            <v>1528</v>
          </cell>
          <cell r="C110" t="str">
            <v>MORTADELA LEBON S/TOUCINHO CX\4X3,250KG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44909.5</v>
          </cell>
          <cell r="K110">
            <v>0.59</v>
          </cell>
          <cell r="L110">
            <v>212</v>
          </cell>
          <cell r="M110">
            <v>0.64</v>
          </cell>
          <cell r="N110">
            <v>8</v>
          </cell>
          <cell r="O110">
            <v>185</v>
          </cell>
          <cell r="P110">
            <v>2.4900000000000002</v>
          </cell>
          <cell r="Q110">
            <v>0</v>
          </cell>
          <cell r="R110">
            <v>4966</v>
          </cell>
          <cell r="S110">
            <v>0</v>
          </cell>
          <cell r="T110">
            <v>26</v>
          </cell>
        </row>
        <row r="111">
          <cell r="A111">
            <v>679</v>
          </cell>
          <cell r="B111">
            <v>11</v>
          </cell>
          <cell r="C111" t="str">
            <v>MORTADELA PIF PAF CX\23X400GR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1134</v>
          </cell>
          <cell r="K111">
            <v>0.01</v>
          </cell>
          <cell r="L111">
            <v>0</v>
          </cell>
          <cell r="M111">
            <v>0</v>
          </cell>
          <cell r="N111">
            <v>0</v>
          </cell>
          <cell r="O111">
            <v>9</v>
          </cell>
          <cell r="P111">
            <v>0.12</v>
          </cell>
          <cell r="Q111">
            <v>0</v>
          </cell>
          <cell r="R111">
            <v>101.2</v>
          </cell>
          <cell r="S111">
            <v>0</v>
          </cell>
          <cell r="T111">
            <v>0</v>
          </cell>
        </row>
        <row r="112">
          <cell r="A112">
            <v>676</v>
          </cell>
          <cell r="B112">
            <v>35</v>
          </cell>
          <cell r="C112" t="str">
            <v>MORTADELA FRANGO PIF PAF CX\23X400GR</v>
          </cell>
          <cell r="D112">
            <v>2533.69</v>
          </cell>
          <cell r="E112">
            <v>0.06</v>
          </cell>
          <cell r="F112">
            <v>30</v>
          </cell>
          <cell r="G112">
            <v>0</v>
          </cell>
          <cell r="H112">
            <v>0</v>
          </cell>
          <cell r="I112">
            <v>0</v>
          </cell>
          <cell r="J112">
            <v>3605.7</v>
          </cell>
          <cell r="K112">
            <v>0.05</v>
          </cell>
          <cell r="L112">
            <v>0</v>
          </cell>
          <cell r="M112">
            <v>0</v>
          </cell>
          <cell r="N112">
            <v>0</v>
          </cell>
          <cell r="O112">
            <v>34</v>
          </cell>
          <cell r="P112">
            <v>0.46</v>
          </cell>
          <cell r="Q112">
            <v>276</v>
          </cell>
          <cell r="R112">
            <v>322</v>
          </cell>
          <cell r="S112">
            <v>0</v>
          </cell>
          <cell r="T112">
            <v>0</v>
          </cell>
        </row>
        <row r="113">
          <cell r="A113">
            <v>673</v>
          </cell>
          <cell r="B113">
            <v>262</v>
          </cell>
          <cell r="C113" t="str">
            <v>MORTADELA CONFIANÇA CX\6X1KG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14036</v>
          </cell>
          <cell r="K113">
            <v>0.18</v>
          </cell>
          <cell r="L113">
            <v>0</v>
          </cell>
          <cell r="M113">
            <v>0</v>
          </cell>
          <cell r="N113">
            <v>0</v>
          </cell>
          <cell r="O113">
            <v>119</v>
          </cell>
          <cell r="P113">
            <v>1.6</v>
          </cell>
          <cell r="Q113">
            <v>0</v>
          </cell>
          <cell r="R113">
            <v>1572</v>
          </cell>
          <cell r="S113">
            <v>0</v>
          </cell>
          <cell r="T113">
            <v>0</v>
          </cell>
        </row>
        <row r="114">
          <cell r="A114">
            <v>672</v>
          </cell>
          <cell r="B114">
            <v>9553</v>
          </cell>
          <cell r="C114" t="str">
            <v>MORTADELA CONFIANÇA CX\4X3,5KG</v>
          </cell>
          <cell r="D114">
            <v>176988</v>
          </cell>
          <cell r="E114">
            <v>4.1500000000000004</v>
          </cell>
          <cell r="F114">
            <v>7840</v>
          </cell>
          <cell r="G114">
            <v>0</v>
          </cell>
          <cell r="H114">
            <v>0</v>
          </cell>
          <cell r="I114">
            <v>0</v>
          </cell>
          <cell r="J114">
            <v>253431.43</v>
          </cell>
          <cell r="K114">
            <v>3.32</v>
          </cell>
          <cell r="L114">
            <v>295.39</v>
          </cell>
          <cell r="M114">
            <v>0.9</v>
          </cell>
          <cell r="N114">
            <v>12</v>
          </cell>
          <cell r="O114">
            <v>1106</v>
          </cell>
          <cell r="P114">
            <v>14.89</v>
          </cell>
          <cell r="Q114">
            <v>27440</v>
          </cell>
          <cell r="R114">
            <v>33435.5</v>
          </cell>
          <cell r="S114">
            <v>0</v>
          </cell>
          <cell r="T114">
            <v>42</v>
          </cell>
        </row>
        <row r="115">
          <cell r="A115">
            <v>671</v>
          </cell>
          <cell r="B115">
            <v>108</v>
          </cell>
          <cell r="C115" t="str">
            <v>MORTADELA CONFIANÇA 15X400GR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5212.28</v>
          </cell>
          <cell r="K115">
            <v>7.0000000000000007E-2</v>
          </cell>
          <cell r="L115">
            <v>107.8</v>
          </cell>
          <cell r="M115">
            <v>0.33</v>
          </cell>
          <cell r="N115">
            <v>2</v>
          </cell>
          <cell r="O115">
            <v>59</v>
          </cell>
          <cell r="P115">
            <v>0.79</v>
          </cell>
          <cell r="Q115">
            <v>0</v>
          </cell>
          <cell r="R115">
            <v>648</v>
          </cell>
          <cell r="S115">
            <v>0</v>
          </cell>
          <cell r="T115">
            <v>12</v>
          </cell>
        </row>
        <row r="116">
          <cell r="A116">
            <v>670</v>
          </cell>
          <cell r="B116">
            <v>481</v>
          </cell>
          <cell r="C116" t="str">
            <v>MORTADELA BOLONHA GOURMET SEARA PEÇA</v>
          </cell>
          <cell r="D116">
            <v>6445.43</v>
          </cell>
          <cell r="E116">
            <v>0.15</v>
          </cell>
          <cell r="F116">
            <v>102</v>
          </cell>
          <cell r="G116">
            <v>0</v>
          </cell>
          <cell r="H116">
            <v>0</v>
          </cell>
          <cell r="I116">
            <v>0</v>
          </cell>
          <cell r="J116">
            <v>36027.97</v>
          </cell>
          <cell r="K116">
            <v>0.47</v>
          </cell>
          <cell r="L116">
            <v>0</v>
          </cell>
          <cell r="M116">
            <v>0</v>
          </cell>
          <cell r="N116">
            <v>0</v>
          </cell>
          <cell r="O116">
            <v>164</v>
          </cell>
          <cell r="P116">
            <v>2.21</v>
          </cell>
          <cell r="Q116">
            <v>489.6</v>
          </cell>
          <cell r="R116">
            <v>2308.8000000000002</v>
          </cell>
          <cell r="S116">
            <v>0</v>
          </cell>
          <cell r="T116">
            <v>0</v>
          </cell>
        </row>
        <row r="117">
          <cell r="A117">
            <v>668</v>
          </cell>
          <cell r="B117">
            <v>8</v>
          </cell>
          <cell r="C117" t="str">
            <v>MOLHO BARBECUE D'MAIS  SACHE CX\150X7G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122.76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4</v>
          </cell>
          <cell r="P117">
            <v>0.05</v>
          </cell>
          <cell r="Q117">
            <v>0</v>
          </cell>
          <cell r="R117">
            <v>12</v>
          </cell>
          <cell r="S117">
            <v>0</v>
          </cell>
          <cell r="T117">
            <v>0</v>
          </cell>
        </row>
        <row r="118">
          <cell r="A118">
            <v>666</v>
          </cell>
          <cell r="B118">
            <v>71</v>
          </cell>
          <cell r="C118" t="str">
            <v>MISTURA CONDENSADA TRIANGULO CX/27X395GR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6833.67</v>
          </cell>
          <cell r="K118">
            <v>0.09</v>
          </cell>
          <cell r="L118">
            <v>0</v>
          </cell>
          <cell r="M118">
            <v>0</v>
          </cell>
          <cell r="N118">
            <v>0</v>
          </cell>
          <cell r="O118">
            <v>37</v>
          </cell>
          <cell r="P118">
            <v>0.5</v>
          </cell>
          <cell r="Q118">
            <v>0</v>
          </cell>
          <cell r="R118">
            <v>426</v>
          </cell>
          <cell r="S118">
            <v>0</v>
          </cell>
          <cell r="T118">
            <v>0</v>
          </cell>
        </row>
        <row r="119">
          <cell r="A119">
            <v>663</v>
          </cell>
          <cell r="B119">
            <v>13</v>
          </cell>
          <cell r="C119" t="str">
            <v>MEIO DA ASA TEMPERADO PIF PAF CX\12X1KG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4529.8</v>
          </cell>
          <cell r="K119">
            <v>0.06</v>
          </cell>
          <cell r="L119">
            <v>0</v>
          </cell>
          <cell r="M119">
            <v>0</v>
          </cell>
          <cell r="N119">
            <v>0</v>
          </cell>
          <cell r="O119">
            <v>12</v>
          </cell>
          <cell r="P119">
            <v>0.16</v>
          </cell>
          <cell r="Q119">
            <v>0</v>
          </cell>
          <cell r="R119">
            <v>156</v>
          </cell>
          <cell r="S119">
            <v>0</v>
          </cell>
          <cell r="T119">
            <v>0</v>
          </cell>
        </row>
        <row r="120">
          <cell r="A120">
            <v>657</v>
          </cell>
          <cell r="B120">
            <v>279</v>
          </cell>
          <cell r="C120" t="str">
            <v>MASSA PASTEL ROLO VILA ITALIA CX\12X1KG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44842.239999999998</v>
          </cell>
          <cell r="K120">
            <v>0.59</v>
          </cell>
          <cell r="L120">
            <v>0</v>
          </cell>
          <cell r="M120">
            <v>0</v>
          </cell>
          <cell r="N120">
            <v>0</v>
          </cell>
          <cell r="O120">
            <v>154</v>
          </cell>
          <cell r="P120">
            <v>2.0699999999999998</v>
          </cell>
          <cell r="Q120">
            <v>0</v>
          </cell>
          <cell r="R120">
            <v>3348</v>
          </cell>
          <cell r="S120">
            <v>0</v>
          </cell>
          <cell r="T120">
            <v>0</v>
          </cell>
        </row>
        <row r="121">
          <cell r="A121">
            <v>656</v>
          </cell>
          <cell r="B121">
            <v>4</v>
          </cell>
          <cell r="C121" t="str">
            <v>MARGARINA DORIANA S/SAL CX\24X250GR 5776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356.4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3</v>
          </cell>
          <cell r="P121">
            <v>0.04</v>
          </cell>
          <cell r="Q121">
            <v>0</v>
          </cell>
          <cell r="R121">
            <v>24</v>
          </cell>
          <cell r="S121">
            <v>0</v>
          </cell>
          <cell r="T121">
            <v>0</v>
          </cell>
        </row>
        <row r="122">
          <cell r="A122">
            <v>655</v>
          </cell>
          <cell r="B122">
            <v>5</v>
          </cell>
          <cell r="C122" t="str">
            <v>MARGARINA DORIANA S/SAL CX/12X500GR 5719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389.55</v>
          </cell>
          <cell r="K122">
            <v>0.01</v>
          </cell>
          <cell r="L122">
            <v>0</v>
          </cell>
          <cell r="M122">
            <v>0</v>
          </cell>
          <cell r="N122">
            <v>0</v>
          </cell>
          <cell r="O122">
            <v>4</v>
          </cell>
          <cell r="P122">
            <v>0.05</v>
          </cell>
          <cell r="Q122">
            <v>0</v>
          </cell>
          <cell r="R122">
            <v>30</v>
          </cell>
          <cell r="S122">
            <v>0</v>
          </cell>
          <cell r="T122">
            <v>0</v>
          </cell>
        </row>
        <row r="123">
          <cell r="A123">
            <v>654</v>
          </cell>
          <cell r="B123">
            <v>31</v>
          </cell>
          <cell r="C123" t="str">
            <v>MARGARINA DORIANA C\SAL CX\12X1KG 56868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4391.1000000000004</v>
          </cell>
          <cell r="K123">
            <v>0.06</v>
          </cell>
          <cell r="L123">
            <v>0</v>
          </cell>
          <cell r="M123">
            <v>0</v>
          </cell>
          <cell r="N123">
            <v>0</v>
          </cell>
          <cell r="O123">
            <v>23</v>
          </cell>
          <cell r="P123">
            <v>0.31</v>
          </cell>
          <cell r="Q123">
            <v>0</v>
          </cell>
          <cell r="R123">
            <v>372</v>
          </cell>
          <cell r="S123">
            <v>0</v>
          </cell>
          <cell r="T123">
            <v>0</v>
          </cell>
        </row>
        <row r="124">
          <cell r="A124">
            <v>653</v>
          </cell>
          <cell r="B124">
            <v>97</v>
          </cell>
          <cell r="C124" t="str">
            <v>MARGARINA DORIANA C\SAL CX\24X250GR 5747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5525.2</v>
          </cell>
          <cell r="K124">
            <v>7.0000000000000007E-2</v>
          </cell>
          <cell r="L124">
            <v>0</v>
          </cell>
          <cell r="M124">
            <v>0</v>
          </cell>
          <cell r="N124">
            <v>0</v>
          </cell>
          <cell r="O124">
            <v>24</v>
          </cell>
          <cell r="P124">
            <v>0.32</v>
          </cell>
          <cell r="Q124">
            <v>0</v>
          </cell>
          <cell r="R124">
            <v>582</v>
          </cell>
          <cell r="S124">
            <v>0</v>
          </cell>
          <cell r="T124">
            <v>0</v>
          </cell>
        </row>
        <row r="125">
          <cell r="A125">
            <v>652</v>
          </cell>
          <cell r="B125">
            <v>262</v>
          </cell>
          <cell r="C125" t="str">
            <v>MARGARINA DORIANA C\SAL CX\12X500GR 5719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19899.68</v>
          </cell>
          <cell r="K125">
            <v>0.26</v>
          </cell>
          <cell r="L125">
            <v>0</v>
          </cell>
          <cell r="M125">
            <v>0</v>
          </cell>
          <cell r="N125">
            <v>0</v>
          </cell>
          <cell r="O125">
            <v>50</v>
          </cell>
          <cell r="P125">
            <v>0.67</v>
          </cell>
          <cell r="Q125">
            <v>0</v>
          </cell>
          <cell r="R125">
            <v>1572</v>
          </cell>
          <cell r="S125">
            <v>0</v>
          </cell>
          <cell r="T125">
            <v>0</v>
          </cell>
        </row>
        <row r="126">
          <cell r="A126">
            <v>651</v>
          </cell>
          <cell r="B126">
            <v>491</v>
          </cell>
          <cell r="C126" t="str">
            <v>MARGARINA DELICIA CX\24X250GR 997869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44047.45</v>
          </cell>
          <cell r="K126">
            <v>0.57999999999999996</v>
          </cell>
          <cell r="L126">
            <v>91.04</v>
          </cell>
          <cell r="M126">
            <v>0.28000000000000003</v>
          </cell>
          <cell r="N126">
            <v>1</v>
          </cell>
          <cell r="O126">
            <v>361</v>
          </cell>
          <cell r="P126">
            <v>4.8600000000000003</v>
          </cell>
          <cell r="Q126">
            <v>0</v>
          </cell>
          <cell r="R126">
            <v>2946</v>
          </cell>
          <cell r="S126">
            <v>0</v>
          </cell>
          <cell r="T126">
            <v>6</v>
          </cell>
        </row>
        <row r="127">
          <cell r="A127">
            <v>650</v>
          </cell>
          <cell r="B127">
            <v>719</v>
          </cell>
          <cell r="C127" t="str">
            <v>MARGARINA DELICIA CX\12X500GR 997871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59187.91</v>
          </cell>
          <cell r="K127">
            <v>0.77</v>
          </cell>
          <cell r="L127">
            <v>418.62</v>
          </cell>
          <cell r="M127">
            <v>1.27</v>
          </cell>
          <cell r="N127">
            <v>5</v>
          </cell>
          <cell r="O127">
            <v>430</v>
          </cell>
          <cell r="P127">
            <v>5.79</v>
          </cell>
          <cell r="Q127">
            <v>0</v>
          </cell>
          <cell r="R127">
            <v>4314</v>
          </cell>
          <cell r="S127">
            <v>0</v>
          </cell>
          <cell r="T127">
            <v>30</v>
          </cell>
        </row>
        <row r="128">
          <cell r="A128">
            <v>649</v>
          </cell>
          <cell r="B128">
            <v>258</v>
          </cell>
          <cell r="C128" t="str">
            <v>MARGARINA DELICIA CX\12X1KG  997872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39192.720000000001</v>
          </cell>
          <cell r="K128">
            <v>0.51</v>
          </cell>
          <cell r="L128">
            <v>0</v>
          </cell>
          <cell r="M128">
            <v>0</v>
          </cell>
          <cell r="N128">
            <v>0</v>
          </cell>
          <cell r="O128">
            <v>140</v>
          </cell>
          <cell r="P128">
            <v>1.89</v>
          </cell>
          <cell r="Q128">
            <v>0</v>
          </cell>
          <cell r="R128">
            <v>3096</v>
          </cell>
          <cell r="S128">
            <v>0</v>
          </cell>
          <cell r="T128">
            <v>0</v>
          </cell>
        </row>
        <row r="129">
          <cell r="A129">
            <v>648</v>
          </cell>
          <cell r="B129">
            <v>76</v>
          </cell>
          <cell r="C129" t="str">
            <v>MARGARINA DELICATA CS CX\12X1KG 998517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9042.74</v>
          </cell>
          <cell r="K129">
            <v>0.12</v>
          </cell>
          <cell r="L129">
            <v>0</v>
          </cell>
          <cell r="M129">
            <v>0</v>
          </cell>
          <cell r="N129">
            <v>0</v>
          </cell>
          <cell r="O129">
            <v>43</v>
          </cell>
          <cell r="P129">
            <v>0.57999999999999996</v>
          </cell>
          <cell r="Q129">
            <v>0</v>
          </cell>
          <cell r="R129">
            <v>912</v>
          </cell>
          <cell r="S129">
            <v>0</v>
          </cell>
          <cell r="T129">
            <v>0</v>
          </cell>
        </row>
        <row r="130">
          <cell r="A130">
            <v>647</v>
          </cell>
          <cell r="B130">
            <v>34</v>
          </cell>
          <cell r="C130" t="str">
            <v>MARGARINA DELICATA CS CX/24X250G  995581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2342.3000000000002</v>
          </cell>
          <cell r="K130">
            <v>0.03</v>
          </cell>
          <cell r="L130">
            <v>68.5</v>
          </cell>
          <cell r="M130">
            <v>0.21</v>
          </cell>
          <cell r="N130">
            <v>1</v>
          </cell>
          <cell r="O130">
            <v>29</v>
          </cell>
          <cell r="P130">
            <v>0.39</v>
          </cell>
          <cell r="Q130">
            <v>0</v>
          </cell>
          <cell r="R130">
            <v>204</v>
          </cell>
          <cell r="S130">
            <v>0</v>
          </cell>
          <cell r="T130">
            <v>6</v>
          </cell>
        </row>
        <row r="131">
          <cell r="A131">
            <v>646</v>
          </cell>
          <cell r="B131">
            <v>100</v>
          </cell>
          <cell r="C131" t="str">
            <v>MARGARINA DELICATA CS CX/12X500GR 998518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6081.6</v>
          </cell>
          <cell r="K131">
            <v>0.08</v>
          </cell>
          <cell r="L131">
            <v>62.33</v>
          </cell>
          <cell r="M131">
            <v>0.19</v>
          </cell>
          <cell r="N131">
            <v>1</v>
          </cell>
          <cell r="O131">
            <v>56</v>
          </cell>
          <cell r="P131">
            <v>0.75</v>
          </cell>
          <cell r="Q131">
            <v>0</v>
          </cell>
          <cell r="R131">
            <v>600</v>
          </cell>
          <cell r="S131">
            <v>0</v>
          </cell>
          <cell r="T131">
            <v>6</v>
          </cell>
        </row>
        <row r="132">
          <cell r="A132">
            <v>645</v>
          </cell>
          <cell r="B132">
            <v>88</v>
          </cell>
          <cell r="C132" t="str">
            <v>MARGARINA BALDE 80% CUKIN 15 KG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13991.7</v>
          </cell>
          <cell r="K132">
            <v>0.18</v>
          </cell>
          <cell r="L132">
            <v>0</v>
          </cell>
          <cell r="M132">
            <v>0</v>
          </cell>
          <cell r="N132">
            <v>0</v>
          </cell>
          <cell r="O132">
            <v>11</v>
          </cell>
          <cell r="P132">
            <v>0.15</v>
          </cell>
          <cell r="Q132">
            <v>0</v>
          </cell>
          <cell r="R132">
            <v>1320</v>
          </cell>
          <cell r="S132">
            <v>0</v>
          </cell>
          <cell r="T132">
            <v>0</v>
          </cell>
        </row>
        <row r="133">
          <cell r="A133">
            <v>643</v>
          </cell>
          <cell r="B133">
            <v>1</v>
          </cell>
          <cell r="C133" t="str">
            <v>MANTEIGA CRISTAULAT CX\6X500GR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105.35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1</v>
          </cell>
          <cell r="P133">
            <v>0.01</v>
          </cell>
          <cell r="Q133">
            <v>0</v>
          </cell>
          <cell r="R133">
            <v>3</v>
          </cell>
          <cell r="S133">
            <v>0</v>
          </cell>
          <cell r="T133">
            <v>0</v>
          </cell>
        </row>
        <row r="134">
          <cell r="A134">
            <v>642</v>
          </cell>
          <cell r="B134">
            <v>1</v>
          </cell>
          <cell r="C134" t="str">
            <v>MANDIOCA NATURE SUPREME SEARA CX/15X600G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289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1</v>
          </cell>
          <cell r="P134">
            <v>0.01</v>
          </cell>
          <cell r="Q134">
            <v>0</v>
          </cell>
          <cell r="R134">
            <v>9</v>
          </cell>
          <cell r="S134">
            <v>0</v>
          </cell>
          <cell r="T134">
            <v>0</v>
          </cell>
        </row>
        <row r="135">
          <cell r="A135">
            <v>633</v>
          </cell>
          <cell r="B135">
            <v>1</v>
          </cell>
          <cell r="C135" t="str">
            <v>MAC &amp; CHEESE C/BACON SEARA CX/12X300GR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104.86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1</v>
          </cell>
          <cell r="P135">
            <v>0.01</v>
          </cell>
          <cell r="Q135">
            <v>0</v>
          </cell>
          <cell r="R135">
            <v>3.6</v>
          </cell>
          <cell r="S135">
            <v>0</v>
          </cell>
          <cell r="T135">
            <v>0</v>
          </cell>
        </row>
        <row r="136">
          <cell r="A136">
            <v>631</v>
          </cell>
          <cell r="B136">
            <v>24</v>
          </cell>
          <cell r="C136" t="str">
            <v>LOMBO SUINO TEMP. PIF PAF CX/18KG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6499.4</v>
          </cell>
          <cell r="K136">
            <v>0.09</v>
          </cell>
          <cell r="L136">
            <v>0</v>
          </cell>
          <cell r="M136">
            <v>0</v>
          </cell>
          <cell r="N136">
            <v>0</v>
          </cell>
          <cell r="O136">
            <v>17</v>
          </cell>
          <cell r="P136">
            <v>0.23</v>
          </cell>
          <cell r="Q136">
            <v>0</v>
          </cell>
          <cell r="R136">
            <v>432</v>
          </cell>
          <cell r="S136">
            <v>0</v>
          </cell>
          <cell r="T136">
            <v>0</v>
          </cell>
        </row>
        <row r="137">
          <cell r="A137">
            <v>630</v>
          </cell>
          <cell r="B137">
            <v>44</v>
          </cell>
          <cell r="C137" t="str">
            <v>LOMBO SUINO MACIO  PIF PAF CX\18KG</v>
          </cell>
          <cell r="D137">
            <v>91178.75</v>
          </cell>
          <cell r="E137">
            <v>2.14</v>
          </cell>
          <cell r="F137">
            <v>345</v>
          </cell>
          <cell r="G137">
            <v>0</v>
          </cell>
          <cell r="H137">
            <v>0</v>
          </cell>
          <cell r="I137">
            <v>0</v>
          </cell>
          <cell r="J137">
            <v>13698.53</v>
          </cell>
          <cell r="K137">
            <v>0.18</v>
          </cell>
          <cell r="L137">
            <v>0</v>
          </cell>
          <cell r="M137">
            <v>0</v>
          </cell>
          <cell r="N137">
            <v>0</v>
          </cell>
          <cell r="O137">
            <v>42</v>
          </cell>
          <cell r="P137">
            <v>0.56999999999999995</v>
          </cell>
          <cell r="Q137">
            <v>6210</v>
          </cell>
          <cell r="R137">
            <v>792</v>
          </cell>
          <cell r="S137">
            <v>0</v>
          </cell>
          <cell r="T137">
            <v>0</v>
          </cell>
        </row>
        <row r="138">
          <cell r="A138">
            <v>625</v>
          </cell>
          <cell r="B138">
            <v>523</v>
          </cell>
          <cell r="C138" t="str">
            <v>LING T.CALABRESA SEARA CX\6X2,5KG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26323.85</v>
          </cell>
          <cell r="K138">
            <v>0.34</v>
          </cell>
          <cell r="L138">
            <v>51.2</v>
          </cell>
          <cell r="M138">
            <v>0.16</v>
          </cell>
          <cell r="N138">
            <v>1</v>
          </cell>
          <cell r="O138">
            <v>103</v>
          </cell>
          <cell r="P138">
            <v>1.39</v>
          </cell>
          <cell r="Q138">
            <v>0</v>
          </cell>
          <cell r="R138">
            <v>1307.5</v>
          </cell>
          <cell r="S138">
            <v>0</v>
          </cell>
          <cell r="T138">
            <v>2.5</v>
          </cell>
        </row>
        <row r="139">
          <cell r="A139">
            <v>624</v>
          </cell>
          <cell r="B139">
            <v>14</v>
          </cell>
          <cell r="C139" t="str">
            <v>LING T.CALABRESA SEARA CX\12X400GR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1528.8</v>
          </cell>
          <cell r="K139">
            <v>0.02</v>
          </cell>
          <cell r="L139">
            <v>0</v>
          </cell>
          <cell r="M139">
            <v>0</v>
          </cell>
          <cell r="N139">
            <v>0</v>
          </cell>
          <cell r="O139">
            <v>14</v>
          </cell>
          <cell r="P139">
            <v>0.19</v>
          </cell>
          <cell r="Q139">
            <v>0</v>
          </cell>
          <cell r="R139">
            <v>67.2</v>
          </cell>
          <cell r="S139">
            <v>0</v>
          </cell>
          <cell r="T139">
            <v>0</v>
          </cell>
        </row>
        <row r="140">
          <cell r="A140">
            <v>621</v>
          </cell>
          <cell r="B140">
            <v>50</v>
          </cell>
          <cell r="C140" t="str">
            <v>LING T.CALABRESA RETA REZENDE CX 6X2,5KG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2416.14</v>
          </cell>
          <cell r="K140">
            <v>0.03</v>
          </cell>
          <cell r="L140">
            <v>0</v>
          </cell>
          <cell r="M140">
            <v>0</v>
          </cell>
          <cell r="N140">
            <v>0</v>
          </cell>
          <cell r="O140">
            <v>22</v>
          </cell>
          <cell r="P140">
            <v>0.3</v>
          </cell>
          <cell r="Q140">
            <v>0</v>
          </cell>
          <cell r="R140">
            <v>125</v>
          </cell>
          <cell r="S140">
            <v>0</v>
          </cell>
          <cell r="T140">
            <v>0</v>
          </cell>
        </row>
        <row r="141">
          <cell r="A141">
            <v>620</v>
          </cell>
          <cell r="B141">
            <v>978</v>
          </cell>
          <cell r="C141" t="str">
            <v>LING T.CALABRESA PIF PAF CX/2X3KG</v>
          </cell>
          <cell r="D141">
            <v>36611.79</v>
          </cell>
          <cell r="E141">
            <v>0.86</v>
          </cell>
          <cell r="F141">
            <v>800</v>
          </cell>
          <cell r="G141">
            <v>0</v>
          </cell>
          <cell r="H141">
            <v>0</v>
          </cell>
          <cell r="I141">
            <v>0</v>
          </cell>
          <cell r="J141">
            <v>57807.89</v>
          </cell>
          <cell r="K141">
            <v>0.76</v>
          </cell>
          <cell r="L141">
            <v>57.28</v>
          </cell>
          <cell r="M141">
            <v>0.17</v>
          </cell>
          <cell r="N141">
            <v>1</v>
          </cell>
          <cell r="O141">
            <v>314</v>
          </cell>
          <cell r="P141">
            <v>4.2300000000000004</v>
          </cell>
          <cell r="Q141">
            <v>2400</v>
          </cell>
          <cell r="R141">
            <v>2934</v>
          </cell>
          <cell r="S141">
            <v>0</v>
          </cell>
          <cell r="T141">
            <v>3</v>
          </cell>
        </row>
        <row r="142">
          <cell r="A142">
            <v>619</v>
          </cell>
          <cell r="B142">
            <v>17</v>
          </cell>
          <cell r="C142" t="str">
            <v>LING SUINA REZENDE CX/32X700G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5350.09</v>
          </cell>
          <cell r="K142">
            <v>7.0000000000000007E-2</v>
          </cell>
          <cell r="L142">
            <v>0</v>
          </cell>
          <cell r="M142">
            <v>0</v>
          </cell>
          <cell r="N142">
            <v>0</v>
          </cell>
          <cell r="O142">
            <v>16</v>
          </cell>
          <cell r="P142">
            <v>0.22</v>
          </cell>
          <cell r="Q142">
            <v>0</v>
          </cell>
          <cell r="R142">
            <v>380.8</v>
          </cell>
          <cell r="S142">
            <v>0</v>
          </cell>
          <cell r="T142">
            <v>0</v>
          </cell>
        </row>
        <row r="143">
          <cell r="A143">
            <v>615</v>
          </cell>
          <cell r="B143">
            <v>25</v>
          </cell>
          <cell r="C143" t="str">
            <v>LING MINEIRA PIF PAF CX/8X800GR</v>
          </cell>
          <cell r="D143">
            <v>3487.12</v>
          </cell>
          <cell r="E143">
            <v>0.08</v>
          </cell>
          <cell r="F143">
            <v>30</v>
          </cell>
          <cell r="G143">
            <v>0</v>
          </cell>
          <cell r="H143">
            <v>0</v>
          </cell>
          <cell r="I143">
            <v>0</v>
          </cell>
          <cell r="J143">
            <v>3512.44</v>
          </cell>
          <cell r="K143">
            <v>0.05</v>
          </cell>
          <cell r="L143">
            <v>0</v>
          </cell>
          <cell r="M143">
            <v>0</v>
          </cell>
          <cell r="N143">
            <v>0</v>
          </cell>
          <cell r="O143">
            <v>16</v>
          </cell>
          <cell r="P143">
            <v>0.22</v>
          </cell>
          <cell r="Q143">
            <v>162</v>
          </cell>
          <cell r="R143">
            <v>135</v>
          </cell>
          <cell r="S143">
            <v>0</v>
          </cell>
          <cell r="T143">
            <v>0</v>
          </cell>
        </row>
        <row r="144">
          <cell r="A144">
            <v>613</v>
          </cell>
          <cell r="B144">
            <v>8</v>
          </cell>
          <cell r="C144" t="str">
            <v>LING FRANGO LEBON CX\32X600GR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2361.66</v>
          </cell>
          <cell r="K144">
            <v>0.03</v>
          </cell>
          <cell r="L144">
            <v>293.70999999999998</v>
          </cell>
          <cell r="M144">
            <v>0.89</v>
          </cell>
          <cell r="N144">
            <v>1</v>
          </cell>
          <cell r="O144">
            <v>8</v>
          </cell>
          <cell r="P144">
            <v>0.11</v>
          </cell>
          <cell r="Q144">
            <v>0</v>
          </cell>
          <cell r="R144">
            <v>153.6</v>
          </cell>
          <cell r="S144">
            <v>0</v>
          </cell>
          <cell r="T144">
            <v>19.2</v>
          </cell>
        </row>
        <row r="145">
          <cell r="A145">
            <v>612</v>
          </cell>
          <cell r="B145">
            <v>2</v>
          </cell>
          <cell r="C145" t="str">
            <v>LING FRANGO C\BACON GOURMET SEARA CX6KG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309.60000000000002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2</v>
          </cell>
          <cell r="P145">
            <v>0.03</v>
          </cell>
          <cell r="Q145">
            <v>0</v>
          </cell>
          <cell r="R145">
            <v>12</v>
          </cell>
          <cell r="S145">
            <v>0</v>
          </cell>
          <cell r="T145">
            <v>0</v>
          </cell>
        </row>
        <row r="146">
          <cell r="A146">
            <v>611</v>
          </cell>
          <cell r="B146">
            <v>3</v>
          </cell>
          <cell r="C146" t="str">
            <v>LING DEF.FINA SEARA CX\24X215KG</v>
          </cell>
          <cell r="D146">
            <v>3247.7</v>
          </cell>
          <cell r="E146">
            <v>0.08</v>
          </cell>
          <cell r="F146">
            <v>30</v>
          </cell>
          <cell r="G146">
            <v>0</v>
          </cell>
          <cell r="H146">
            <v>0</v>
          </cell>
          <cell r="I146">
            <v>0</v>
          </cell>
          <cell r="J146">
            <v>380.73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4</v>
          </cell>
          <cell r="P146">
            <v>0.05</v>
          </cell>
          <cell r="Q146">
            <v>154.80000000000001</v>
          </cell>
          <cell r="R146">
            <v>15.48</v>
          </cell>
          <cell r="S146">
            <v>0</v>
          </cell>
          <cell r="T146">
            <v>0</v>
          </cell>
        </row>
        <row r="147">
          <cell r="A147">
            <v>610</v>
          </cell>
          <cell r="B147">
            <v>750</v>
          </cell>
          <cell r="C147" t="str">
            <v>LING DEF.FINA PIF PAF CX\4X2,5KG</v>
          </cell>
          <cell r="D147">
            <v>15254.91</v>
          </cell>
          <cell r="E147">
            <v>0.36</v>
          </cell>
          <cell r="F147">
            <v>400</v>
          </cell>
          <cell r="G147">
            <v>0</v>
          </cell>
          <cell r="H147">
            <v>0</v>
          </cell>
          <cell r="I147">
            <v>0</v>
          </cell>
          <cell r="J147">
            <v>35700.54</v>
          </cell>
          <cell r="K147">
            <v>0.47</v>
          </cell>
          <cell r="L147">
            <v>237.15</v>
          </cell>
          <cell r="M147">
            <v>0.72</v>
          </cell>
          <cell r="N147">
            <v>5</v>
          </cell>
          <cell r="O147">
            <v>180</v>
          </cell>
          <cell r="P147">
            <v>2.42</v>
          </cell>
          <cell r="Q147">
            <v>1000</v>
          </cell>
          <cell r="R147">
            <v>1875</v>
          </cell>
          <cell r="S147">
            <v>0</v>
          </cell>
          <cell r="T147">
            <v>12.5</v>
          </cell>
        </row>
        <row r="148">
          <cell r="A148">
            <v>61</v>
          </cell>
          <cell r="B148">
            <v>34</v>
          </cell>
          <cell r="C148" t="str">
            <v>MEIO DA ASA TEMP. IQF SEARA CX/12X1KG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10588.96</v>
          </cell>
          <cell r="K148">
            <v>0.14000000000000001</v>
          </cell>
          <cell r="L148">
            <v>0</v>
          </cell>
          <cell r="M148">
            <v>0</v>
          </cell>
          <cell r="N148">
            <v>0</v>
          </cell>
          <cell r="O148">
            <v>29</v>
          </cell>
          <cell r="P148">
            <v>0.39</v>
          </cell>
          <cell r="Q148">
            <v>0</v>
          </cell>
          <cell r="R148">
            <v>408</v>
          </cell>
          <cell r="S148">
            <v>0</v>
          </cell>
          <cell r="T148">
            <v>0</v>
          </cell>
        </row>
        <row r="149">
          <cell r="A149">
            <v>606</v>
          </cell>
          <cell r="B149">
            <v>11</v>
          </cell>
          <cell r="C149" t="str">
            <v>LING CHURRASCO MINI REZENDE CX\4X5KG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811.26</v>
          </cell>
          <cell r="K149">
            <v>0.01</v>
          </cell>
          <cell r="L149">
            <v>0</v>
          </cell>
          <cell r="M149">
            <v>0</v>
          </cell>
          <cell r="N149">
            <v>0</v>
          </cell>
          <cell r="O149">
            <v>5</v>
          </cell>
          <cell r="P149">
            <v>7.0000000000000007E-2</v>
          </cell>
          <cell r="Q149">
            <v>0</v>
          </cell>
          <cell r="R149">
            <v>55</v>
          </cell>
          <cell r="S149">
            <v>0</v>
          </cell>
          <cell r="T149">
            <v>0</v>
          </cell>
        </row>
        <row r="150">
          <cell r="A150">
            <v>603</v>
          </cell>
          <cell r="B150">
            <v>51</v>
          </cell>
          <cell r="C150" t="str">
            <v>LEVISSIMO SEARA 3,450KG</v>
          </cell>
          <cell r="D150">
            <v>4664.51</v>
          </cell>
          <cell r="E150">
            <v>0.11</v>
          </cell>
          <cell r="F150">
            <v>60</v>
          </cell>
          <cell r="G150">
            <v>0</v>
          </cell>
          <cell r="H150">
            <v>0</v>
          </cell>
          <cell r="I150">
            <v>0</v>
          </cell>
          <cell r="J150">
            <v>4637.45</v>
          </cell>
          <cell r="K150">
            <v>0.06</v>
          </cell>
          <cell r="L150">
            <v>0</v>
          </cell>
          <cell r="M150">
            <v>0</v>
          </cell>
          <cell r="N150">
            <v>0</v>
          </cell>
          <cell r="O150">
            <v>15</v>
          </cell>
          <cell r="P150">
            <v>0.2</v>
          </cell>
          <cell r="Q150">
            <v>207</v>
          </cell>
          <cell r="R150">
            <v>175.95</v>
          </cell>
          <cell r="S150">
            <v>0</v>
          </cell>
          <cell r="T150">
            <v>0</v>
          </cell>
        </row>
        <row r="151">
          <cell r="A151">
            <v>602</v>
          </cell>
          <cell r="B151">
            <v>341</v>
          </cell>
          <cell r="C151" t="str">
            <v>LEITE UHT INTEGRAL IBITURUNA CX\12LT</v>
          </cell>
          <cell r="D151">
            <v>74970</v>
          </cell>
          <cell r="E151">
            <v>1.76</v>
          </cell>
          <cell r="F151">
            <v>1275</v>
          </cell>
          <cell r="G151">
            <v>0</v>
          </cell>
          <cell r="H151">
            <v>0</v>
          </cell>
          <cell r="I151">
            <v>0</v>
          </cell>
          <cell r="J151">
            <v>23548.15</v>
          </cell>
          <cell r="K151">
            <v>0.31</v>
          </cell>
          <cell r="L151">
            <v>68.31</v>
          </cell>
          <cell r="M151">
            <v>0.21</v>
          </cell>
          <cell r="N151">
            <v>1</v>
          </cell>
          <cell r="O151">
            <v>76</v>
          </cell>
          <cell r="P151">
            <v>1.02</v>
          </cell>
          <cell r="Q151">
            <v>15300</v>
          </cell>
          <cell r="R151">
            <v>4092</v>
          </cell>
          <cell r="S151">
            <v>0</v>
          </cell>
          <cell r="T151">
            <v>12</v>
          </cell>
        </row>
        <row r="152">
          <cell r="A152">
            <v>601</v>
          </cell>
          <cell r="B152">
            <v>56</v>
          </cell>
          <cell r="C152" t="str">
            <v>LEITE UHT DESNATADO IBITURUNA CX\12LT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3829.43</v>
          </cell>
          <cell r="K152">
            <v>0.05</v>
          </cell>
          <cell r="L152">
            <v>1366.2</v>
          </cell>
          <cell r="M152">
            <v>4.1500000000000004</v>
          </cell>
          <cell r="N152">
            <v>20</v>
          </cell>
          <cell r="O152">
            <v>25</v>
          </cell>
          <cell r="P152">
            <v>0.34</v>
          </cell>
          <cell r="Q152">
            <v>0</v>
          </cell>
          <cell r="R152">
            <v>672</v>
          </cell>
          <cell r="S152">
            <v>0</v>
          </cell>
          <cell r="T152">
            <v>240</v>
          </cell>
        </row>
        <row r="153">
          <cell r="A153">
            <v>599</v>
          </cell>
          <cell r="B153">
            <v>197</v>
          </cell>
          <cell r="C153" t="str">
            <v>LEITE CONDENSADO PIRACANJUBA TP 27X395GR</v>
          </cell>
          <cell r="D153">
            <v>117286.72</v>
          </cell>
          <cell r="E153">
            <v>2.75</v>
          </cell>
          <cell r="F153">
            <v>840</v>
          </cell>
          <cell r="G153">
            <v>0</v>
          </cell>
          <cell r="H153">
            <v>0</v>
          </cell>
          <cell r="I153">
            <v>0</v>
          </cell>
          <cell r="J153">
            <v>33050.370000000003</v>
          </cell>
          <cell r="K153">
            <v>0.43</v>
          </cell>
          <cell r="L153">
            <v>0</v>
          </cell>
          <cell r="M153">
            <v>0</v>
          </cell>
          <cell r="N153">
            <v>0</v>
          </cell>
          <cell r="O153">
            <v>126</v>
          </cell>
          <cell r="P153">
            <v>1.7</v>
          </cell>
          <cell r="Q153">
            <v>8904</v>
          </cell>
          <cell r="R153">
            <v>2088.1999999999998</v>
          </cell>
          <cell r="S153">
            <v>0</v>
          </cell>
          <cell r="T153">
            <v>0</v>
          </cell>
        </row>
        <row r="154">
          <cell r="A154">
            <v>597</v>
          </cell>
          <cell r="B154">
            <v>198</v>
          </cell>
          <cell r="C154" t="str">
            <v>LEITE CONDENSADO CEMIL TP CX\27X395GR</v>
          </cell>
          <cell r="D154">
            <v>56387.85</v>
          </cell>
          <cell r="E154">
            <v>1.32</v>
          </cell>
          <cell r="F154">
            <v>360</v>
          </cell>
          <cell r="G154">
            <v>0</v>
          </cell>
          <cell r="H154">
            <v>0</v>
          </cell>
          <cell r="I154">
            <v>0</v>
          </cell>
          <cell r="J154">
            <v>36300.080000000002</v>
          </cell>
          <cell r="K154">
            <v>0.48</v>
          </cell>
          <cell r="L154">
            <v>0</v>
          </cell>
          <cell r="M154">
            <v>0</v>
          </cell>
          <cell r="N154">
            <v>0</v>
          </cell>
          <cell r="O154">
            <v>110</v>
          </cell>
          <cell r="P154">
            <v>1.48</v>
          </cell>
          <cell r="Q154">
            <v>3816</v>
          </cell>
          <cell r="R154">
            <v>2098.8000000000002</v>
          </cell>
          <cell r="S154">
            <v>0</v>
          </cell>
          <cell r="T154">
            <v>0</v>
          </cell>
        </row>
        <row r="155">
          <cell r="A155">
            <v>596</v>
          </cell>
          <cell r="B155">
            <v>3</v>
          </cell>
          <cell r="C155" t="str">
            <v>LASANHA PRESUNTO\QUEIJO REZENDE CX\10X600GR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254.7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3</v>
          </cell>
          <cell r="P155">
            <v>0.04</v>
          </cell>
          <cell r="Q155">
            <v>0</v>
          </cell>
          <cell r="R155">
            <v>18</v>
          </cell>
          <cell r="S155">
            <v>0</v>
          </cell>
          <cell r="T155">
            <v>0</v>
          </cell>
        </row>
        <row r="156">
          <cell r="A156">
            <v>594</v>
          </cell>
          <cell r="B156">
            <v>5</v>
          </cell>
          <cell r="C156" t="str">
            <v>LASANHA FRANGO SEARA CX/10X600GR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671.3</v>
          </cell>
          <cell r="K156">
            <v>0.01</v>
          </cell>
          <cell r="L156">
            <v>0</v>
          </cell>
          <cell r="M156">
            <v>0</v>
          </cell>
          <cell r="N156">
            <v>0</v>
          </cell>
          <cell r="O156">
            <v>4</v>
          </cell>
          <cell r="P156">
            <v>0.05</v>
          </cell>
          <cell r="Q156">
            <v>0</v>
          </cell>
          <cell r="R156">
            <v>30</v>
          </cell>
          <cell r="S156">
            <v>0</v>
          </cell>
          <cell r="T156">
            <v>0</v>
          </cell>
        </row>
        <row r="157">
          <cell r="A157">
            <v>592</v>
          </cell>
          <cell r="B157">
            <v>1</v>
          </cell>
          <cell r="C157" t="str">
            <v>LASANHA FRANGO LEBON CX/10X600GR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110.74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1</v>
          </cell>
          <cell r="P157">
            <v>0.01</v>
          </cell>
          <cell r="Q157">
            <v>0</v>
          </cell>
          <cell r="R157">
            <v>6</v>
          </cell>
          <cell r="S157">
            <v>0</v>
          </cell>
          <cell r="T157">
            <v>0</v>
          </cell>
        </row>
        <row r="158">
          <cell r="A158">
            <v>591</v>
          </cell>
          <cell r="B158">
            <v>1</v>
          </cell>
          <cell r="C158" t="str">
            <v>LASANHA CALABRESA SEARA CX\10X600GR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135.24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1</v>
          </cell>
          <cell r="P158">
            <v>0.01</v>
          </cell>
          <cell r="Q158">
            <v>0</v>
          </cell>
          <cell r="R158">
            <v>6</v>
          </cell>
          <cell r="S158">
            <v>0</v>
          </cell>
          <cell r="T158">
            <v>0</v>
          </cell>
        </row>
        <row r="159">
          <cell r="A159">
            <v>590</v>
          </cell>
          <cell r="B159">
            <v>1</v>
          </cell>
          <cell r="C159" t="str">
            <v>LASANHA BOLONHESA SEARA CX\6X1KG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138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1</v>
          </cell>
          <cell r="P159">
            <v>0.01</v>
          </cell>
          <cell r="Q159">
            <v>0</v>
          </cell>
          <cell r="R159">
            <v>6</v>
          </cell>
          <cell r="S159">
            <v>0</v>
          </cell>
          <cell r="T159">
            <v>0</v>
          </cell>
        </row>
        <row r="160">
          <cell r="A160">
            <v>59</v>
          </cell>
          <cell r="B160">
            <v>65</v>
          </cell>
          <cell r="C160" t="str">
            <v>PEITO FRANGO INTERF.FREDINI CX/20KG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10883.3</v>
          </cell>
          <cell r="K160">
            <v>0.14000000000000001</v>
          </cell>
          <cell r="L160">
            <v>0</v>
          </cell>
          <cell r="M160">
            <v>0</v>
          </cell>
          <cell r="N160">
            <v>0</v>
          </cell>
          <cell r="O160">
            <v>10</v>
          </cell>
          <cell r="P160">
            <v>0.13</v>
          </cell>
          <cell r="Q160">
            <v>0</v>
          </cell>
          <cell r="R160">
            <v>1300</v>
          </cell>
          <cell r="S160">
            <v>0</v>
          </cell>
          <cell r="T160">
            <v>0</v>
          </cell>
        </row>
        <row r="161">
          <cell r="A161">
            <v>589</v>
          </cell>
          <cell r="B161">
            <v>4</v>
          </cell>
          <cell r="C161" t="str">
            <v>LASANHA BOLONHESA MENU SEARA  12X350G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425.52</v>
          </cell>
          <cell r="K161">
            <v>0.01</v>
          </cell>
          <cell r="L161">
            <v>0</v>
          </cell>
          <cell r="M161">
            <v>0</v>
          </cell>
          <cell r="N161">
            <v>0</v>
          </cell>
          <cell r="O161">
            <v>4</v>
          </cell>
          <cell r="P161">
            <v>0.05</v>
          </cell>
          <cell r="Q161">
            <v>0</v>
          </cell>
          <cell r="R161">
            <v>16.8</v>
          </cell>
          <cell r="S161">
            <v>0</v>
          </cell>
          <cell r="T161">
            <v>0</v>
          </cell>
        </row>
        <row r="162">
          <cell r="A162">
            <v>581</v>
          </cell>
          <cell r="B162">
            <v>5</v>
          </cell>
          <cell r="C162" t="str">
            <v>KETCHUP SACHE DAJUDA 192X7GR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98.3</v>
          </cell>
          <cell r="K162">
            <v>0</v>
          </cell>
          <cell r="L162">
            <v>58.5</v>
          </cell>
          <cell r="M162">
            <v>0.18</v>
          </cell>
          <cell r="N162">
            <v>3</v>
          </cell>
          <cell r="O162">
            <v>6</v>
          </cell>
          <cell r="P162">
            <v>0.08</v>
          </cell>
          <cell r="Q162">
            <v>0</v>
          </cell>
          <cell r="R162">
            <v>7.5</v>
          </cell>
          <cell r="S162">
            <v>0</v>
          </cell>
          <cell r="T162">
            <v>4.5</v>
          </cell>
        </row>
        <row r="163">
          <cell r="A163">
            <v>580</v>
          </cell>
          <cell r="B163">
            <v>7</v>
          </cell>
          <cell r="C163" t="str">
            <v>ISCAS FRANGO EMPA APIMEN SEARA CX/16X300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1232.1600000000001</v>
          </cell>
          <cell r="K163">
            <v>0.02</v>
          </cell>
          <cell r="L163">
            <v>0</v>
          </cell>
          <cell r="M163">
            <v>0</v>
          </cell>
          <cell r="N163">
            <v>0</v>
          </cell>
          <cell r="O163">
            <v>6</v>
          </cell>
          <cell r="P163">
            <v>0.08</v>
          </cell>
          <cell r="Q163">
            <v>0</v>
          </cell>
          <cell r="R163">
            <v>33.6</v>
          </cell>
          <cell r="S163">
            <v>0</v>
          </cell>
          <cell r="T163">
            <v>0</v>
          </cell>
        </row>
        <row r="164">
          <cell r="A164">
            <v>58</v>
          </cell>
          <cell r="B164">
            <v>23</v>
          </cell>
          <cell r="C164" t="str">
            <v>PEITO FRANGO INTER FRANCAP CX/20KG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3966.82</v>
          </cell>
          <cell r="K164">
            <v>0.05</v>
          </cell>
          <cell r="L164">
            <v>0</v>
          </cell>
          <cell r="M164">
            <v>0</v>
          </cell>
          <cell r="N164">
            <v>0</v>
          </cell>
          <cell r="O164">
            <v>7</v>
          </cell>
          <cell r="P164">
            <v>0.09</v>
          </cell>
          <cell r="Q164">
            <v>0</v>
          </cell>
          <cell r="R164">
            <v>460</v>
          </cell>
          <cell r="S164">
            <v>0</v>
          </cell>
          <cell r="T164">
            <v>0</v>
          </cell>
        </row>
        <row r="165">
          <cell r="A165">
            <v>579</v>
          </cell>
          <cell r="B165">
            <v>74</v>
          </cell>
          <cell r="C165" t="str">
            <v>IOGURTE YOGUEDES PETIT SUISSE  CX\12</v>
          </cell>
          <cell r="D165">
            <v>2162.9299999999998</v>
          </cell>
          <cell r="E165">
            <v>0.05</v>
          </cell>
          <cell r="F165">
            <v>40</v>
          </cell>
          <cell r="G165">
            <v>0</v>
          </cell>
          <cell r="H165">
            <v>0</v>
          </cell>
          <cell r="I165">
            <v>0</v>
          </cell>
          <cell r="J165">
            <v>4811.3999999999996</v>
          </cell>
          <cell r="K165">
            <v>0.06</v>
          </cell>
          <cell r="L165">
            <v>0</v>
          </cell>
          <cell r="M165">
            <v>0</v>
          </cell>
          <cell r="N165">
            <v>0</v>
          </cell>
          <cell r="O165">
            <v>62</v>
          </cell>
          <cell r="P165">
            <v>0.83</v>
          </cell>
          <cell r="Q165">
            <v>260</v>
          </cell>
          <cell r="R165">
            <v>481</v>
          </cell>
          <cell r="S165">
            <v>0</v>
          </cell>
          <cell r="T165">
            <v>0</v>
          </cell>
        </row>
        <row r="166">
          <cell r="A166">
            <v>578</v>
          </cell>
          <cell r="B166">
            <v>84</v>
          </cell>
          <cell r="C166" t="str">
            <v>IOGURTE YOGUEDES FD\6X900</v>
          </cell>
          <cell r="D166">
            <v>736.65</v>
          </cell>
          <cell r="E166">
            <v>0.02</v>
          </cell>
          <cell r="F166">
            <v>30</v>
          </cell>
          <cell r="G166">
            <v>0</v>
          </cell>
          <cell r="H166">
            <v>0</v>
          </cell>
          <cell r="I166">
            <v>0</v>
          </cell>
          <cell r="J166">
            <v>2892.4</v>
          </cell>
          <cell r="K166">
            <v>0.04</v>
          </cell>
          <cell r="L166">
            <v>0</v>
          </cell>
          <cell r="M166">
            <v>0</v>
          </cell>
          <cell r="N166">
            <v>0</v>
          </cell>
          <cell r="O166">
            <v>40</v>
          </cell>
          <cell r="P166">
            <v>0.54</v>
          </cell>
          <cell r="Q166">
            <v>162</v>
          </cell>
          <cell r="R166">
            <v>453.6</v>
          </cell>
          <cell r="S166">
            <v>0</v>
          </cell>
          <cell r="T166">
            <v>0</v>
          </cell>
        </row>
        <row r="167">
          <cell r="A167">
            <v>577</v>
          </cell>
          <cell r="B167">
            <v>99</v>
          </cell>
          <cell r="C167" t="str">
            <v>IOGURTE YOGUEDES FD\60X110ML</v>
          </cell>
          <cell r="D167">
            <v>1244.81</v>
          </cell>
          <cell r="E167">
            <v>0.03</v>
          </cell>
          <cell r="F167">
            <v>40</v>
          </cell>
          <cell r="G167">
            <v>0</v>
          </cell>
          <cell r="H167">
            <v>0</v>
          </cell>
          <cell r="I167">
            <v>0</v>
          </cell>
          <cell r="J167">
            <v>3804.06</v>
          </cell>
          <cell r="K167">
            <v>0.05</v>
          </cell>
          <cell r="L167">
            <v>0</v>
          </cell>
          <cell r="M167">
            <v>0</v>
          </cell>
          <cell r="N167">
            <v>0</v>
          </cell>
          <cell r="O167">
            <v>48</v>
          </cell>
          <cell r="P167">
            <v>0.65</v>
          </cell>
          <cell r="Q167">
            <v>264</v>
          </cell>
          <cell r="R167">
            <v>653.4</v>
          </cell>
          <cell r="S167">
            <v>0</v>
          </cell>
          <cell r="T167">
            <v>0</v>
          </cell>
        </row>
        <row r="168">
          <cell r="A168">
            <v>576</v>
          </cell>
          <cell r="B168">
            <v>23</v>
          </cell>
          <cell r="C168" t="str">
            <v>IOGURTE YOGUEDES FD\20X180</v>
          </cell>
          <cell r="D168">
            <v>786.58</v>
          </cell>
          <cell r="E168">
            <v>0.02</v>
          </cell>
          <cell r="F168">
            <v>30</v>
          </cell>
          <cell r="G168">
            <v>0</v>
          </cell>
          <cell r="H168">
            <v>0</v>
          </cell>
          <cell r="I168">
            <v>0</v>
          </cell>
          <cell r="J168">
            <v>901.7</v>
          </cell>
          <cell r="K168">
            <v>0.01</v>
          </cell>
          <cell r="L168">
            <v>0</v>
          </cell>
          <cell r="M168">
            <v>0</v>
          </cell>
          <cell r="N168">
            <v>0</v>
          </cell>
          <cell r="O168">
            <v>20</v>
          </cell>
          <cell r="P168">
            <v>0.27</v>
          </cell>
          <cell r="Q168">
            <v>108</v>
          </cell>
          <cell r="R168">
            <v>82.8</v>
          </cell>
          <cell r="S168">
            <v>0</v>
          </cell>
          <cell r="T168">
            <v>0</v>
          </cell>
        </row>
        <row r="169">
          <cell r="A169">
            <v>575</v>
          </cell>
          <cell r="B169">
            <v>284</v>
          </cell>
          <cell r="C169" t="str">
            <v>REQUEIJAO BISNAGA CRISTAULAT 1,5KG</v>
          </cell>
          <cell r="D169">
            <v>13637.64</v>
          </cell>
          <cell r="E169">
            <v>0.32</v>
          </cell>
          <cell r="F169">
            <v>368</v>
          </cell>
          <cell r="G169">
            <v>0</v>
          </cell>
          <cell r="H169">
            <v>0</v>
          </cell>
          <cell r="I169">
            <v>0</v>
          </cell>
          <cell r="J169">
            <v>13486.78</v>
          </cell>
          <cell r="K169">
            <v>0.18</v>
          </cell>
          <cell r="L169">
            <v>0</v>
          </cell>
          <cell r="M169">
            <v>0</v>
          </cell>
          <cell r="N169">
            <v>0</v>
          </cell>
          <cell r="O169">
            <v>57</v>
          </cell>
          <cell r="P169">
            <v>0.77</v>
          </cell>
          <cell r="Q169">
            <v>552</v>
          </cell>
          <cell r="R169">
            <v>426</v>
          </cell>
          <cell r="S169">
            <v>0</v>
          </cell>
          <cell r="T169">
            <v>0</v>
          </cell>
        </row>
        <row r="170">
          <cell r="A170">
            <v>574</v>
          </cell>
          <cell r="B170">
            <v>38</v>
          </cell>
          <cell r="C170" t="str">
            <v>IOGURTE YOGUEDES FD\12X450</v>
          </cell>
          <cell r="D170">
            <v>1214.99</v>
          </cell>
          <cell r="E170">
            <v>0.03</v>
          </cell>
          <cell r="F170">
            <v>40</v>
          </cell>
          <cell r="G170">
            <v>0</v>
          </cell>
          <cell r="H170">
            <v>0</v>
          </cell>
          <cell r="I170">
            <v>0</v>
          </cell>
          <cell r="J170">
            <v>1549.6</v>
          </cell>
          <cell r="K170">
            <v>0.02</v>
          </cell>
          <cell r="L170">
            <v>0</v>
          </cell>
          <cell r="M170">
            <v>0</v>
          </cell>
          <cell r="N170">
            <v>0</v>
          </cell>
          <cell r="O170">
            <v>26</v>
          </cell>
          <cell r="P170">
            <v>0.35</v>
          </cell>
          <cell r="Q170">
            <v>216</v>
          </cell>
          <cell r="R170">
            <v>205.2</v>
          </cell>
          <cell r="S170">
            <v>0</v>
          </cell>
          <cell r="T170">
            <v>0</v>
          </cell>
        </row>
        <row r="171">
          <cell r="A171">
            <v>573</v>
          </cell>
          <cell r="B171">
            <v>368</v>
          </cell>
          <cell r="C171" t="str">
            <v>IOGURTE TURMA MILK FD\60X110ML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10467.120000000001</v>
          </cell>
          <cell r="K171">
            <v>0.14000000000000001</v>
          </cell>
          <cell r="L171">
            <v>0</v>
          </cell>
          <cell r="M171">
            <v>0</v>
          </cell>
          <cell r="N171">
            <v>0</v>
          </cell>
          <cell r="O171">
            <v>182</v>
          </cell>
          <cell r="P171">
            <v>2.4500000000000002</v>
          </cell>
          <cell r="Q171">
            <v>0</v>
          </cell>
          <cell r="R171">
            <v>2428.8000000000002</v>
          </cell>
          <cell r="S171">
            <v>0</v>
          </cell>
          <cell r="T171">
            <v>0</v>
          </cell>
        </row>
        <row r="172">
          <cell r="A172">
            <v>572</v>
          </cell>
          <cell r="B172">
            <v>103</v>
          </cell>
          <cell r="C172" t="str">
            <v>IOGURTE TURMA MILK FD\10X180GR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1615.36</v>
          </cell>
          <cell r="K172">
            <v>0.02</v>
          </cell>
          <cell r="L172">
            <v>0</v>
          </cell>
          <cell r="M172">
            <v>0</v>
          </cell>
          <cell r="N172">
            <v>0</v>
          </cell>
          <cell r="O172">
            <v>68</v>
          </cell>
          <cell r="P172">
            <v>0.92</v>
          </cell>
          <cell r="Q172">
            <v>0</v>
          </cell>
          <cell r="R172">
            <v>185.4</v>
          </cell>
          <cell r="S172">
            <v>0</v>
          </cell>
          <cell r="T172">
            <v>0</v>
          </cell>
        </row>
        <row r="173">
          <cell r="A173">
            <v>571</v>
          </cell>
          <cell r="B173">
            <v>202</v>
          </cell>
          <cell r="C173" t="str">
            <v>IOGURTE TURMA MILK FD/6X850GR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6196.9</v>
          </cell>
          <cell r="K173">
            <v>0.08</v>
          </cell>
          <cell r="L173">
            <v>31</v>
          </cell>
          <cell r="M173">
            <v>0.09</v>
          </cell>
          <cell r="N173">
            <v>1</v>
          </cell>
          <cell r="O173">
            <v>106</v>
          </cell>
          <cell r="P173">
            <v>1.43</v>
          </cell>
          <cell r="Q173">
            <v>0</v>
          </cell>
          <cell r="R173">
            <v>1090.8</v>
          </cell>
          <cell r="S173">
            <v>0</v>
          </cell>
          <cell r="T173">
            <v>5.4</v>
          </cell>
        </row>
        <row r="174">
          <cell r="A174">
            <v>570</v>
          </cell>
          <cell r="B174">
            <v>125</v>
          </cell>
          <cell r="C174" t="str">
            <v>IOGURTE TURMA MILK FD/12X450GR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4209.2</v>
          </cell>
          <cell r="K174">
            <v>0.06</v>
          </cell>
          <cell r="L174">
            <v>34</v>
          </cell>
          <cell r="M174">
            <v>0.1</v>
          </cell>
          <cell r="N174">
            <v>1</v>
          </cell>
          <cell r="O174">
            <v>96</v>
          </cell>
          <cell r="P174">
            <v>1.29</v>
          </cell>
          <cell r="Q174">
            <v>0</v>
          </cell>
          <cell r="R174">
            <v>675</v>
          </cell>
          <cell r="S174">
            <v>0</v>
          </cell>
          <cell r="T174">
            <v>5.4</v>
          </cell>
        </row>
        <row r="175">
          <cell r="A175">
            <v>569</v>
          </cell>
          <cell r="B175">
            <v>9</v>
          </cell>
          <cell r="C175" t="str">
            <v>HOT HIT CHEDDAR SEARA CX\18X145G</v>
          </cell>
          <cell r="D175">
            <v>1645.87</v>
          </cell>
          <cell r="E175">
            <v>0.04</v>
          </cell>
          <cell r="F175">
            <v>20</v>
          </cell>
          <cell r="G175">
            <v>82.29</v>
          </cell>
          <cell r="H175">
            <v>0.5</v>
          </cell>
          <cell r="I175">
            <v>1</v>
          </cell>
          <cell r="J175">
            <v>936.11</v>
          </cell>
          <cell r="K175">
            <v>0.01</v>
          </cell>
          <cell r="L175">
            <v>0</v>
          </cell>
          <cell r="M175">
            <v>0</v>
          </cell>
          <cell r="N175">
            <v>0</v>
          </cell>
          <cell r="O175">
            <v>9</v>
          </cell>
          <cell r="P175">
            <v>0.12</v>
          </cell>
          <cell r="Q175">
            <v>52.2</v>
          </cell>
          <cell r="R175">
            <v>23.49</v>
          </cell>
          <cell r="S175">
            <v>2.61</v>
          </cell>
          <cell r="T175">
            <v>0</v>
          </cell>
        </row>
        <row r="176">
          <cell r="A176">
            <v>568</v>
          </cell>
          <cell r="B176">
            <v>25</v>
          </cell>
          <cell r="C176" t="str">
            <v>HOT HIT BARBECUE SEARA CX\18X145G</v>
          </cell>
          <cell r="D176">
            <v>822.93</v>
          </cell>
          <cell r="E176">
            <v>0.02</v>
          </cell>
          <cell r="F176">
            <v>10</v>
          </cell>
          <cell r="G176">
            <v>0</v>
          </cell>
          <cell r="H176">
            <v>0</v>
          </cell>
          <cell r="I176">
            <v>0</v>
          </cell>
          <cell r="J176">
            <v>1786.83</v>
          </cell>
          <cell r="K176">
            <v>0.02</v>
          </cell>
          <cell r="L176">
            <v>0</v>
          </cell>
          <cell r="M176">
            <v>0</v>
          </cell>
          <cell r="N176">
            <v>0</v>
          </cell>
          <cell r="O176">
            <v>26</v>
          </cell>
          <cell r="P176">
            <v>0.35</v>
          </cell>
          <cell r="Q176">
            <v>26.1</v>
          </cell>
          <cell r="R176">
            <v>65.25</v>
          </cell>
          <cell r="S176">
            <v>0</v>
          </cell>
          <cell r="T176">
            <v>0</v>
          </cell>
        </row>
        <row r="177">
          <cell r="A177">
            <v>566</v>
          </cell>
          <cell r="B177">
            <v>91</v>
          </cell>
          <cell r="C177" t="str">
            <v>HAMBURGUER SEARA TEXAS ENVELOPADO 36X56G</v>
          </cell>
          <cell r="D177">
            <v>16724.21</v>
          </cell>
          <cell r="E177">
            <v>0.39</v>
          </cell>
          <cell r="F177">
            <v>450</v>
          </cell>
          <cell r="G177">
            <v>0</v>
          </cell>
          <cell r="H177">
            <v>0</v>
          </cell>
          <cell r="I177">
            <v>0</v>
          </cell>
          <cell r="J177">
            <v>4037.67</v>
          </cell>
          <cell r="K177">
            <v>0.05</v>
          </cell>
          <cell r="L177">
            <v>0</v>
          </cell>
          <cell r="M177">
            <v>0</v>
          </cell>
          <cell r="N177">
            <v>0</v>
          </cell>
          <cell r="O177">
            <v>46</v>
          </cell>
          <cell r="P177">
            <v>0.62</v>
          </cell>
          <cell r="Q177">
            <v>907.2</v>
          </cell>
          <cell r="R177">
            <v>183.46</v>
          </cell>
          <cell r="S177">
            <v>0</v>
          </cell>
          <cell r="T177">
            <v>0</v>
          </cell>
        </row>
        <row r="178">
          <cell r="A178">
            <v>565</v>
          </cell>
          <cell r="B178">
            <v>204</v>
          </cell>
          <cell r="C178" t="str">
            <v>HAMBURGUER REZENDE ENVELOPADO 36X56GR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7706.16</v>
          </cell>
          <cell r="K178">
            <v>0.1</v>
          </cell>
          <cell r="L178">
            <v>150.91999999999999</v>
          </cell>
          <cell r="M178">
            <v>0.46</v>
          </cell>
          <cell r="N178">
            <v>4</v>
          </cell>
          <cell r="O178">
            <v>55</v>
          </cell>
          <cell r="P178">
            <v>0.74</v>
          </cell>
          <cell r="Q178">
            <v>0</v>
          </cell>
          <cell r="R178">
            <v>411.26</v>
          </cell>
          <cell r="S178">
            <v>0</v>
          </cell>
          <cell r="T178">
            <v>8.06</v>
          </cell>
        </row>
        <row r="179">
          <cell r="A179">
            <v>562</v>
          </cell>
          <cell r="B179">
            <v>21</v>
          </cell>
          <cell r="C179" t="str">
            <v>GORDURA VEGETAL PRIMOR 24X500GR</v>
          </cell>
          <cell r="D179">
            <v>7041.84</v>
          </cell>
          <cell r="E179">
            <v>0.17</v>
          </cell>
          <cell r="F179">
            <v>37</v>
          </cell>
          <cell r="G179">
            <v>0</v>
          </cell>
          <cell r="H179">
            <v>0</v>
          </cell>
          <cell r="I179">
            <v>0</v>
          </cell>
          <cell r="J179">
            <v>4802.3999999999996</v>
          </cell>
          <cell r="K179">
            <v>0.06</v>
          </cell>
          <cell r="L179">
            <v>0</v>
          </cell>
          <cell r="M179">
            <v>0</v>
          </cell>
          <cell r="N179">
            <v>0</v>
          </cell>
          <cell r="O179">
            <v>16</v>
          </cell>
          <cell r="P179">
            <v>0.22</v>
          </cell>
          <cell r="Q179">
            <v>444</v>
          </cell>
          <cell r="R179">
            <v>252</v>
          </cell>
          <cell r="S179">
            <v>0</v>
          </cell>
          <cell r="T179">
            <v>0</v>
          </cell>
        </row>
        <row r="180">
          <cell r="A180">
            <v>561</v>
          </cell>
          <cell r="B180">
            <v>27</v>
          </cell>
          <cell r="C180" t="str">
            <v>GOIABADA STELLA D´ORO CX\36X300G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3459.3</v>
          </cell>
          <cell r="K180">
            <v>0.05</v>
          </cell>
          <cell r="L180">
            <v>0</v>
          </cell>
          <cell r="M180">
            <v>0</v>
          </cell>
          <cell r="N180">
            <v>0</v>
          </cell>
          <cell r="O180">
            <v>26</v>
          </cell>
          <cell r="P180">
            <v>0.35</v>
          </cell>
          <cell r="Q180">
            <v>0</v>
          </cell>
          <cell r="R180">
            <v>291.60000000000002</v>
          </cell>
          <cell r="S180">
            <v>0</v>
          </cell>
          <cell r="T180">
            <v>0</v>
          </cell>
        </row>
        <row r="181">
          <cell r="A181">
            <v>559</v>
          </cell>
          <cell r="B181">
            <v>403</v>
          </cell>
          <cell r="C181" t="str">
            <v>GALINHA LEVE SABOROSA CX\15KG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42329.2</v>
          </cell>
          <cell r="K181">
            <v>0.55000000000000004</v>
          </cell>
          <cell r="L181">
            <v>0</v>
          </cell>
          <cell r="M181">
            <v>0</v>
          </cell>
          <cell r="N181">
            <v>0</v>
          </cell>
          <cell r="O181">
            <v>221</v>
          </cell>
          <cell r="P181">
            <v>2.98</v>
          </cell>
          <cell r="Q181">
            <v>0</v>
          </cell>
          <cell r="R181">
            <v>6045</v>
          </cell>
          <cell r="S181">
            <v>0</v>
          </cell>
          <cell r="T181">
            <v>0</v>
          </cell>
        </row>
        <row r="182">
          <cell r="A182">
            <v>557</v>
          </cell>
          <cell r="B182">
            <v>1</v>
          </cell>
          <cell r="C182" t="str">
            <v>FRUTA CRISTALIZADA POTE TOZZI 12X200GR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45.52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1</v>
          </cell>
          <cell r="P182">
            <v>0.01</v>
          </cell>
          <cell r="Q182">
            <v>0</v>
          </cell>
          <cell r="R182">
            <v>3</v>
          </cell>
          <cell r="S182">
            <v>0</v>
          </cell>
          <cell r="T182">
            <v>0</v>
          </cell>
        </row>
        <row r="183">
          <cell r="A183">
            <v>551</v>
          </cell>
          <cell r="B183">
            <v>1876</v>
          </cell>
          <cell r="C183" t="str">
            <v>FRANGO CONG.ATALAIA CX/20KG</v>
          </cell>
          <cell r="D183">
            <v>164913.65</v>
          </cell>
          <cell r="E183">
            <v>3.86</v>
          </cell>
          <cell r="F183">
            <v>1200</v>
          </cell>
          <cell r="G183">
            <v>0</v>
          </cell>
          <cell r="H183">
            <v>0</v>
          </cell>
          <cell r="I183">
            <v>0</v>
          </cell>
          <cell r="J183">
            <v>286782.57</v>
          </cell>
          <cell r="K183">
            <v>3.75</v>
          </cell>
          <cell r="L183">
            <v>2441.4899999999998</v>
          </cell>
          <cell r="M183">
            <v>7.42</v>
          </cell>
          <cell r="N183">
            <v>16</v>
          </cell>
          <cell r="O183">
            <v>556</v>
          </cell>
          <cell r="P183">
            <v>7.49</v>
          </cell>
          <cell r="Q183">
            <v>24000</v>
          </cell>
          <cell r="R183">
            <v>37520</v>
          </cell>
          <cell r="S183">
            <v>0</v>
          </cell>
          <cell r="T183">
            <v>320</v>
          </cell>
        </row>
        <row r="184">
          <cell r="A184">
            <v>550</v>
          </cell>
          <cell r="B184">
            <v>13</v>
          </cell>
          <cell r="C184" t="str">
            <v>FRANGO CAIPIRA NHO BENTO CX/18KG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3741.77</v>
          </cell>
          <cell r="K184">
            <v>0.05</v>
          </cell>
          <cell r="L184">
            <v>0</v>
          </cell>
          <cell r="M184">
            <v>0</v>
          </cell>
          <cell r="N184">
            <v>0</v>
          </cell>
          <cell r="O184">
            <v>11</v>
          </cell>
          <cell r="P184">
            <v>0.15</v>
          </cell>
          <cell r="Q184">
            <v>0</v>
          </cell>
          <cell r="R184">
            <v>234</v>
          </cell>
          <cell r="S184">
            <v>0</v>
          </cell>
          <cell r="T184">
            <v>0</v>
          </cell>
        </row>
        <row r="185">
          <cell r="A185">
            <v>55</v>
          </cell>
          <cell r="B185">
            <v>276</v>
          </cell>
          <cell r="C185" t="str">
            <v>PEITO FRANGO PCT FRANCAP CX\20KG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48010.34</v>
          </cell>
          <cell r="K185">
            <v>0.63</v>
          </cell>
          <cell r="L185">
            <v>350.96</v>
          </cell>
          <cell r="M185">
            <v>1.07</v>
          </cell>
          <cell r="N185">
            <v>2</v>
          </cell>
          <cell r="O185">
            <v>165</v>
          </cell>
          <cell r="P185">
            <v>2.2200000000000002</v>
          </cell>
          <cell r="Q185">
            <v>0</v>
          </cell>
          <cell r="R185">
            <v>5520</v>
          </cell>
          <cell r="S185">
            <v>0</v>
          </cell>
          <cell r="T185">
            <v>40</v>
          </cell>
        </row>
        <row r="186">
          <cell r="A186">
            <v>549</v>
          </cell>
          <cell r="B186">
            <v>9</v>
          </cell>
          <cell r="C186" t="str">
            <v>FRANGO CAIPIRA CORTADO NHO BENTO CX/18KG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2681.1</v>
          </cell>
          <cell r="K186">
            <v>0.04</v>
          </cell>
          <cell r="L186">
            <v>0</v>
          </cell>
          <cell r="M186">
            <v>0</v>
          </cell>
          <cell r="N186">
            <v>0</v>
          </cell>
          <cell r="O186">
            <v>9</v>
          </cell>
          <cell r="P186">
            <v>0.12</v>
          </cell>
          <cell r="Q186">
            <v>0</v>
          </cell>
          <cell r="R186">
            <v>162</v>
          </cell>
          <cell r="S186">
            <v>0</v>
          </cell>
          <cell r="T186">
            <v>0</v>
          </cell>
        </row>
        <row r="187">
          <cell r="A187">
            <v>546</v>
          </cell>
          <cell r="B187">
            <v>11</v>
          </cell>
          <cell r="C187" t="str">
            <v>FILEZINHO SASSAMI BANDEJA SEARA CX\12KG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2243.34</v>
          </cell>
          <cell r="K187">
            <v>0.03</v>
          </cell>
          <cell r="L187">
            <v>407.88</v>
          </cell>
          <cell r="M187">
            <v>1.24</v>
          </cell>
          <cell r="N187">
            <v>2</v>
          </cell>
          <cell r="O187">
            <v>11</v>
          </cell>
          <cell r="P187">
            <v>0.15</v>
          </cell>
          <cell r="Q187">
            <v>0</v>
          </cell>
          <cell r="R187">
            <v>132</v>
          </cell>
          <cell r="S187">
            <v>0</v>
          </cell>
          <cell r="T187">
            <v>24</v>
          </cell>
        </row>
        <row r="188">
          <cell r="A188">
            <v>544</v>
          </cell>
          <cell r="B188">
            <v>4</v>
          </cell>
          <cell r="C188" t="str">
            <v>FILEZINHO EMPANADO SEARA CX\12X400G</v>
          </cell>
          <cell r="D188">
            <v>4658.3999999999996</v>
          </cell>
          <cell r="E188">
            <v>0.11</v>
          </cell>
          <cell r="F188">
            <v>30</v>
          </cell>
          <cell r="G188">
            <v>0</v>
          </cell>
          <cell r="H188">
            <v>0</v>
          </cell>
          <cell r="I188">
            <v>0</v>
          </cell>
          <cell r="J188">
            <v>742.84</v>
          </cell>
          <cell r="K188">
            <v>0.01</v>
          </cell>
          <cell r="L188">
            <v>0</v>
          </cell>
          <cell r="M188">
            <v>0</v>
          </cell>
          <cell r="N188">
            <v>0</v>
          </cell>
          <cell r="O188">
            <v>5</v>
          </cell>
          <cell r="P188">
            <v>7.0000000000000007E-2</v>
          </cell>
          <cell r="Q188">
            <v>144</v>
          </cell>
          <cell r="R188">
            <v>19.2</v>
          </cell>
          <cell r="S188">
            <v>0</v>
          </cell>
          <cell r="T188">
            <v>0</v>
          </cell>
        </row>
        <row r="189">
          <cell r="A189">
            <v>54</v>
          </cell>
          <cell r="B189">
            <v>586</v>
          </cell>
          <cell r="C189" t="str">
            <v>PEITO FRANGO PCT FREDINI CX\20KG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99586.32</v>
          </cell>
          <cell r="K189">
            <v>1.3</v>
          </cell>
          <cell r="L189">
            <v>345.4</v>
          </cell>
          <cell r="M189">
            <v>1.05</v>
          </cell>
          <cell r="N189">
            <v>2</v>
          </cell>
          <cell r="O189">
            <v>291</v>
          </cell>
          <cell r="P189">
            <v>3.92</v>
          </cell>
          <cell r="Q189">
            <v>0</v>
          </cell>
          <cell r="R189">
            <v>11720</v>
          </cell>
          <cell r="S189">
            <v>0</v>
          </cell>
          <cell r="T189">
            <v>40</v>
          </cell>
        </row>
        <row r="190">
          <cell r="A190">
            <v>534</v>
          </cell>
          <cell r="B190">
            <v>8</v>
          </cell>
          <cell r="C190" t="str">
            <v>ERVILHA CONGELADA SEARA CX/18X300G</v>
          </cell>
          <cell r="D190">
            <v>2726.46</v>
          </cell>
          <cell r="E190">
            <v>0.06</v>
          </cell>
          <cell r="F190">
            <v>30</v>
          </cell>
          <cell r="G190">
            <v>0</v>
          </cell>
          <cell r="H190">
            <v>0</v>
          </cell>
          <cell r="I190">
            <v>0</v>
          </cell>
          <cell r="J190">
            <v>878.08</v>
          </cell>
          <cell r="K190">
            <v>0.01</v>
          </cell>
          <cell r="L190">
            <v>329.28</v>
          </cell>
          <cell r="M190">
            <v>1</v>
          </cell>
          <cell r="N190">
            <v>3</v>
          </cell>
          <cell r="O190">
            <v>7</v>
          </cell>
          <cell r="P190">
            <v>0.09</v>
          </cell>
          <cell r="Q190">
            <v>162</v>
          </cell>
          <cell r="R190">
            <v>43.2</v>
          </cell>
          <cell r="S190">
            <v>0</v>
          </cell>
          <cell r="T190">
            <v>16.2</v>
          </cell>
        </row>
        <row r="191">
          <cell r="A191">
            <v>531</v>
          </cell>
          <cell r="B191">
            <v>263</v>
          </cell>
          <cell r="C191" t="str">
            <v>CREME DE LEITE QUATA CX\27X200GR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17633.400000000001</v>
          </cell>
          <cell r="K191">
            <v>0.23</v>
          </cell>
          <cell r="L191">
            <v>0</v>
          </cell>
          <cell r="M191">
            <v>0</v>
          </cell>
          <cell r="N191">
            <v>0</v>
          </cell>
          <cell r="O191">
            <v>137</v>
          </cell>
          <cell r="P191">
            <v>1.84</v>
          </cell>
          <cell r="Q191">
            <v>0</v>
          </cell>
          <cell r="R191">
            <v>1420.2</v>
          </cell>
          <cell r="S191">
            <v>0</v>
          </cell>
          <cell r="T191">
            <v>0</v>
          </cell>
        </row>
        <row r="192">
          <cell r="A192">
            <v>530</v>
          </cell>
          <cell r="B192">
            <v>194</v>
          </cell>
          <cell r="C192" t="str">
            <v>CREME DE LEITE PIRACANJUBA  CX/27X200G</v>
          </cell>
          <cell r="D192">
            <v>93120.99</v>
          </cell>
          <cell r="E192">
            <v>2.1800000000000002</v>
          </cell>
          <cell r="F192">
            <v>1440</v>
          </cell>
          <cell r="G192">
            <v>0</v>
          </cell>
          <cell r="H192">
            <v>0</v>
          </cell>
          <cell r="I192">
            <v>0</v>
          </cell>
          <cell r="J192">
            <v>15184.78</v>
          </cell>
          <cell r="K192">
            <v>0.2</v>
          </cell>
          <cell r="L192">
            <v>0</v>
          </cell>
          <cell r="M192">
            <v>0</v>
          </cell>
          <cell r="N192">
            <v>0</v>
          </cell>
          <cell r="O192">
            <v>100</v>
          </cell>
          <cell r="P192">
            <v>1.35</v>
          </cell>
          <cell r="Q192">
            <v>7776</v>
          </cell>
          <cell r="R192">
            <v>1047.5999999999999</v>
          </cell>
          <cell r="S192">
            <v>0</v>
          </cell>
          <cell r="T192">
            <v>0</v>
          </cell>
        </row>
        <row r="193">
          <cell r="A193">
            <v>53</v>
          </cell>
          <cell r="B193">
            <v>315</v>
          </cell>
          <cell r="C193" t="str">
            <v>FRANGO CONG.SEARA CX/20KG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63558.44</v>
          </cell>
          <cell r="K193">
            <v>0.83</v>
          </cell>
          <cell r="L193">
            <v>403.76</v>
          </cell>
          <cell r="M193">
            <v>1.23</v>
          </cell>
          <cell r="N193">
            <v>2</v>
          </cell>
          <cell r="O193">
            <v>95</v>
          </cell>
          <cell r="P193">
            <v>1.28</v>
          </cell>
          <cell r="Q193">
            <v>0</v>
          </cell>
          <cell r="R193">
            <v>6300</v>
          </cell>
          <cell r="S193">
            <v>0</v>
          </cell>
          <cell r="T193">
            <v>40</v>
          </cell>
        </row>
        <row r="194">
          <cell r="A194">
            <v>528</v>
          </cell>
          <cell r="B194">
            <v>135</v>
          </cell>
          <cell r="C194" t="str">
            <v>CREME DE LEITE CEMIL CX\27X200GR</v>
          </cell>
          <cell r="D194">
            <v>12010.08</v>
          </cell>
          <cell r="E194">
            <v>0.28000000000000003</v>
          </cell>
          <cell r="F194">
            <v>165</v>
          </cell>
          <cell r="G194">
            <v>0</v>
          </cell>
          <cell r="H194">
            <v>0</v>
          </cell>
          <cell r="I194">
            <v>0</v>
          </cell>
          <cell r="J194">
            <v>11896.13</v>
          </cell>
          <cell r="K194">
            <v>0.16</v>
          </cell>
          <cell r="L194">
            <v>0</v>
          </cell>
          <cell r="M194">
            <v>0</v>
          </cell>
          <cell r="N194">
            <v>0</v>
          </cell>
          <cell r="O194">
            <v>66</v>
          </cell>
          <cell r="P194">
            <v>0.89</v>
          </cell>
          <cell r="Q194">
            <v>891</v>
          </cell>
          <cell r="R194">
            <v>729</v>
          </cell>
          <cell r="S194">
            <v>0</v>
          </cell>
          <cell r="T194">
            <v>0</v>
          </cell>
        </row>
        <row r="195">
          <cell r="A195">
            <v>521</v>
          </cell>
          <cell r="B195">
            <v>368</v>
          </cell>
          <cell r="C195" t="str">
            <v>COXA SOBRECOXA INTERF FREDINI CX 20KG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53596.68</v>
          </cell>
          <cell r="K195">
            <v>0.7</v>
          </cell>
          <cell r="L195">
            <v>0</v>
          </cell>
          <cell r="M195">
            <v>0</v>
          </cell>
          <cell r="N195">
            <v>0</v>
          </cell>
          <cell r="O195">
            <v>66</v>
          </cell>
          <cell r="P195">
            <v>0.89</v>
          </cell>
          <cell r="Q195">
            <v>0</v>
          </cell>
          <cell r="R195">
            <v>7360</v>
          </cell>
          <cell r="S195">
            <v>0</v>
          </cell>
          <cell r="T195">
            <v>0</v>
          </cell>
        </row>
        <row r="196">
          <cell r="A196">
            <v>52</v>
          </cell>
          <cell r="B196">
            <v>282</v>
          </cell>
          <cell r="C196" t="str">
            <v>FRANGO CONG.FRIALL CX/20KG</v>
          </cell>
          <cell r="D196">
            <v>299108.08</v>
          </cell>
          <cell r="E196">
            <v>7.01</v>
          </cell>
          <cell r="F196">
            <v>2000</v>
          </cell>
          <cell r="G196">
            <v>0</v>
          </cell>
          <cell r="H196">
            <v>0</v>
          </cell>
          <cell r="I196">
            <v>0</v>
          </cell>
          <cell r="J196">
            <v>48646.84</v>
          </cell>
          <cell r="K196">
            <v>0.64</v>
          </cell>
          <cell r="L196">
            <v>0</v>
          </cell>
          <cell r="M196">
            <v>0</v>
          </cell>
          <cell r="N196">
            <v>0</v>
          </cell>
          <cell r="O196">
            <v>96</v>
          </cell>
          <cell r="P196">
            <v>1.29</v>
          </cell>
          <cell r="Q196">
            <v>40000</v>
          </cell>
          <cell r="R196">
            <v>5640</v>
          </cell>
          <cell r="S196">
            <v>0</v>
          </cell>
          <cell r="T196">
            <v>0</v>
          </cell>
        </row>
        <row r="197">
          <cell r="A197">
            <v>516</v>
          </cell>
          <cell r="B197">
            <v>44</v>
          </cell>
          <cell r="C197" t="str">
            <v>COXA SOBRECOXA BANDEJA RIVELLI 12X1KG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5400.81</v>
          </cell>
          <cell r="K197">
            <v>7.0000000000000007E-2</v>
          </cell>
          <cell r="L197">
            <v>0</v>
          </cell>
          <cell r="M197">
            <v>0</v>
          </cell>
          <cell r="N197">
            <v>0</v>
          </cell>
          <cell r="O197">
            <v>33</v>
          </cell>
          <cell r="P197">
            <v>0.44</v>
          </cell>
          <cell r="Q197">
            <v>0</v>
          </cell>
          <cell r="R197">
            <v>528</v>
          </cell>
          <cell r="S197">
            <v>0</v>
          </cell>
          <cell r="T197">
            <v>0</v>
          </cell>
        </row>
        <row r="198">
          <cell r="A198">
            <v>514</v>
          </cell>
          <cell r="B198">
            <v>100</v>
          </cell>
          <cell r="C198" t="str">
            <v>COXA INTERFOLHADA PIF PAF CX/20KG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13993.05</v>
          </cell>
          <cell r="K198">
            <v>0.18</v>
          </cell>
          <cell r="L198">
            <v>139.88999999999999</v>
          </cell>
          <cell r="M198">
            <v>0.42</v>
          </cell>
          <cell r="N198">
            <v>1</v>
          </cell>
          <cell r="O198">
            <v>36</v>
          </cell>
          <cell r="P198">
            <v>0.48</v>
          </cell>
          <cell r="Q198">
            <v>0</v>
          </cell>
          <cell r="R198">
            <v>2000</v>
          </cell>
          <cell r="S198">
            <v>0</v>
          </cell>
          <cell r="T198">
            <v>20</v>
          </cell>
        </row>
        <row r="199">
          <cell r="A199">
            <v>51</v>
          </cell>
          <cell r="B199">
            <v>1360</v>
          </cell>
          <cell r="C199" t="str">
            <v>FRANGO CONG.FRANCAP CX/20KG</v>
          </cell>
          <cell r="D199">
            <v>198058.06</v>
          </cell>
          <cell r="E199">
            <v>4.6399999999999997</v>
          </cell>
          <cell r="F199">
            <v>1400</v>
          </cell>
          <cell r="G199">
            <v>0</v>
          </cell>
          <cell r="H199">
            <v>0</v>
          </cell>
          <cell r="I199">
            <v>0</v>
          </cell>
          <cell r="J199">
            <v>208710.18</v>
          </cell>
          <cell r="K199">
            <v>2.73</v>
          </cell>
          <cell r="L199">
            <v>759.45</v>
          </cell>
          <cell r="M199">
            <v>2.31</v>
          </cell>
          <cell r="N199">
            <v>5</v>
          </cell>
          <cell r="O199">
            <v>486</v>
          </cell>
          <cell r="P199">
            <v>6.54</v>
          </cell>
          <cell r="Q199">
            <v>28000</v>
          </cell>
          <cell r="R199">
            <v>27200</v>
          </cell>
          <cell r="S199">
            <v>0</v>
          </cell>
          <cell r="T199">
            <v>100</v>
          </cell>
        </row>
        <row r="200">
          <cell r="A200">
            <v>50</v>
          </cell>
          <cell r="B200">
            <v>144</v>
          </cell>
          <cell r="C200" t="str">
            <v>FILEZINHO SASSAMI ENVELOPADO FRANCAP CX\20KG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40454.29</v>
          </cell>
          <cell r="K200">
            <v>0.53</v>
          </cell>
          <cell r="L200">
            <v>559.78</v>
          </cell>
          <cell r="M200">
            <v>1.7</v>
          </cell>
          <cell r="N200">
            <v>2</v>
          </cell>
          <cell r="O200">
            <v>76</v>
          </cell>
          <cell r="P200">
            <v>1.02</v>
          </cell>
          <cell r="Q200">
            <v>0</v>
          </cell>
          <cell r="R200">
            <v>2880</v>
          </cell>
          <cell r="S200">
            <v>0</v>
          </cell>
          <cell r="T200">
            <v>40</v>
          </cell>
        </row>
        <row r="201">
          <cell r="A201">
            <v>499</v>
          </cell>
          <cell r="B201">
            <v>256.97000000000003</v>
          </cell>
          <cell r="C201" t="str">
            <v>CONTRA FILE GRILL BOVINO FRIGODIAS KG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12588.95</v>
          </cell>
          <cell r="K201">
            <v>0.16</v>
          </cell>
          <cell r="L201">
            <v>0</v>
          </cell>
          <cell r="M201">
            <v>0</v>
          </cell>
          <cell r="N201">
            <v>0</v>
          </cell>
          <cell r="O201">
            <v>11</v>
          </cell>
          <cell r="P201">
            <v>0.15</v>
          </cell>
          <cell r="Q201">
            <v>0</v>
          </cell>
          <cell r="R201">
            <v>256.97000000000003</v>
          </cell>
          <cell r="S201">
            <v>0</v>
          </cell>
          <cell r="T201">
            <v>0</v>
          </cell>
        </row>
        <row r="202">
          <cell r="A202">
            <v>498</v>
          </cell>
          <cell r="B202">
            <v>16</v>
          </cell>
          <cell r="C202" t="str">
            <v>COCO RALADO MENINA CX/48X50GR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1282.81</v>
          </cell>
          <cell r="K202">
            <v>0.02</v>
          </cell>
          <cell r="L202">
            <v>0</v>
          </cell>
          <cell r="M202">
            <v>0</v>
          </cell>
          <cell r="N202">
            <v>0</v>
          </cell>
          <cell r="O202">
            <v>15</v>
          </cell>
          <cell r="P202">
            <v>0.2</v>
          </cell>
          <cell r="Q202">
            <v>0</v>
          </cell>
          <cell r="R202">
            <v>38.4</v>
          </cell>
          <cell r="S202">
            <v>0</v>
          </cell>
          <cell r="T202">
            <v>0</v>
          </cell>
        </row>
        <row r="203">
          <cell r="A203">
            <v>496</v>
          </cell>
          <cell r="B203">
            <v>2</v>
          </cell>
          <cell r="C203" t="str">
            <v>CHICKEN SUPREME BURGER SEARA CX/3X2KG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358</v>
          </cell>
          <cell r="K203">
            <v>0</v>
          </cell>
          <cell r="L203">
            <v>358</v>
          </cell>
          <cell r="M203">
            <v>1.0900000000000001</v>
          </cell>
          <cell r="N203">
            <v>2</v>
          </cell>
          <cell r="O203">
            <v>1</v>
          </cell>
          <cell r="P203">
            <v>0.01</v>
          </cell>
          <cell r="Q203">
            <v>0</v>
          </cell>
          <cell r="R203">
            <v>12</v>
          </cell>
          <cell r="S203">
            <v>0</v>
          </cell>
          <cell r="T203">
            <v>12</v>
          </cell>
        </row>
        <row r="204">
          <cell r="A204">
            <v>494</v>
          </cell>
          <cell r="B204">
            <v>11</v>
          </cell>
          <cell r="C204" t="str">
            <v>CHICKEN CRISPY SEARA CX/16X300GR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1590.05</v>
          </cell>
          <cell r="K204">
            <v>0.02</v>
          </cell>
          <cell r="L204">
            <v>0</v>
          </cell>
          <cell r="M204">
            <v>0</v>
          </cell>
          <cell r="N204">
            <v>0</v>
          </cell>
          <cell r="O204">
            <v>11</v>
          </cell>
          <cell r="P204">
            <v>0.15</v>
          </cell>
          <cell r="Q204">
            <v>0</v>
          </cell>
          <cell r="R204">
            <v>52.8</v>
          </cell>
          <cell r="S204">
            <v>0</v>
          </cell>
          <cell r="T204">
            <v>0</v>
          </cell>
        </row>
        <row r="205">
          <cell r="A205">
            <v>493</v>
          </cell>
          <cell r="B205">
            <v>1</v>
          </cell>
          <cell r="C205" t="str">
            <v>CHICKEN CRISPY QUEIJO SEARA CX\16X300G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131.81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1</v>
          </cell>
          <cell r="P205">
            <v>0.01</v>
          </cell>
          <cell r="Q205">
            <v>0</v>
          </cell>
          <cell r="R205">
            <v>4.8</v>
          </cell>
          <cell r="S205">
            <v>0</v>
          </cell>
          <cell r="T205">
            <v>0</v>
          </cell>
        </row>
        <row r="206">
          <cell r="A206">
            <v>492</v>
          </cell>
          <cell r="B206">
            <v>6</v>
          </cell>
          <cell r="C206" t="str">
            <v>CHICKEN BITS REZENDE CX\5X1KG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412.76</v>
          </cell>
          <cell r="K206">
            <v>0.01</v>
          </cell>
          <cell r="L206">
            <v>0</v>
          </cell>
          <cell r="M206">
            <v>0</v>
          </cell>
          <cell r="N206">
            <v>0</v>
          </cell>
          <cell r="O206">
            <v>3</v>
          </cell>
          <cell r="P206">
            <v>0.04</v>
          </cell>
          <cell r="Q206">
            <v>0</v>
          </cell>
          <cell r="R206">
            <v>30</v>
          </cell>
          <cell r="S206">
            <v>0</v>
          </cell>
          <cell r="T206">
            <v>0</v>
          </cell>
        </row>
        <row r="207">
          <cell r="A207">
            <v>491</v>
          </cell>
          <cell r="B207">
            <v>3</v>
          </cell>
          <cell r="C207" t="str">
            <v>CHICKEN BITS REZENDE CX/16X300GR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251.6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3</v>
          </cell>
          <cell r="P207">
            <v>0.04</v>
          </cell>
          <cell r="Q207">
            <v>0</v>
          </cell>
          <cell r="R207">
            <v>14.4</v>
          </cell>
          <cell r="S207">
            <v>0</v>
          </cell>
          <cell r="T207">
            <v>0</v>
          </cell>
        </row>
        <row r="208">
          <cell r="A208">
            <v>489</v>
          </cell>
          <cell r="B208">
            <v>811.53</v>
          </cell>
          <cell r="C208" t="str">
            <v>CARRE SUINO AURORA KG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10481.219999999999</v>
          </cell>
          <cell r="K208">
            <v>0.14000000000000001</v>
          </cell>
          <cell r="L208">
            <v>0</v>
          </cell>
          <cell r="M208">
            <v>0</v>
          </cell>
          <cell r="N208">
            <v>0</v>
          </cell>
          <cell r="O208">
            <v>14</v>
          </cell>
          <cell r="P208">
            <v>0.19</v>
          </cell>
          <cell r="Q208">
            <v>0</v>
          </cell>
          <cell r="R208">
            <v>811.53</v>
          </cell>
          <cell r="S208">
            <v>0</v>
          </cell>
          <cell r="T208">
            <v>0</v>
          </cell>
        </row>
        <row r="209">
          <cell r="A209">
            <v>485</v>
          </cell>
          <cell r="B209">
            <v>820.72</v>
          </cell>
          <cell r="C209" t="str">
            <v>CAPA CONTRA FILE BOVINA FRIGODIAS KG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24412.65</v>
          </cell>
          <cell r="K209">
            <v>0.32</v>
          </cell>
          <cell r="L209">
            <v>0</v>
          </cell>
          <cell r="M209">
            <v>0</v>
          </cell>
          <cell r="N209">
            <v>0</v>
          </cell>
          <cell r="O209">
            <v>34</v>
          </cell>
          <cell r="P209">
            <v>0.46</v>
          </cell>
          <cell r="Q209">
            <v>0</v>
          </cell>
          <cell r="R209">
            <v>820.72</v>
          </cell>
          <cell r="S209">
            <v>0</v>
          </cell>
          <cell r="T209">
            <v>0</v>
          </cell>
        </row>
        <row r="210">
          <cell r="A210">
            <v>482</v>
          </cell>
          <cell r="B210">
            <v>5</v>
          </cell>
          <cell r="C210" t="str">
            <v>BROCOLIS FLORETE NATURE SEARA CX/10X1,05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922.5</v>
          </cell>
          <cell r="K210">
            <v>0.01</v>
          </cell>
          <cell r="L210">
            <v>0</v>
          </cell>
          <cell r="M210">
            <v>0</v>
          </cell>
          <cell r="N210">
            <v>0</v>
          </cell>
          <cell r="O210">
            <v>3</v>
          </cell>
          <cell r="P210">
            <v>0.04</v>
          </cell>
          <cell r="Q210">
            <v>0</v>
          </cell>
          <cell r="R210">
            <v>52.5</v>
          </cell>
          <cell r="S210">
            <v>0</v>
          </cell>
          <cell r="T210">
            <v>0</v>
          </cell>
        </row>
        <row r="211">
          <cell r="A211">
            <v>48</v>
          </cell>
          <cell r="B211">
            <v>142</v>
          </cell>
          <cell r="C211" t="str">
            <v>FILEZINHO SASSAMI INTERFOLHADO LAR 18KG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33203.86</v>
          </cell>
          <cell r="K211">
            <v>0.43</v>
          </cell>
          <cell r="L211">
            <v>0</v>
          </cell>
          <cell r="M211">
            <v>0</v>
          </cell>
          <cell r="N211">
            <v>0</v>
          </cell>
          <cell r="O211">
            <v>30</v>
          </cell>
          <cell r="P211">
            <v>0.4</v>
          </cell>
          <cell r="Q211">
            <v>0</v>
          </cell>
          <cell r="R211">
            <v>2556</v>
          </cell>
          <cell r="S211">
            <v>0</v>
          </cell>
          <cell r="T211">
            <v>0</v>
          </cell>
        </row>
        <row r="212">
          <cell r="A212">
            <v>479</v>
          </cell>
          <cell r="B212">
            <v>14</v>
          </cell>
          <cell r="C212" t="str">
            <v>BEB.LACTEA SUCOMILHO CEMIL 27X200ML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412</v>
          </cell>
          <cell r="K212">
            <v>0.01</v>
          </cell>
          <cell r="L212">
            <v>29.3</v>
          </cell>
          <cell r="M212">
            <v>0.09</v>
          </cell>
          <cell r="N212">
            <v>1</v>
          </cell>
          <cell r="O212">
            <v>12</v>
          </cell>
          <cell r="P212">
            <v>0.16</v>
          </cell>
          <cell r="Q212">
            <v>0</v>
          </cell>
          <cell r="R212">
            <v>75.599999999999994</v>
          </cell>
          <cell r="S212">
            <v>0</v>
          </cell>
          <cell r="T212">
            <v>5.4</v>
          </cell>
        </row>
        <row r="213">
          <cell r="A213">
            <v>478</v>
          </cell>
          <cell r="B213">
            <v>67</v>
          </cell>
          <cell r="C213" t="str">
            <v>BEB.LACTEA MORANGO IBITURUNA 27X200ML</v>
          </cell>
          <cell r="D213">
            <v>4217.75</v>
          </cell>
          <cell r="E213">
            <v>0.1</v>
          </cell>
          <cell r="F213">
            <v>180</v>
          </cell>
          <cell r="G213">
            <v>0</v>
          </cell>
          <cell r="H213">
            <v>0</v>
          </cell>
          <cell r="I213">
            <v>0</v>
          </cell>
          <cell r="J213">
            <v>1898.77</v>
          </cell>
          <cell r="K213">
            <v>0.02</v>
          </cell>
          <cell r="L213">
            <v>0</v>
          </cell>
          <cell r="M213">
            <v>0</v>
          </cell>
          <cell r="N213">
            <v>0</v>
          </cell>
          <cell r="O213">
            <v>39</v>
          </cell>
          <cell r="P213">
            <v>0.53</v>
          </cell>
          <cell r="Q213">
            <v>972</v>
          </cell>
          <cell r="R213">
            <v>361.8</v>
          </cell>
          <cell r="S213">
            <v>0</v>
          </cell>
          <cell r="T213">
            <v>0</v>
          </cell>
        </row>
        <row r="214">
          <cell r="A214">
            <v>476</v>
          </cell>
          <cell r="B214">
            <v>103</v>
          </cell>
          <cell r="C214" t="str">
            <v>BEB.LACTEA MORANGO CEMIL 27X200GR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3033.5</v>
          </cell>
          <cell r="K214">
            <v>0.04</v>
          </cell>
          <cell r="L214">
            <v>29.9</v>
          </cell>
          <cell r="M214">
            <v>0.09</v>
          </cell>
          <cell r="N214">
            <v>1</v>
          </cell>
          <cell r="O214">
            <v>66</v>
          </cell>
          <cell r="P214">
            <v>0.89</v>
          </cell>
          <cell r="Q214">
            <v>0</v>
          </cell>
          <cell r="R214">
            <v>556.20000000000005</v>
          </cell>
          <cell r="S214">
            <v>0</v>
          </cell>
          <cell r="T214">
            <v>5.4</v>
          </cell>
        </row>
        <row r="215">
          <cell r="A215">
            <v>472</v>
          </cell>
          <cell r="B215">
            <v>268</v>
          </cell>
          <cell r="C215" t="str">
            <v>BEB.LACTEA CHOCOLATE IBITURUNA 27X200GR</v>
          </cell>
          <cell r="D215">
            <v>33742.019999999997</v>
          </cell>
          <cell r="E215">
            <v>0.79</v>
          </cell>
          <cell r="F215">
            <v>1440</v>
          </cell>
          <cell r="G215">
            <v>0</v>
          </cell>
          <cell r="H215">
            <v>0</v>
          </cell>
          <cell r="I215">
            <v>0</v>
          </cell>
          <cell r="J215">
            <v>7599.13</v>
          </cell>
          <cell r="K215">
            <v>0.1</v>
          </cell>
          <cell r="L215">
            <v>55.86</v>
          </cell>
          <cell r="M215">
            <v>0.17</v>
          </cell>
          <cell r="N215">
            <v>2</v>
          </cell>
          <cell r="O215">
            <v>115</v>
          </cell>
          <cell r="P215">
            <v>1.55</v>
          </cell>
          <cell r="Q215">
            <v>7776</v>
          </cell>
          <cell r="R215">
            <v>1447.2</v>
          </cell>
          <cell r="S215">
            <v>0</v>
          </cell>
          <cell r="T215">
            <v>10.8</v>
          </cell>
        </row>
        <row r="216">
          <cell r="A216">
            <v>471</v>
          </cell>
          <cell r="B216">
            <v>11</v>
          </cell>
          <cell r="C216" t="str">
            <v>BEB.LACTEA CHOCOLATE IBITURUNA CX\12X1LT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623.29999999999995</v>
          </cell>
          <cell r="K216">
            <v>0.01</v>
          </cell>
          <cell r="L216">
            <v>0</v>
          </cell>
          <cell r="M216">
            <v>0</v>
          </cell>
          <cell r="N216">
            <v>0</v>
          </cell>
          <cell r="O216">
            <v>10</v>
          </cell>
          <cell r="P216">
            <v>0.13</v>
          </cell>
          <cell r="Q216">
            <v>0</v>
          </cell>
          <cell r="R216">
            <v>132</v>
          </cell>
          <cell r="S216">
            <v>0</v>
          </cell>
          <cell r="T216">
            <v>0</v>
          </cell>
        </row>
        <row r="217">
          <cell r="A217">
            <v>470</v>
          </cell>
          <cell r="B217">
            <v>195</v>
          </cell>
          <cell r="C217" t="str">
            <v>BEB.LACTEA CHOCOLATE CEMIL CX\12X1LT</v>
          </cell>
          <cell r="D217">
            <v>9880.01</v>
          </cell>
          <cell r="E217">
            <v>0.23</v>
          </cell>
          <cell r="F217">
            <v>240</v>
          </cell>
          <cell r="G217">
            <v>0</v>
          </cell>
          <cell r="H217">
            <v>0</v>
          </cell>
          <cell r="I217">
            <v>0</v>
          </cell>
          <cell r="J217">
            <v>9631.5</v>
          </cell>
          <cell r="K217">
            <v>0.13</v>
          </cell>
          <cell r="L217">
            <v>99.2</v>
          </cell>
          <cell r="M217">
            <v>0.3</v>
          </cell>
          <cell r="N217">
            <v>2</v>
          </cell>
          <cell r="O217">
            <v>141</v>
          </cell>
          <cell r="P217">
            <v>1.9</v>
          </cell>
          <cell r="Q217">
            <v>2880</v>
          </cell>
          <cell r="R217">
            <v>2340</v>
          </cell>
          <cell r="S217">
            <v>0</v>
          </cell>
          <cell r="T217">
            <v>24</v>
          </cell>
        </row>
        <row r="218">
          <cell r="A218">
            <v>47</v>
          </cell>
          <cell r="B218">
            <v>324</v>
          </cell>
          <cell r="C218" t="str">
            <v>FILE PEITO BANDEJA AURORA CX12X1KG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66134.8</v>
          </cell>
          <cell r="K218">
            <v>0.87</v>
          </cell>
          <cell r="L218">
            <v>203.94</v>
          </cell>
          <cell r="M218">
            <v>0.62</v>
          </cell>
          <cell r="N218">
            <v>1</v>
          </cell>
          <cell r="O218">
            <v>202</v>
          </cell>
          <cell r="P218">
            <v>2.72</v>
          </cell>
          <cell r="Q218">
            <v>0</v>
          </cell>
          <cell r="R218">
            <v>3888</v>
          </cell>
          <cell r="S218">
            <v>0</v>
          </cell>
          <cell r="T218">
            <v>12</v>
          </cell>
        </row>
        <row r="219">
          <cell r="A219">
            <v>469</v>
          </cell>
          <cell r="B219">
            <v>43</v>
          </cell>
          <cell r="C219" t="str">
            <v>BATATA P.FRITA CRINKLE QUALITY FRIES 6X2KG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7050.79</v>
          </cell>
          <cell r="K219">
            <v>0.09</v>
          </cell>
          <cell r="L219">
            <v>163.12</v>
          </cell>
          <cell r="M219">
            <v>0.5</v>
          </cell>
          <cell r="N219">
            <v>1</v>
          </cell>
          <cell r="O219">
            <v>22</v>
          </cell>
          <cell r="P219">
            <v>0.3</v>
          </cell>
          <cell r="Q219">
            <v>0</v>
          </cell>
          <cell r="R219">
            <v>516</v>
          </cell>
          <cell r="S219">
            <v>0</v>
          </cell>
          <cell r="T219">
            <v>12</v>
          </cell>
        </row>
        <row r="220">
          <cell r="A220">
            <v>466</v>
          </cell>
          <cell r="B220">
            <v>1</v>
          </cell>
          <cell r="C220" t="str">
            <v>BATATA P.FRITA REZENDE CX/25X400GR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216.58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1</v>
          </cell>
          <cell r="P220">
            <v>0.01</v>
          </cell>
          <cell r="Q220">
            <v>0</v>
          </cell>
          <cell r="R220">
            <v>10</v>
          </cell>
          <cell r="S220">
            <v>0</v>
          </cell>
          <cell r="T220">
            <v>0</v>
          </cell>
        </row>
        <row r="221">
          <cell r="A221">
            <v>461</v>
          </cell>
          <cell r="B221">
            <v>205</v>
          </cell>
          <cell r="C221" t="str">
            <v>BATATA P.FRITA QUALITY FRIES CX\10X1,050KG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26716</v>
          </cell>
          <cell r="K221">
            <v>0.35</v>
          </cell>
          <cell r="L221">
            <v>0</v>
          </cell>
          <cell r="M221">
            <v>0</v>
          </cell>
          <cell r="N221">
            <v>0</v>
          </cell>
          <cell r="O221">
            <v>122</v>
          </cell>
          <cell r="P221">
            <v>1.64</v>
          </cell>
          <cell r="Q221">
            <v>0</v>
          </cell>
          <cell r="R221">
            <v>2152.5</v>
          </cell>
          <cell r="S221">
            <v>0</v>
          </cell>
          <cell r="T221">
            <v>0</v>
          </cell>
        </row>
        <row r="222">
          <cell r="A222">
            <v>46</v>
          </cell>
          <cell r="B222">
            <v>1</v>
          </cell>
          <cell r="C222" t="str">
            <v>DORSO DE FRANGO FREDINI CX/20KG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58.8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1</v>
          </cell>
          <cell r="P222">
            <v>0.01</v>
          </cell>
          <cell r="Q222">
            <v>0</v>
          </cell>
          <cell r="R222">
            <v>20</v>
          </cell>
          <cell r="S222">
            <v>0</v>
          </cell>
          <cell r="T222">
            <v>0</v>
          </cell>
        </row>
        <row r="223">
          <cell r="A223">
            <v>451</v>
          </cell>
          <cell r="B223">
            <v>5</v>
          </cell>
          <cell r="C223" t="str">
            <v>BACON PERNIL TROPEIRA PCT 5KG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906.5</v>
          </cell>
          <cell r="K223">
            <v>0.01</v>
          </cell>
          <cell r="L223">
            <v>0</v>
          </cell>
          <cell r="M223">
            <v>0</v>
          </cell>
          <cell r="N223">
            <v>0</v>
          </cell>
          <cell r="O223">
            <v>2</v>
          </cell>
          <cell r="P223">
            <v>0.03</v>
          </cell>
          <cell r="Q223">
            <v>0</v>
          </cell>
          <cell r="R223">
            <v>25</v>
          </cell>
          <cell r="S223">
            <v>0</v>
          </cell>
          <cell r="T223">
            <v>0</v>
          </cell>
        </row>
        <row r="224">
          <cell r="A224">
            <v>450</v>
          </cell>
          <cell r="B224">
            <v>521.15</v>
          </cell>
          <cell r="C224" t="str">
            <v>BACON PALETA IMPERATRIZ  KG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11569.07</v>
          </cell>
          <cell r="K224">
            <v>0.15</v>
          </cell>
          <cell r="L224">
            <v>0</v>
          </cell>
          <cell r="M224">
            <v>0</v>
          </cell>
          <cell r="N224">
            <v>0</v>
          </cell>
          <cell r="O224">
            <v>14</v>
          </cell>
          <cell r="P224">
            <v>0.19</v>
          </cell>
          <cell r="Q224">
            <v>0</v>
          </cell>
          <cell r="R224">
            <v>521.15</v>
          </cell>
          <cell r="S224">
            <v>0</v>
          </cell>
          <cell r="T224">
            <v>0</v>
          </cell>
        </row>
        <row r="225">
          <cell r="A225">
            <v>45</v>
          </cell>
          <cell r="B225">
            <v>325</v>
          </cell>
          <cell r="C225" t="str">
            <v>DORSO DE FRANGO AGROAVES CX/20KG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18610.82</v>
          </cell>
          <cell r="K225">
            <v>0.24</v>
          </cell>
          <cell r="L225">
            <v>56.84</v>
          </cell>
          <cell r="M225">
            <v>0.17</v>
          </cell>
          <cell r="N225">
            <v>1</v>
          </cell>
          <cell r="O225">
            <v>193</v>
          </cell>
          <cell r="P225">
            <v>2.6</v>
          </cell>
          <cell r="Q225">
            <v>0</v>
          </cell>
          <cell r="R225">
            <v>6500</v>
          </cell>
          <cell r="S225">
            <v>0</v>
          </cell>
          <cell r="T225">
            <v>20</v>
          </cell>
        </row>
        <row r="226">
          <cell r="A226">
            <v>448</v>
          </cell>
          <cell r="B226">
            <v>41.76</v>
          </cell>
          <cell r="C226" t="str">
            <v>BACON PALETA SEARA KG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1273.68</v>
          </cell>
          <cell r="K226">
            <v>0.02</v>
          </cell>
          <cell r="L226">
            <v>0</v>
          </cell>
          <cell r="M226">
            <v>0</v>
          </cell>
          <cell r="N226">
            <v>0</v>
          </cell>
          <cell r="O226">
            <v>2</v>
          </cell>
          <cell r="P226">
            <v>0.03</v>
          </cell>
          <cell r="Q226">
            <v>0</v>
          </cell>
          <cell r="R226">
            <v>41.76</v>
          </cell>
          <cell r="S226">
            <v>0</v>
          </cell>
          <cell r="T226">
            <v>0</v>
          </cell>
        </row>
        <row r="227">
          <cell r="A227">
            <v>447</v>
          </cell>
          <cell r="B227">
            <v>1</v>
          </cell>
          <cell r="C227" t="str">
            <v>BACON CUBOS SABOR MINEIRO CX/20X1KG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489.02</v>
          </cell>
          <cell r="K227">
            <v>0.01</v>
          </cell>
          <cell r="L227">
            <v>0</v>
          </cell>
          <cell r="M227">
            <v>0</v>
          </cell>
          <cell r="N227">
            <v>0</v>
          </cell>
          <cell r="O227">
            <v>1</v>
          </cell>
          <cell r="P227">
            <v>0.01</v>
          </cell>
          <cell r="Q227">
            <v>0</v>
          </cell>
          <cell r="R227">
            <v>20</v>
          </cell>
          <cell r="S227">
            <v>0</v>
          </cell>
          <cell r="T227">
            <v>0</v>
          </cell>
        </row>
        <row r="228">
          <cell r="A228">
            <v>445</v>
          </cell>
          <cell r="B228">
            <v>62</v>
          </cell>
          <cell r="C228" t="str">
            <v>BACON FATIAS REZENDE CX/12X650GR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20159.900000000001</v>
          </cell>
          <cell r="K228">
            <v>0.26</v>
          </cell>
          <cell r="L228">
            <v>0</v>
          </cell>
          <cell r="M228">
            <v>0</v>
          </cell>
          <cell r="N228">
            <v>0</v>
          </cell>
          <cell r="O228">
            <v>39</v>
          </cell>
          <cell r="P228">
            <v>0.53</v>
          </cell>
          <cell r="Q228">
            <v>0</v>
          </cell>
          <cell r="R228">
            <v>483.6</v>
          </cell>
          <cell r="S228">
            <v>0</v>
          </cell>
          <cell r="T228">
            <v>0</v>
          </cell>
        </row>
        <row r="229">
          <cell r="A229">
            <v>44</v>
          </cell>
          <cell r="B229">
            <v>58</v>
          </cell>
          <cell r="C229" t="str">
            <v>FRANGO PASSARINHO TEMP.RIVELLI CX/18KG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9498.9599999999991</v>
          </cell>
          <cell r="K229">
            <v>0.12</v>
          </cell>
          <cell r="L229">
            <v>0</v>
          </cell>
          <cell r="M229">
            <v>0</v>
          </cell>
          <cell r="N229">
            <v>0</v>
          </cell>
          <cell r="O229">
            <v>19</v>
          </cell>
          <cell r="P229">
            <v>0.26</v>
          </cell>
          <cell r="Q229">
            <v>0</v>
          </cell>
          <cell r="R229">
            <v>1044</v>
          </cell>
          <cell r="S229">
            <v>0</v>
          </cell>
          <cell r="T229">
            <v>0</v>
          </cell>
        </row>
        <row r="230">
          <cell r="A230">
            <v>438</v>
          </cell>
          <cell r="B230">
            <v>551</v>
          </cell>
          <cell r="C230" t="str">
            <v>ASA FRANGO PCT REAL CX\20KG</v>
          </cell>
          <cell r="D230">
            <v>252625.08</v>
          </cell>
          <cell r="E230">
            <v>5.92</v>
          </cell>
          <cell r="F230">
            <v>1250</v>
          </cell>
          <cell r="G230">
            <v>202.1</v>
          </cell>
          <cell r="H230">
            <v>1.24</v>
          </cell>
          <cell r="I230">
            <v>1</v>
          </cell>
          <cell r="J230">
            <v>134731.93</v>
          </cell>
          <cell r="K230">
            <v>1.76</v>
          </cell>
          <cell r="L230">
            <v>243.87</v>
          </cell>
          <cell r="M230">
            <v>0.74</v>
          </cell>
          <cell r="N230">
            <v>1</v>
          </cell>
          <cell r="O230">
            <v>377</v>
          </cell>
          <cell r="P230">
            <v>5.08</v>
          </cell>
          <cell r="Q230">
            <v>25000</v>
          </cell>
          <cell r="R230">
            <v>11020</v>
          </cell>
          <cell r="S230">
            <v>20</v>
          </cell>
          <cell r="T230">
            <v>20</v>
          </cell>
        </row>
        <row r="231">
          <cell r="A231">
            <v>435</v>
          </cell>
          <cell r="B231">
            <v>361</v>
          </cell>
          <cell r="C231" t="str">
            <v>ASA FRANGO ENVELOPADA REAL CX\20KG</v>
          </cell>
          <cell r="D231">
            <v>80840.02</v>
          </cell>
          <cell r="E231">
            <v>1.89</v>
          </cell>
          <cell r="F231">
            <v>400</v>
          </cell>
          <cell r="G231">
            <v>0</v>
          </cell>
          <cell r="H231">
            <v>0</v>
          </cell>
          <cell r="I231">
            <v>0</v>
          </cell>
          <cell r="J231">
            <v>85746.33</v>
          </cell>
          <cell r="K231">
            <v>1.1200000000000001</v>
          </cell>
          <cell r="L231">
            <v>475.7</v>
          </cell>
          <cell r="M231">
            <v>1.45</v>
          </cell>
          <cell r="N231">
            <v>2</v>
          </cell>
          <cell r="O231">
            <v>153</v>
          </cell>
          <cell r="P231">
            <v>2.06</v>
          </cell>
          <cell r="Q231">
            <v>8000</v>
          </cell>
          <cell r="R231">
            <v>7220</v>
          </cell>
          <cell r="S231">
            <v>0</v>
          </cell>
          <cell r="T231">
            <v>40</v>
          </cell>
        </row>
        <row r="232">
          <cell r="A232">
            <v>433</v>
          </cell>
          <cell r="B232">
            <v>86</v>
          </cell>
          <cell r="C232" t="str">
            <v>ASA FRANGO BANDEJA RIVELLI CX.12X1KG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16558.52</v>
          </cell>
          <cell r="K232">
            <v>0.22</v>
          </cell>
          <cell r="L232">
            <v>0</v>
          </cell>
          <cell r="M232">
            <v>0</v>
          </cell>
          <cell r="N232">
            <v>0</v>
          </cell>
          <cell r="O232">
            <v>74</v>
          </cell>
          <cell r="P232">
            <v>1</v>
          </cell>
          <cell r="Q232">
            <v>0</v>
          </cell>
          <cell r="R232">
            <v>1032</v>
          </cell>
          <cell r="S232">
            <v>0</v>
          </cell>
          <cell r="T232">
            <v>0</v>
          </cell>
        </row>
        <row r="233">
          <cell r="A233">
            <v>4317</v>
          </cell>
          <cell r="B233">
            <v>0</v>
          </cell>
          <cell r="C233" t="str">
            <v>EMPANADO FILE DE POLACA SEARA FS CX 3X1,2KG</v>
          </cell>
          <cell r="D233">
            <v>521.32000000000005</v>
          </cell>
          <cell r="E233">
            <v>0.01</v>
          </cell>
          <cell r="F233">
            <v>3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1</v>
          </cell>
          <cell r="P233">
            <v>0.01</v>
          </cell>
          <cell r="Q233">
            <v>10.8</v>
          </cell>
          <cell r="R233">
            <v>0</v>
          </cell>
          <cell r="S233">
            <v>0</v>
          </cell>
          <cell r="T233">
            <v>0</v>
          </cell>
        </row>
        <row r="234">
          <cell r="A234">
            <v>4316</v>
          </cell>
          <cell r="B234">
            <v>0</v>
          </cell>
          <cell r="C234" t="str">
            <v>CRISPY FRANGO  EMPANADO SEARA CX/24X160G</v>
          </cell>
          <cell r="D234">
            <v>328.78</v>
          </cell>
          <cell r="E234">
            <v>0.01</v>
          </cell>
          <cell r="F234">
            <v>2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1</v>
          </cell>
          <cell r="P234">
            <v>0.01</v>
          </cell>
          <cell r="Q234">
            <v>7.68</v>
          </cell>
          <cell r="R234">
            <v>0</v>
          </cell>
          <cell r="S234">
            <v>0</v>
          </cell>
          <cell r="T234">
            <v>0</v>
          </cell>
        </row>
        <row r="235">
          <cell r="A235">
            <v>4313</v>
          </cell>
          <cell r="B235">
            <v>33</v>
          </cell>
          <cell r="C235" t="str">
            <v>IOGURTE POUCH TURMA MILK FD\30X100GR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974.4</v>
          </cell>
          <cell r="K235">
            <v>0.01</v>
          </cell>
          <cell r="L235">
            <v>0</v>
          </cell>
          <cell r="M235">
            <v>0</v>
          </cell>
          <cell r="N235">
            <v>0</v>
          </cell>
          <cell r="O235">
            <v>26</v>
          </cell>
          <cell r="P235">
            <v>0.35</v>
          </cell>
          <cell r="Q235">
            <v>0</v>
          </cell>
          <cell r="R235">
            <v>99</v>
          </cell>
          <cell r="S235">
            <v>0</v>
          </cell>
          <cell r="T235">
            <v>0</v>
          </cell>
        </row>
        <row r="236">
          <cell r="A236">
            <v>431</v>
          </cell>
          <cell r="B236">
            <v>315</v>
          </cell>
          <cell r="C236" t="str">
            <v>APRESUNTADO REZENDE  3,4KG</v>
          </cell>
          <cell r="D236">
            <v>14695.35</v>
          </cell>
          <cell r="E236">
            <v>0.34</v>
          </cell>
          <cell r="F236">
            <v>276</v>
          </cell>
          <cell r="G236">
            <v>0</v>
          </cell>
          <cell r="H236">
            <v>0</v>
          </cell>
          <cell r="I236">
            <v>0</v>
          </cell>
          <cell r="J236">
            <v>19837.46</v>
          </cell>
          <cell r="K236">
            <v>0.26</v>
          </cell>
          <cell r="L236">
            <v>312.48</v>
          </cell>
          <cell r="M236">
            <v>0.95</v>
          </cell>
          <cell r="N236">
            <v>5</v>
          </cell>
          <cell r="O236">
            <v>119</v>
          </cell>
          <cell r="P236">
            <v>1.6</v>
          </cell>
          <cell r="Q236">
            <v>966</v>
          </cell>
          <cell r="R236">
            <v>1102.5</v>
          </cell>
          <cell r="S236">
            <v>0</v>
          </cell>
          <cell r="T236">
            <v>17.5</v>
          </cell>
        </row>
        <row r="237">
          <cell r="A237">
            <v>4307</v>
          </cell>
          <cell r="B237">
            <v>1</v>
          </cell>
          <cell r="C237" t="str">
            <v>FILE MERLUZA INTERF ARGENTINA CX\18KG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554.29</v>
          </cell>
          <cell r="K237">
            <v>0.01</v>
          </cell>
          <cell r="L237">
            <v>0</v>
          </cell>
          <cell r="M237">
            <v>0</v>
          </cell>
          <cell r="N237">
            <v>0</v>
          </cell>
          <cell r="O237">
            <v>1</v>
          </cell>
          <cell r="P237">
            <v>0.01</v>
          </cell>
          <cell r="Q237">
            <v>0</v>
          </cell>
          <cell r="R237">
            <v>18</v>
          </cell>
          <cell r="S237">
            <v>0</v>
          </cell>
          <cell r="T237">
            <v>0</v>
          </cell>
        </row>
        <row r="238">
          <cell r="A238">
            <v>4306</v>
          </cell>
          <cell r="B238">
            <v>2</v>
          </cell>
          <cell r="C238" t="str">
            <v>FILE MERLUZA INTERF ARGENTINA CX\10KG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629.84</v>
          </cell>
          <cell r="K238">
            <v>0.01</v>
          </cell>
          <cell r="L238">
            <v>0</v>
          </cell>
          <cell r="M238">
            <v>0</v>
          </cell>
          <cell r="N238">
            <v>0</v>
          </cell>
          <cell r="O238">
            <v>2</v>
          </cell>
          <cell r="P238">
            <v>0.03</v>
          </cell>
          <cell r="Q238">
            <v>0</v>
          </cell>
          <cell r="R238">
            <v>20</v>
          </cell>
          <cell r="S238">
            <v>0</v>
          </cell>
          <cell r="T238">
            <v>0</v>
          </cell>
        </row>
        <row r="239">
          <cell r="A239">
            <v>4304</v>
          </cell>
          <cell r="B239">
            <v>63</v>
          </cell>
          <cell r="C239" t="str">
            <v>PE SUINO ALIBEM CX\20KG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10516.2</v>
          </cell>
          <cell r="K239">
            <v>0.14000000000000001</v>
          </cell>
          <cell r="L239">
            <v>0</v>
          </cell>
          <cell r="M239">
            <v>0</v>
          </cell>
          <cell r="N239">
            <v>0</v>
          </cell>
          <cell r="O239">
            <v>47</v>
          </cell>
          <cell r="P239">
            <v>0.63</v>
          </cell>
          <cell r="Q239">
            <v>0</v>
          </cell>
          <cell r="R239">
            <v>1260</v>
          </cell>
          <cell r="S239">
            <v>0</v>
          </cell>
          <cell r="T239">
            <v>0</v>
          </cell>
        </row>
        <row r="240">
          <cell r="A240">
            <v>4303</v>
          </cell>
          <cell r="B240">
            <v>26</v>
          </cell>
          <cell r="C240" t="str">
            <v>LING SUINA CHURRASCO ADEEL 5KG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1823.51</v>
          </cell>
          <cell r="K240">
            <v>0.02</v>
          </cell>
          <cell r="L240">
            <v>0</v>
          </cell>
          <cell r="M240">
            <v>0</v>
          </cell>
          <cell r="N240">
            <v>0</v>
          </cell>
          <cell r="O240">
            <v>12</v>
          </cell>
          <cell r="P240">
            <v>0.16</v>
          </cell>
          <cell r="Q240">
            <v>0</v>
          </cell>
          <cell r="R240">
            <v>130</v>
          </cell>
          <cell r="S240">
            <v>0</v>
          </cell>
          <cell r="T240">
            <v>0</v>
          </cell>
        </row>
        <row r="241">
          <cell r="A241">
            <v>4300</v>
          </cell>
          <cell r="B241">
            <v>0</v>
          </cell>
          <cell r="C241" t="str">
            <v>PRESUNTO  RETANGULAR SEARA 3,5KG FS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72.52</v>
          </cell>
          <cell r="M241">
            <v>0.22</v>
          </cell>
          <cell r="N241">
            <v>1</v>
          </cell>
          <cell r="O241">
            <v>1</v>
          </cell>
          <cell r="P241">
            <v>0.01</v>
          </cell>
          <cell r="Q241">
            <v>0</v>
          </cell>
          <cell r="R241">
            <v>0</v>
          </cell>
          <cell r="S241">
            <v>0</v>
          </cell>
          <cell r="T241">
            <v>3.5</v>
          </cell>
        </row>
        <row r="242">
          <cell r="A242">
            <v>4299</v>
          </cell>
          <cell r="B242">
            <v>2</v>
          </cell>
          <cell r="C242" t="str">
            <v>FILEZINHO SASSAMI EMPANADO SEARA CX/4X2KG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438</v>
          </cell>
          <cell r="K242">
            <v>0.01</v>
          </cell>
          <cell r="L242">
            <v>0</v>
          </cell>
          <cell r="M242">
            <v>0</v>
          </cell>
          <cell r="N242">
            <v>0</v>
          </cell>
          <cell r="O242">
            <v>1</v>
          </cell>
          <cell r="P242">
            <v>0.01</v>
          </cell>
          <cell r="Q242">
            <v>0</v>
          </cell>
          <cell r="R242">
            <v>16</v>
          </cell>
          <cell r="S242">
            <v>0</v>
          </cell>
          <cell r="T242">
            <v>0</v>
          </cell>
        </row>
        <row r="243">
          <cell r="A243">
            <v>4298</v>
          </cell>
          <cell r="B243">
            <v>8</v>
          </cell>
          <cell r="C243" t="str">
            <v>CARNE BOVINA MOIDA CRUZEIRO DO SUL CX/48X500G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3763.2</v>
          </cell>
          <cell r="K243">
            <v>0.05</v>
          </cell>
          <cell r="L243">
            <v>0</v>
          </cell>
          <cell r="M243">
            <v>0</v>
          </cell>
          <cell r="N243">
            <v>0</v>
          </cell>
          <cell r="O243">
            <v>8</v>
          </cell>
          <cell r="P243">
            <v>0.11</v>
          </cell>
          <cell r="Q243">
            <v>0</v>
          </cell>
          <cell r="R243">
            <v>40.799999999999997</v>
          </cell>
          <cell r="S243">
            <v>0</v>
          </cell>
          <cell r="T243">
            <v>0</v>
          </cell>
        </row>
        <row r="244">
          <cell r="A244">
            <v>4297</v>
          </cell>
          <cell r="B244">
            <v>2844.69</v>
          </cell>
          <cell r="C244" t="str">
            <v>FIGADO BOVINO CONGELADO CRUZEIRO DO SUL KG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37576.839999999997</v>
          </cell>
          <cell r="K244">
            <v>0.49</v>
          </cell>
          <cell r="L244">
            <v>0</v>
          </cell>
          <cell r="M244">
            <v>0</v>
          </cell>
          <cell r="N244">
            <v>0</v>
          </cell>
          <cell r="O244">
            <v>52</v>
          </cell>
          <cell r="P244">
            <v>0.7</v>
          </cell>
          <cell r="Q244">
            <v>0</v>
          </cell>
          <cell r="R244">
            <v>2844.69</v>
          </cell>
          <cell r="S244">
            <v>0</v>
          </cell>
          <cell r="T244">
            <v>0</v>
          </cell>
        </row>
        <row r="245">
          <cell r="A245">
            <v>4296</v>
          </cell>
          <cell r="B245">
            <v>14</v>
          </cell>
          <cell r="C245" t="str">
            <v>CARNE BOVINA MOIDA CRUZEIRO DO SUL CX/24X1KG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6604.8</v>
          </cell>
          <cell r="K245">
            <v>0.09</v>
          </cell>
          <cell r="L245">
            <v>0</v>
          </cell>
          <cell r="M245">
            <v>0</v>
          </cell>
          <cell r="N245">
            <v>0</v>
          </cell>
          <cell r="O245">
            <v>11</v>
          </cell>
          <cell r="P245">
            <v>0.15</v>
          </cell>
          <cell r="Q245">
            <v>0</v>
          </cell>
          <cell r="R245">
            <v>168</v>
          </cell>
          <cell r="S245">
            <v>0</v>
          </cell>
          <cell r="T245">
            <v>0</v>
          </cell>
        </row>
        <row r="246">
          <cell r="A246">
            <v>4291</v>
          </cell>
          <cell r="B246">
            <v>2</v>
          </cell>
          <cell r="C246" t="str">
            <v>CREME DE RICOTA LIGHT SCALA CX\12X200GR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151.02000000000001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2</v>
          </cell>
          <cell r="P246">
            <v>0.03</v>
          </cell>
          <cell r="Q246">
            <v>0</v>
          </cell>
          <cell r="R246">
            <v>4.8</v>
          </cell>
          <cell r="S246">
            <v>0</v>
          </cell>
          <cell r="T246">
            <v>0</v>
          </cell>
        </row>
        <row r="247">
          <cell r="A247">
            <v>4290</v>
          </cell>
          <cell r="B247">
            <v>1</v>
          </cell>
          <cell r="C247" t="str">
            <v>CREME DE RICOTA SCALA CX\12X200GR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75.510000000000005</v>
          </cell>
          <cell r="K247">
            <v>0</v>
          </cell>
          <cell r="L247">
            <v>77.05</v>
          </cell>
          <cell r="M247">
            <v>0.23</v>
          </cell>
          <cell r="N247">
            <v>1</v>
          </cell>
          <cell r="O247">
            <v>2</v>
          </cell>
          <cell r="P247">
            <v>0.03</v>
          </cell>
          <cell r="Q247">
            <v>0</v>
          </cell>
          <cell r="R247">
            <v>2.4</v>
          </cell>
          <cell r="S247">
            <v>0</v>
          </cell>
          <cell r="T247">
            <v>2.4</v>
          </cell>
        </row>
        <row r="248">
          <cell r="A248">
            <v>429</v>
          </cell>
          <cell r="B248">
            <v>778</v>
          </cell>
          <cell r="C248" t="str">
            <v>APRESUNTADO PIF PAF RETANGULAR 3,8KG</v>
          </cell>
          <cell r="D248">
            <v>17773.36</v>
          </cell>
          <cell r="E248">
            <v>0.42</v>
          </cell>
          <cell r="F248">
            <v>400</v>
          </cell>
          <cell r="G248">
            <v>0</v>
          </cell>
          <cell r="H248">
            <v>0</v>
          </cell>
          <cell r="I248">
            <v>0</v>
          </cell>
          <cell r="J248">
            <v>42933.06</v>
          </cell>
          <cell r="K248">
            <v>0.56000000000000005</v>
          </cell>
          <cell r="L248">
            <v>54.88</v>
          </cell>
          <cell r="M248">
            <v>0.17</v>
          </cell>
          <cell r="N248">
            <v>1</v>
          </cell>
          <cell r="O248">
            <v>253</v>
          </cell>
          <cell r="P248">
            <v>3.41</v>
          </cell>
          <cell r="Q248">
            <v>1520</v>
          </cell>
          <cell r="R248">
            <v>2956.4</v>
          </cell>
          <cell r="S248">
            <v>0</v>
          </cell>
          <cell r="T248">
            <v>3.8</v>
          </cell>
        </row>
        <row r="249">
          <cell r="A249">
            <v>4289</v>
          </cell>
          <cell r="B249">
            <v>2</v>
          </cell>
          <cell r="C249" t="str">
            <v>RECHEIO CREME AVELÃ,CACAU BISNAGA DOLCI CREME 1,005KG</v>
          </cell>
          <cell r="D249">
            <v>2394.5100000000002</v>
          </cell>
          <cell r="E249">
            <v>0.06</v>
          </cell>
          <cell r="F249">
            <v>80</v>
          </cell>
          <cell r="G249">
            <v>0</v>
          </cell>
          <cell r="H249">
            <v>0</v>
          </cell>
          <cell r="I249">
            <v>0</v>
          </cell>
          <cell r="J249">
            <v>75.94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3</v>
          </cell>
          <cell r="P249">
            <v>0.04</v>
          </cell>
          <cell r="Q249">
            <v>192</v>
          </cell>
          <cell r="R249">
            <v>4.8</v>
          </cell>
          <cell r="S249">
            <v>0</v>
          </cell>
          <cell r="T249">
            <v>0</v>
          </cell>
        </row>
        <row r="250">
          <cell r="A250">
            <v>4288</v>
          </cell>
          <cell r="B250">
            <v>0</v>
          </cell>
          <cell r="C250" t="str">
            <v>RECHEIO CHOCOLATE BRANCO BISNAGA DOLCI CREME 1,005KG</v>
          </cell>
          <cell r="D250">
            <v>429.94</v>
          </cell>
          <cell r="E250">
            <v>0.01</v>
          </cell>
          <cell r="F250">
            <v>16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1</v>
          </cell>
          <cell r="P250">
            <v>0.01</v>
          </cell>
          <cell r="Q250">
            <v>38.4</v>
          </cell>
          <cell r="R250">
            <v>0</v>
          </cell>
          <cell r="S250">
            <v>0</v>
          </cell>
          <cell r="T250">
            <v>0</v>
          </cell>
        </row>
        <row r="251">
          <cell r="A251">
            <v>4287</v>
          </cell>
          <cell r="B251">
            <v>0</v>
          </cell>
          <cell r="C251" t="str">
            <v>RECHEIO CHOCOLATE BISNAGA DOLCE CREME 1,005KG</v>
          </cell>
          <cell r="D251">
            <v>4648.3599999999997</v>
          </cell>
          <cell r="E251">
            <v>0.11</v>
          </cell>
          <cell r="F251">
            <v>160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1</v>
          </cell>
          <cell r="P251">
            <v>0.01</v>
          </cell>
          <cell r="Q251">
            <v>160.80000000000001</v>
          </cell>
          <cell r="R251">
            <v>0</v>
          </cell>
          <cell r="S251">
            <v>0</v>
          </cell>
          <cell r="T251">
            <v>0</v>
          </cell>
        </row>
        <row r="252">
          <cell r="A252">
            <v>4286</v>
          </cell>
          <cell r="B252">
            <v>1</v>
          </cell>
          <cell r="C252" t="str">
            <v>REQUEIJAO C.CHEESE LIGHT POTE SCALA CX\16X150GR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111.92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1</v>
          </cell>
          <cell r="P252">
            <v>0.01</v>
          </cell>
          <cell r="Q252">
            <v>0</v>
          </cell>
          <cell r="R252">
            <v>2.4</v>
          </cell>
          <cell r="S252">
            <v>0</v>
          </cell>
          <cell r="T252">
            <v>0</v>
          </cell>
        </row>
        <row r="253">
          <cell r="A253">
            <v>4285</v>
          </cell>
          <cell r="B253">
            <v>1</v>
          </cell>
          <cell r="C253" t="str">
            <v>REQUEIJAO C.CHEESE LIGHT POTE SCALA CX\8X300GR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108.5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1</v>
          </cell>
          <cell r="P253">
            <v>0.01</v>
          </cell>
          <cell r="Q253">
            <v>0</v>
          </cell>
          <cell r="R253">
            <v>2.4</v>
          </cell>
          <cell r="S253">
            <v>0</v>
          </cell>
          <cell r="T253">
            <v>0</v>
          </cell>
        </row>
        <row r="254">
          <cell r="A254">
            <v>4284</v>
          </cell>
          <cell r="B254">
            <v>1</v>
          </cell>
          <cell r="C254" t="str">
            <v>REQUEIJAO C.CHEESE POTE SCALA CX\8X300GR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106.33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1</v>
          </cell>
          <cell r="P254">
            <v>0.01</v>
          </cell>
          <cell r="Q254">
            <v>0</v>
          </cell>
          <cell r="R254">
            <v>2.4</v>
          </cell>
          <cell r="S254">
            <v>0</v>
          </cell>
          <cell r="T254">
            <v>0</v>
          </cell>
        </row>
        <row r="255">
          <cell r="A255">
            <v>4283</v>
          </cell>
          <cell r="B255">
            <v>1</v>
          </cell>
          <cell r="C255" t="str">
            <v>REQUEIJAO C.CHEESE POTE SCALA CX\16X150GR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111.92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1</v>
          </cell>
          <cell r="P255">
            <v>0.01</v>
          </cell>
          <cell r="Q255">
            <v>0</v>
          </cell>
          <cell r="R255">
            <v>2.4</v>
          </cell>
          <cell r="S255">
            <v>0</v>
          </cell>
          <cell r="T255">
            <v>0</v>
          </cell>
        </row>
        <row r="256">
          <cell r="A256">
            <v>4282</v>
          </cell>
          <cell r="B256">
            <v>4</v>
          </cell>
          <cell r="C256" t="str">
            <v>QUEIJO COALHO SEM ESPETO SCALA CX/16X215GR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887.88</v>
          </cell>
          <cell r="K256">
            <v>0.01</v>
          </cell>
          <cell r="L256">
            <v>0</v>
          </cell>
          <cell r="M256">
            <v>0</v>
          </cell>
          <cell r="N256">
            <v>0</v>
          </cell>
          <cell r="O256">
            <v>4</v>
          </cell>
          <cell r="P256">
            <v>0.05</v>
          </cell>
          <cell r="Q256">
            <v>0</v>
          </cell>
          <cell r="R256">
            <v>13.76</v>
          </cell>
          <cell r="S256">
            <v>0</v>
          </cell>
          <cell r="T256">
            <v>0</v>
          </cell>
        </row>
        <row r="257">
          <cell r="A257">
            <v>4281</v>
          </cell>
          <cell r="B257">
            <v>3.84</v>
          </cell>
          <cell r="C257" t="str">
            <v>QUEIJO PROVOLONE SCALA KG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274.48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2</v>
          </cell>
          <cell r="P257">
            <v>0.03</v>
          </cell>
          <cell r="Q257">
            <v>0</v>
          </cell>
          <cell r="R257">
            <v>3.84</v>
          </cell>
          <cell r="S257">
            <v>0</v>
          </cell>
          <cell r="T257">
            <v>0</v>
          </cell>
        </row>
        <row r="258">
          <cell r="A258">
            <v>4280</v>
          </cell>
          <cell r="B258">
            <v>4.4000000000000004</v>
          </cell>
          <cell r="C258" t="str">
            <v>QUEIJO MATURADO MOFO AZUL SCALA KG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334.53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6</v>
          </cell>
          <cell r="P258">
            <v>0.08</v>
          </cell>
          <cell r="Q258">
            <v>0</v>
          </cell>
          <cell r="R258">
            <v>4.4000000000000004</v>
          </cell>
          <cell r="S258">
            <v>0</v>
          </cell>
          <cell r="T258">
            <v>0</v>
          </cell>
        </row>
        <row r="259">
          <cell r="A259">
            <v>428</v>
          </cell>
          <cell r="B259">
            <v>4</v>
          </cell>
          <cell r="C259" t="str">
            <v>APRESUNTADO NOBRE AURORA 3,7KG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260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1</v>
          </cell>
          <cell r="P259">
            <v>0.01</v>
          </cell>
          <cell r="Q259">
            <v>0</v>
          </cell>
          <cell r="R259">
            <v>14.8</v>
          </cell>
          <cell r="S259">
            <v>0</v>
          </cell>
          <cell r="T259">
            <v>0</v>
          </cell>
        </row>
        <row r="260">
          <cell r="A260">
            <v>4279</v>
          </cell>
          <cell r="B260">
            <v>3</v>
          </cell>
          <cell r="C260" t="str">
            <v>MANTEIGA SCALA CX\12X500GR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719.7</v>
          </cell>
          <cell r="K260">
            <v>0.01</v>
          </cell>
          <cell r="L260">
            <v>0</v>
          </cell>
          <cell r="M260">
            <v>0</v>
          </cell>
          <cell r="N260">
            <v>0</v>
          </cell>
          <cell r="O260">
            <v>3</v>
          </cell>
          <cell r="P260">
            <v>0.04</v>
          </cell>
          <cell r="Q260">
            <v>0</v>
          </cell>
          <cell r="R260">
            <v>18</v>
          </cell>
          <cell r="S260">
            <v>0</v>
          </cell>
          <cell r="T260">
            <v>0</v>
          </cell>
        </row>
        <row r="261">
          <cell r="A261">
            <v>4278</v>
          </cell>
          <cell r="B261">
            <v>4</v>
          </cell>
          <cell r="C261" t="str">
            <v>MANTEIGA SCALA CX\24X200GR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795.76</v>
          </cell>
          <cell r="K261">
            <v>0.01</v>
          </cell>
          <cell r="L261">
            <v>0</v>
          </cell>
          <cell r="M261">
            <v>0</v>
          </cell>
          <cell r="N261">
            <v>0</v>
          </cell>
          <cell r="O261">
            <v>4</v>
          </cell>
          <cell r="P261">
            <v>0.05</v>
          </cell>
          <cell r="Q261">
            <v>0</v>
          </cell>
          <cell r="R261">
            <v>19.2</v>
          </cell>
          <cell r="S261">
            <v>0</v>
          </cell>
          <cell r="T261">
            <v>0</v>
          </cell>
        </row>
        <row r="262">
          <cell r="A262">
            <v>4277</v>
          </cell>
          <cell r="B262">
            <v>6.75</v>
          </cell>
          <cell r="C262" t="str">
            <v>QUEIJO MINAS MEIA CURA SCALA KG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457.47</v>
          </cell>
          <cell r="K262">
            <v>0.01</v>
          </cell>
          <cell r="L262">
            <v>0</v>
          </cell>
          <cell r="M262">
            <v>0</v>
          </cell>
          <cell r="N262">
            <v>0</v>
          </cell>
          <cell r="O262">
            <v>2</v>
          </cell>
          <cell r="P262">
            <v>0.03</v>
          </cell>
          <cell r="Q262">
            <v>0</v>
          </cell>
          <cell r="R262">
            <v>6.75</v>
          </cell>
          <cell r="S262">
            <v>0</v>
          </cell>
          <cell r="T262">
            <v>0</v>
          </cell>
        </row>
        <row r="263">
          <cell r="A263">
            <v>4275</v>
          </cell>
          <cell r="B263">
            <v>6.1</v>
          </cell>
          <cell r="C263" t="str">
            <v>QUEIJO MINAS PADRAO FRACIONADO SCALA KG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380.52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2</v>
          </cell>
          <cell r="P263">
            <v>0.03</v>
          </cell>
          <cell r="Q263">
            <v>0</v>
          </cell>
          <cell r="R263">
            <v>6.1</v>
          </cell>
          <cell r="S263">
            <v>0</v>
          </cell>
          <cell r="T263">
            <v>0</v>
          </cell>
        </row>
        <row r="264">
          <cell r="A264">
            <v>4274</v>
          </cell>
          <cell r="B264">
            <v>18</v>
          </cell>
          <cell r="C264" t="str">
            <v>QUEIJO PARMESAO LASCAS SCALA 150GR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395.1</v>
          </cell>
          <cell r="K264">
            <v>0.01</v>
          </cell>
          <cell r="L264">
            <v>0</v>
          </cell>
          <cell r="M264">
            <v>0</v>
          </cell>
          <cell r="N264">
            <v>0</v>
          </cell>
          <cell r="O264">
            <v>3</v>
          </cell>
          <cell r="P264">
            <v>0.04</v>
          </cell>
          <cell r="Q264">
            <v>0</v>
          </cell>
          <cell r="R264">
            <v>2.7</v>
          </cell>
          <cell r="S264">
            <v>0</v>
          </cell>
          <cell r="T264">
            <v>0</v>
          </cell>
        </row>
        <row r="265">
          <cell r="A265">
            <v>4273</v>
          </cell>
          <cell r="B265">
            <v>12</v>
          </cell>
          <cell r="C265" t="str">
            <v>QUEIJO PARMESAO CILINDRO SCALA 180GR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266.10000000000002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2</v>
          </cell>
          <cell r="P265">
            <v>0.03</v>
          </cell>
          <cell r="Q265">
            <v>0</v>
          </cell>
          <cell r="R265">
            <v>2.16</v>
          </cell>
          <cell r="S265">
            <v>0</v>
          </cell>
          <cell r="T265">
            <v>0</v>
          </cell>
        </row>
        <row r="266">
          <cell r="A266">
            <v>4272</v>
          </cell>
          <cell r="B266">
            <v>12</v>
          </cell>
          <cell r="C266" t="str">
            <v>QUEIJO PARMESAO 18 MESES SCALA 180GR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337.44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3</v>
          </cell>
          <cell r="P266">
            <v>0.04</v>
          </cell>
          <cell r="Q266">
            <v>0</v>
          </cell>
          <cell r="R266">
            <v>2.16</v>
          </cell>
          <cell r="S266">
            <v>0</v>
          </cell>
          <cell r="T266">
            <v>0</v>
          </cell>
        </row>
        <row r="267">
          <cell r="A267">
            <v>4271</v>
          </cell>
          <cell r="B267">
            <v>24</v>
          </cell>
          <cell r="C267" t="str">
            <v>BEB.LACTEA ABACAXI CEMIL CX\27X200ML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1033.3599999999999</v>
          </cell>
          <cell r="K267">
            <v>0.01</v>
          </cell>
          <cell r="L267">
            <v>43.02</v>
          </cell>
          <cell r="M267">
            <v>0.13</v>
          </cell>
          <cell r="N267">
            <v>1</v>
          </cell>
          <cell r="O267">
            <v>20</v>
          </cell>
          <cell r="P267">
            <v>0.27</v>
          </cell>
          <cell r="Q267">
            <v>0</v>
          </cell>
          <cell r="R267">
            <v>129.6</v>
          </cell>
          <cell r="S267">
            <v>0</v>
          </cell>
          <cell r="T267">
            <v>5.4</v>
          </cell>
        </row>
        <row r="268">
          <cell r="A268">
            <v>4270</v>
          </cell>
          <cell r="B268">
            <v>6</v>
          </cell>
          <cell r="C268" t="str">
            <v>QUEIJO PARMESAO 12 MESES SCALA 180GR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146.4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1</v>
          </cell>
          <cell r="P268">
            <v>0.01</v>
          </cell>
          <cell r="Q268">
            <v>0</v>
          </cell>
          <cell r="R268">
            <v>1.08</v>
          </cell>
          <cell r="S268">
            <v>0</v>
          </cell>
          <cell r="T268">
            <v>0</v>
          </cell>
        </row>
        <row r="269">
          <cell r="A269">
            <v>4269</v>
          </cell>
          <cell r="B269">
            <v>12</v>
          </cell>
          <cell r="C269" t="str">
            <v>QUEIJO PARMESAO 6 MESES SCALA 180GR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234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2</v>
          </cell>
          <cell r="P269">
            <v>0.03</v>
          </cell>
          <cell r="Q269">
            <v>0</v>
          </cell>
          <cell r="R269">
            <v>2.16</v>
          </cell>
          <cell r="S269">
            <v>0</v>
          </cell>
          <cell r="T269">
            <v>0</v>
          </cell>
        </row>
        <row r="270">
          <cell r="A270">
            <v>4268</v>
          </cell>
          <cell r="B270">
            <v>6</v>
          </cell>
          <cell r="C270" t="str">
            <v>QUEIJO MONTANHES SCALA 180GR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122.88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1</v>
          </cell>
          <cell r="P270">
            <v>0.01</v>
          </cell>
          <cell r="Q270">
            <v>0</v>
          </cell>
          <cell r="R270">
            <v>1.08</v>
          </cell>
          <cell r="S270">
            <v>0</v>
          </cell>
          <cell r="T270">
            <v>0</v>
          </cell>
        </row>
        <row r="271">
          <cell r="A271">
            <v>4267</v>
          </cell>
          <cell r="B271">
            <v>12.07</v>
          </cell>
          <cell r="C271" t="str">
            <v>QUEIJO PRATO MINI SCALA  KG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932.1</v>
          </cell>
          <cell r="K271">
            <v>0.01</v>
          </cell>
          <cell r="L271">
            <v>0</v>
          </cell>
          <cell r="M271">
            <v>0</v>
          </cell>
          <cell r="N271">
            <v>0</v>
          </cell>
          <cell r="O271">
            <v>4</v>
          </cell>
          <cell r="P271">
            <v>0.05</v>
          </cell>
          <cell r="Q271">
            <v>0</v>
          </cell>
          <cell r="R271">
            <v>12.07</v>
          </cell>
          <cell r="S271">
            <v>0</v>
          </cell>
          <cell r="T271">
            <v>0</v>
          </cell>
        </row>
        <row r="272">
          <cell r="A272">
            <v>4266</v>
          </cell>
          <cell r="B272">
            <v>6</v>
          </cell>
          <cell r="C272" t="str">
            <v>MUSSARELA MINI SCALA 400GR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158.76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1</v>
          </cell>
          <cell r="P272">
            <v>0.01</v>
          </cell>
          <cell r="Q272">
            <v>0</v>
          </cell>
          <cell r="R272">
            <v>2.4</v>
          </cell>
          <cell r="S272">
            <v>0</v>
          </cell>
          <cell r="T272">
            <v>0</v>
          </cell>
        </row>
        <row r="273">
          <cell r="A273">
            <v>4265</v>
          </cell>
          <cell r="B273">
            <v>24</v>
          </cell>
          <cell r="C273" t="str">
            <v>MUSSARELA BOLINHA SCALA 340GR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599.76</v>
          </cell>
          <cell r="K273">
            <v>0.01</v>
          </cell>
          <cell r="L273">
            <v>0</v>
          </cell>
          <cell r="M273">
            <v>0</v>
          </cell>
          <cell r="N273">
            <v>0</v>
          </cell>
          <cell r="O273">
            <v>4</v>
          </cell>
          <cell r="P273">
            <v>0.05</v>
          </cell>
          <cell r="Q273">
            <v>0</v>
          </cell>
          <cell r="R273">
            <v>8.16</v>
          </cell>
          <cell r="S273">
            <v>0</v>
          </cell>
          <cell r="T273">
            <v>0</v>
          </cell>
        </row>
        <row r="274">
          <cell r="A274">
            <v>4262</v>
          </cell>
          <cell r="B274">
            <v>7</v>
          </cell>
          <cell r="C274" t="str">
            <v>GALO GORDO ROSAVES CX/18KG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797.65</v>
          </cell>
          <cell r="K274">
            <v>0.01</v>
          </cell>
          <cell r="L274">
            <v>0</v>
          </cell>
          <cell r="M274">
            <v>0</v>
          </cell>
          <cell r="N274">
            <v>0</v>
          </cell>
          <cell r="O274">
            <v>7</v>
          </cell>
          <cell r="P274">
            <v>0.09</v>
          </cell>
          <cell r="Q274">
            <v>0</v>
          </cell>
          <cell r="R274">
            <v>126</v>
          </cell>
          <cell r="S274">
            <v>0</v>
          </cell>
          <cell r="T274">
            <v>0</v>
          </cell>
        </row>
        <row r="275">
          <cell r="A275">
            <v>4261</v>
          </cell>
          <cell r="B275">
            <v>22</v>
          </cell>
          <cell r="C275" t="str">
            <v>GALINHA GORDA ROSAVES CX/20KG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3799.13</v>
          </cell>
          <cell r="K275">
            <v>0.05</v>
          </cell>
          <cell r="L275">
            <v>0</v>
          </cell>
          <cell r="M275">
            <v>0</v>
          </cell>
          <cell r="N275">
            <v>0</v>
          </cell>
          <cell r="O275">
            <v>17</v>
          </cell>
          <cell r="P275">
            <v>0.23</v>
          </cell>
          <cell r="Q275">
            <v>0</v>
          </cell>
          <cell r="R275">
            <v>440</v>
          </cell>
          <cell r="S275">
            <v>0</v>
          </cell>
          <cell r="T275">
            <v>0</v>
          </cell>
        </row>
        <row r="276">
          <cell r="A276">
            <v>4257</v>
          </cell>
          <cell r="B276">
            <v>298.88</v>
          </cell>
          <cell r="C276" t="str">
            <v>FIGADO BOVINO HIPERCARNES KG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4426.93</v>
          </cell>
          <cell r="K276">
            <v>0.06</v>
          </cell>
          <cell r="L276">
            <v>0</v>
          </cell>
          <cell r="M276">
            <v>0</v>
          </cell>
          <cell r="N276">
            <v>0</v>
          </cell>
          <cell r="O276">
            <v>10</v>
          </cell>
          <cell r="P276">
            <v>0.13</v>
          </cell>
          <cell r="Q276">
            <v>0</v>
          </cell>
          <cell r="R276">
            <v>298.88</v>
          </cell>
          <cell r="S276">
            <v>0</v>
          </cell>
          <cell r="T276">
            <v>0</v>
          </cell>
        </row>
        <row r="277">
          <cell r="A277">
            <v>4249</v>
          </cell>
          <cell r="B277">
            <v>1</v>
          </cell>
          <cell r="C277" t="str">
            <v>COCO RALADO SECO 100 % DUCOCO 1KG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53.9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1</v>
          </cell>
          <cell r="P277">
            <v>0.01</v>
          </cell>
          <cell r="Q277">
            <v>0</v>
          </cell>
          <cell r="R277">
            <v>1</v>
          </cell>
          <cell r="S277">
            <v>0</v>
          </cell>
          <cell r="T277">
            <v>0</v>
          </cell>
        </row>
        <row r="278">
          <cell r="A278">
            <v>4233</v>
          </cell>
          <cell r="B278">
            <v>230.25</v>
          </cell>
          <cell r="C278" t="str">
            <v>MUSCULO DIANTEIRO CARA BRANCA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7107.76</v>
          </cell>
          <cell r="K278">
            <v>0.09</v>
          </cell>
          <cell r="L278">
            <v>0</v>
          </cell>
          <cell r="M278">
            <v>0</v>
          </cell>
          <cell r="N278">
            <v>0</v>
          </cell>
          <cell r="O278">
            <v>5</v>
          </cell>
          <cell r="P278">
            <v>7.0000000000000007E-2</v>
          </cell>
          <cell r="Q278">
            <v>0</v>
          </cell>
          <cell r="R278">
            <v>230.25</v>
          </cell>
          <cell r="S278">
            <v>0</v>
          </cell>
          <cell r="T278">
            <v>0</v>
          </cell>
        </row>
        <row r="279">
          <cell r="A279">
            <v>4225</v>
          </cell>
          <cell r="B279">
            <v>3</v>
          </cell>
          <cell r="C279" t="str">
            <v>SALAME PISTACHE SEARA GOURMET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13.62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2</v>
          </cell>
          <cell r="P279">
            <v>0.03</v>
          </cell>
          <cell r="Q279">
            <v>0</v>
          </cell>
          <cell r="R279">
            <v>0.48</v>
          </cell>
          <cell r="S279">
            <v>0</v>
          </cell>
          <cell r="T279">
            <v>0</v>
          </cell>
        </row>
        <row r="280">
          <cell r="A280">
            <v>4224</v>
          </cell>
          <cell r="B280">
            <v>1</v>
          </cell>
          <cell r="C280" t="str">
            <v>LING SUINA REZENDE CX/32X600G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350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1</v>
          </cell>
          <cell r="P280">
            <v>0.01</v>
          </cell>
          <cell r="Q280">
            <v>0</v>
          </cell>
          <cell r="R280">
            <v>19.2</v>
          </cell>
          <cell r="S280">
            <v>0</v>
          </cell>
          <cell r="T280">
            <v>0</v>
          </cell>
        </row>
        <row r="281">
          <cell r="A281">
            <v>421</v>
          </cell>
          <cell r="B281">
            <v>9</v>
          </cell>
          <cell r="C281" t="str">
            <v>AGUA COCO MAIS COCO CX\24X200ML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477.36</v>
          </cell>
          <cell r="K281">
            <v>0.01</v>
          </cell>
          <cell r="L281">
            <v>0</v>
          </cell>
          <cell r="M281">
            <v>0</v>
          </cell>
          <cell r="N281">
            <v>0</v>
          </cell>
          <cell r="O281">
            <v>6</v>
          </cell>
          <cell r="P281">
            <v>0.08</v>
          </cell>
          <cell r="Q281">
            <v>0</v>
          </cell>
          <cell r="R281">
            <v>43.2</v>
          </cell>
          <cell r="S281">
            <v>0</v>
          </cell>
          <cell r="T281">
            <v>0</v>
          </cell>
        </row>
        <row r="282">
          <cell r="A282">
            <v>4203</v>
          </cell>
          <cell r="B282">
            <v>1</v>
          </cell>
          <cell r="C282" t="str">
            <v>PRESUNTO ALEMÃO SEARA FATIADO CX/18X100GR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107.64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1</v>
          </cell>
          <cell r="P282">
            <v>0.01</v>
          </cell>
          <cell r="Q282">
            <v>0</v>
          </cell>
          <cell r="R282">
            <v>1.8</v>
          </cell>
          <cell r="S282">
            <v>0</v>
          </cell>
          <cell r="T282">
            <v>0</v>
          </cell>
        </row>
        <row r="283">
          <cell r="A283">
            <v>4202</v>
          </cell>
          <cell r="B283">
            <v>10</v>
          </cell>
          <cell r="C283" t="str">
            <v>AGUA COCO DUCOCO BLEND CX/27X200ML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557.09</v>
          </cell>
          <cell r="K283">
            <v>0.01</v>
          </cell>
          <cell r="L283">
            <v>0</v>
          </cell>
          <cell r="M283">
            <v>0</v>
          </cell>
          <cell r="N283">
            <v>0</v>
          </cell>
          <cell r="O283">
            <v>8</v>
          </cell>
          <cell r="P283">
            <v>0.11</v>
          </cell>
          <cell r="Q283">
            <v>0</v>
          </cell>
          <cell r="R283">
            <v>48</v>
          </cell>
          <cell r="S283">
            <v>0</v>
          </cell>
          <cell r="T283">
            <v>0</v>
          </cell>
        </row>
        <row r="284">
          <cell r="A284">
            <v>4201</v>
          </cell>
          <cell r="B284">
            <v>6</v>
          </cell>
          <cell r="C284" t="str">
            <v>AGUA COCO DUCOCO  BLEND CX/12X1LT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578.96</v>
          </cell>
          <cell r="K284">
            <v>0.01</v>
          </cell>
          <cell r="L284">
            <v>0</v>
          </cell>
          <cell r="M284">
            <v>0</v>
          </cell>
          <cell r="N284">
            <v>0</v>
          </cell>
          <cell r="O284">
            <v>5</v>
          </cell>
          <cell r="P284">
            <v>7.0000000000000007E-2</v>
          </cell>
          <cell r="Q284">
            <v>0</v>
          </cell>
          <cell r="R284">
            <v>72</v>
          </cell>
          <cell r="S284">
            <v>0</v>
          </cell>
          <cell r="T284">
            <v>0</v>
          </cell>
        </row>
        <row r="285">
          <cell r="A285">
            <v>420</v>
          </cell>
          <cell r="B285">
            <v>9</v>
          </cell>
          <cell r="C285" t="str">
            <v>AGUA COCO MAIS COCO CX\12X1000ML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789.38</v>
          </cell>
          <cell r="K285">
            <v>0.01</v>
          </cell>
          <cell r="L285">
            <v>0</v>
          </cell>
          <cell r="M285">
            <v>0</v>
          </cell>
          <cell r="N285">
            <v>0</v>
          </cell>
          <cell r="O285">
            <v>5</v>
          </cell>
          <cell r="P285">
            <v>7.0000000000000007E-2</v>
          </cell>
          <cell r="Q285">
            <v>0</v>
          </cell>
          <cell r="R285">
            <v>108</v>
          </cell>
          <cell r="S285">
            <v>0</v>
          </cell>
          <cell r="T285">
            <v>0</v>
          </cell>
        </row>
        <row r="286">
          <cell r="A286">
            <v>42</v>
          </cell>
          <cell r="B286">
            <v>257</v>
          </cell>
          <cell r="C286" t="str">
            <v>COXINHA DA ASA ENVEL  RIVELLI CX 20KG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51415.69</v>
          </cell>
          <cell r="K286">
            <v>0.67</v>
          </cell>
          <cell r="L286">
            <v>0</v>
          </cell>
          <cell r="M286">
            <v>0</v>
          </cell>
          <cell r="N286">
            <v>0</v>
          </cell>
          <cell r="O286">
            <v>94</v>
          </cell>
          <cell r="P286">
            <v>1.27</v>
          </cell>
          <cell r="Q286">
            <v>0</v>
          </cell>
          <cell r="R286">
            <v>5140</v>
          </cell>
          <cell r="S286">
            <v>0</v>
          </cell>
          <cell r="T286">
            <v>0</v>
          </cell>
        </row>
        <row r="287">
          <cell r="A287">
            <v>4191</v>
          </cell>
          <cell r="B287">
            <v>321</v>
          </cell>
          <cell r="C287" t="str">
            <v>LING CHURRASCO LEBON 32X600GR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86890.95</v>
          </cell>
          <cell r="K287">
            <v>1.1399999999999999</v>
          </cell>
          <cell r="L287">
            <v>826.35</v>
          </cell>
          <cell r="M287">
            <v>2.5099999999999998</v>
          </cell>
          <cell r="N287">
            <v>3</v>
          </cell>
          <cell r="O287">
            <v>219</v>
          </cell>
          <cell r="P287">
            <v>2.95</v>
          </cell>
          <cell r="Q287">
            <v>0</v>
          </cell>
          <cell r="R287">
            <v>6163.2</v>
          </cell>
          <cell r="S287">
            <v>0</v>
          </cell>
          <cell r="T287">
            <v>57.6</v>
          </cell>
        </row>
        <row r="288">
          <cell r="A288">
            <v>4189</v>
          </cell>
          <cell r="B288">
            <v>2</v>
          </cell>
          <cell r="C288" t="str">
            <v>FILEZINHO DE PEITO BDJ PIF PAF CX\12X1KG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435.12</v>
          </cell>
          <cell r="K288">
            <v>0.01</v>
          </cell>
          <cell r="L288">
            <v>0</v>
          </cell>
          <cell r="M288">
            <v>0</v>
          </cell>
          <cell r="N288">
            <v>0</v>
          </cell>
          <cell r="O288">
            <v>2</v>
          </cell>
          <cell r="P288">
            <v>0.03</v>
          </cell>
          <cell r="Q288">
            <v>0</v>
          </cell>
          <cell r="R288">
            <v>24</v>
          </cell>
          <cell r="S288">
            <v>0</v>
          </cell>
          <cell r="T288">
            <v>0</v>
          </cell>
        </row>
        <row r="289">
          <cell r="A289">
            <v>4188</v>
          </cell>
          <cell r="B289">
            <v>4</v>
          </cell>
          <cell r="C289" t="str">
            <v>LEITE CONDENSADO CEMIL 2X5KG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674.24</v>
          </cell>
          <cell r="K289">
            <v>0.01</v>
          </cell>
          <cell r="L289">
            <v>0</v>
          </cell>
          <cell r="M289">
            <v>0</v>
          </cell>
          <cell r="N289">
            <v>0</v>
          </cell>
          <cell r="O289">
            <v>1</v>
          </cell>
          <cell r="P289">
            <v>0.01</v>
          </cell>
          <cell r="Q289">
            <v>0</v>
          </cell>
          <cell r="R289">
            <v>40</v>
          </cell>
          <cell r="S289">
            <v>0</v>
          </cell>
          <cell r="T289">
            <v>0</v>
          </cell>
        </row>
        <row r="290">
          <cell r="A290">
            <v>4183</v>
          </cell>
          <cell r="B290">
            <v>996.22</v>
          </cell>
          <cell r="C290" t="str">
            <v>TOUCINHO SUINO LOMBAR  DICASA  KG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13294.66</v>
          </cell>
          <cell r="K290">
            <v>0.17</v>
          </cell>
          <cell r="L290">
            <v>300.39999999999998</v>
          </cell>
          <cell r="M290">
            <v>0.91</v>
          </cell>
          <cell r="N290">
            <v>22.71</v>
          </cell>
          <cell r="O290">
            <v>40</v>
          </cell>
          <cell r="P290">
            <v>0.54</v>
          </cell>
          <cell r="Q290">
            <v>0</v>
          </cell>
          <cell r="R290">
            <v>996.22</v>
          </cell>
          <cell r="S290">
            <v>0</v>
          </cell>
          <cell r="T290">
            <v>22.71</v>
          </cell>
        </row>
        <row r="291">
          <cell r="A291">
            <v>4182</v>
          </cell>
          <cell r="B291">
            <v>1599.31</v>
          </cell>
          <cell r="C291" t="str">
            <v>COSTELA SUINA EM TIRAS DICASA KG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27542.78</v>
          </cell>
          <cell r="K291">
            <v>0.36</v>
          </cell>
          <cell r="L291">
            <v>373.28</v>
          </cell>
          <cell r="M291">
            <v>1.1299999999999999</v>
          </cell>
          <cell r="N291">
            <v>21.33</v>
          </cell>
          <cell r="O291">
            <v>52</v>
          </cell>
          <cell r="P291">
            <v>0.7</v>
          </cell>
          <cell r="Q291">
            <v>0</v>
          </cell>
          <cell r="R291">
            <v>1599.31</v>
          </cell>
          <cell r="S291">
            <v>0</v>
          </cell>
          <cell r="T291">
            <v>21.33</v>
          </cell>
        </row>
        <row r="292">
          <cell r="A292">
            <v>4179</v>
          </cell>
          <cell r="B292">
            <v>6</v>
          </cell>
          <cell r="C292" t="str">
            <v>TILAPIA POSTA C VALE CX 16X800G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2079.75</v>
          </cell>
          <cell r="K292">
            <v>0.03</v>
          </cell>
          <cell r="L292">
            <v>0</v>
          </cell>
          <cell r="M292">
            <v>0</v>
          </cell>
          <cell r="N292">
            <v>0</v>
          </cell>
          <cell r="O292">
            <v>5</v>
          </cell>
          <cell r="P292">
            <v>7.0000000000000007E-2</v>
          </cell>
          <cell r="Q292">
            <v>0</v>
          </cell>
          <cell r="R292">
            <v>76.8</v>
          </cell>
          <cell r="S292">
            <v>0</v>
          </cell>
          <cell r="T292">
            <v>0</v>
          </cell>
        </row>
        <row r="293">
          <cell r="A293">
            <v>4178</v>
          </cell>
          <cell r="B293">
            <v>28</v>
          </cell>
          <cell r="C293" t="str">
            <v>FILE TILAPIA C VALE CX 24X400G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12899.6</v>
          </cell>
          <cell r="K293">
            <v>0.17</v>
          </cell>
          <cell r="L293">
            <v>0</v>
          </cell>
          <cell r="M293">
            <v>0</v>
          </cell>
          <cell r="N293">
            <v>0</v>
          </cell>
          <cell r="O293">
            <v>27</v>
          </cell>
          <cell r="P293">
            <v>0.36</v>
          </cell>
          <cell r="Q293">
            <v>0</v>
          </cell>
          <cell r="R293">
            <v>268.8</v>
          </cell>
          <cell r="S293">
            <v>0</v>
          </cell>
          <cell r="T293">
            <v>0</v>
          </cell>
        </row>
        <row r="294">
          <cell r="A294">
            <v>4177</v>
          </cell>
          <cell r="B294">
            <v>6</v>
          </cell>
          <cell r="C294" t="str">
            <v>FILE TILAPIA PEDACOS C VALE CX 22X500G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2923.28</v>
          </cell>
          <cell r="K294">
            <v>0.04</v>
          </cell>
          <cell r="L294">
            <v>483.92</v>
          </cell>
          <cell r="M294">
            <v>1.47</v>
          </cell>
          <cell r="N294">
            <v>1</v>
          </cell>
          <cell r="O294">
            <v>6</v>
          </cell>
          <cell r="P294">
            <v>0.08</v>
          </cell>
          <cell r="Q294">
            <v>0</v>
          </cell>
          <cell r="R294">
            <v>66</v>
          </cell>
          <cell r="S294">
            <v>0</v>
          </cell>
          <cell r="T294">
            <v>11</v>
          </cell>
        </row>
        <row r="295">
          <cell r="A295">
            <v>4176</v>
          </cell>
          <cell r="B295">
            <v>10</v>
          </cell>
          <cell r="C295" t="str">
            <v>PETISCO TILAPIA BARRIGA C VALE CX 20X500G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3399.6</v>
          </cell>
          <cell r="K295">
            <v>0.04</v>
          </cell>
          <cell r="L295">
            <v>0</v>
          </cell>
          <cell r="M295">
            <v>0</v>
          </cell>
          <cell r="N295">
            <v>0</v>
          </cell>
          <cell r="O295">
            <v>10</v>
          </cell>
          <cell r="P295">
            <v>0.13</v>
          </cell>
          <cell r="Q295">
            <v>0</v>
          </cell>
          <cell r="R295">
            <v>100</v>
          </cell>
          <cell r="S295">
            <v>0</v>
          </cell>
          <cell r="T295">
            <v>0</v>
          </cell>
        </row>
        <row r="296">
          <cell r="A296">
            <v>4166</v>
          </cell>
          <cell r="B296">
            <v>1</v>
          </cell>
          <cell r="C296" t="str">
            <v>MINI HAMB BOV/SUI SEARA 9X300GR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71.819999999999993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1</v>
          </cell>
          <cell r="P296">
            <v>0.01</v>
          </cell>
          <cell r="Q296">
            <v>0</v>
          </cell>
          <cell r="R296">
            <v>2.7</v>
          </cell>
          <cell r="S296">
            <v>0</v>
          </cell>
          <cell r="T296">
            <v>0</v>
          </cell>
        </row>
        <row r="297">
          <cell r="A297">
            <v>4163</v>
          </cell>
          <cell r="B297">
            <v>2</v>
          </cell>
          <cell r="C297" t="str">
            <v>FILEZINHO SASSAMI TEMP. IQF LAR CX\20X700GR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447.86</v>
          </cell>
          <cell r="K297">
            <v>0.01</v>
          </cell>
          <cell r="L297">
            <v>0</v>
          </cell>
          <cell r="M297">
            <v>0</v>
          </cell>
          <cell r="N297">
            <v>0</v>
          </cell>
          <cell r="O297">
            <v>1</v>
          </cell>
          <cell r="P297">
            <v>0.01</v>
          </cell>
          <cell r="Q297">
            <v>0</v>
          </cell>
          <cell r="R297">
            <v>28</v>
          </cell>
          <cell r="S297">
            <v>0</v>
          </cell>
          <cell r="T297">
            <v>0</v>
          </cell>
        </row>
        <row r="298">
          <cell r="A298">
            <v>4162</v>
          </cell>
          <cell r="B298">
            <v>1</v>
          </cell>
          <cell r="C298" t="str">
            <v>MEIO DA ASA TEMPERADO PIF PAF CX\24X700GR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414.54</v>
          </cell>
          <cell r="K298">
            <v>0.01</v>
          </cell>
          <cell r="L298">
            <v>0</v>
          </cell>
          <cell r="M298">
            <v>0</v>
          </cell>
          <cell r="N298">
            <v>0</v>
          </cell>
          <cell r="O298">
            <v>1</v>
          </cell>
          <cell r="P298">
            <v>0.01</v>
          </cell>
          <cell r="Q298">
            <v>0</v>
          </cell>
          <cell r="R298">
            <v>16.8</v>
          </cell>
          <cell r="S298">
            <v>0</v>
          </cell>
          <cell r="T298">
            <v>0</v>
          </cell>
        </row>
        <row r="299">
          <cell r="A299">
            <v>4156</v>
          </cell>
          <cell r="B299">
            <v>1</v>
          </cell>
          <cell r="C299" t="str">
            <v>PEITO FRANGO ENVELOPADO LAR CX\18KG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179.9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1</v>
          </cell>
          <cell r="P299">
            <v>0.01</v>
          </cell>
          <cell r="Q299">
            <v>0</v>
          </cell>
          <cell r="R299">
            <v>18</v>
          </cell>
          <cell r="S299">
            <v>0</v>
          </cell>
          <cell r="T299">
            <v>0</v>
          </cell>
        </row>
        <row r="300">
          <cell r="A300">
            <v>4151</v>
          </cell>
          <cell r="B300">
            <v>54</v>
          </cell>
          <cell r="C300" t="str">
            <v>CORACAO FRANGO PCT RIVELLI CX\30X700GR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36846.239999999998</v>
          </cell>
          <cell r="K300">
            <v>0.48</v>
          </cell>
          <cell r="L300">
            <v>0</v>
          </cell>
          <cell r="M300">
            <v>0</v>
          </cell>
          <cell r="N300">
            <v>0</v>
          </cell>
          <cell r="O300">
            <v>33</v>
          </cell>
          <cell r="P300">
            <v>0.44</v>
          </cell>
          <cell r="Q300">
            <v>0</v>
          </cell>
          <cell r="R300">
            <v>1134</v>
          </cell>
          <cell r="S300">
            <v>0</v>
          </cell>
          <cell r="T300">
            <v>0</v>
          </cell>
        </row>
        <row r="301">
          <cell r="A301">
            <v>4147</v>
          </cell>
          <cell r="B301">
            <v>65.08</v>
          </cell>
          <cell r="C301" t="str">
            <v>ACEM BOVINO CARA BRANCA KG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2340.8200000000002</v>
          </cell>
          <cell r="K301">
            <v>0.03</v>
          </cell>
          <cell r="L301">
            <v>0</v>
          </cell>
          <cell r="M301">
            <v>0</v>
          </cell>
          <cell r="N301">
            <v>0</v>
          </cell>
          <cell r="O301">
            <v>3</v>
          </cell>
          <cell r="P301">
            <v>0.04</v>
          </cell>
          <cell r="Q301">
            <v>0</v>
          </cell>
          <cell r="R301">
            <v>65.08</v>
          </cell>
          <cell r="S301">
            <v>0</v>
          </cell>
          <cell r="T301">
            <v>0</v>
          </cell>
        </row>
        <row r="302">
          <cell r="A302">
            <v>4145</v>
          </cell>
          <cell r="B302">
            <v>419</v>
          </cell>
          <cell r="C302" t="str">
            <v>MILHO VERDE LATAO PREDILECTA 1,5KG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8269.52</v>
          </cell>
          <cell r="K302">
            <v>0.11</v>
          </cell>
          <cell r="L302">
            <v>0</v>
          </cell>
          <cell r="M302">
            <v>0</v>
          </cell>
          <cell r="N302">
            <v>0</v>
          </cell>
          <cell r="O302">
            <v>61</v>
          </cell>
          <cell r="P302">
            <v>0.82</v>
          </cell>
          <cell r="Q302">
            <v>0</v>
          </cell>
          <cell r="R302">
            <v>628.5</v>
          </cell>
          <cell r="S302">
            <v>0</v>
          </cell>
          <cell r="T302">
            <v>0</v>
          </cell>
        </row>
        <row r="303">
          <cell r="A303">
            <v>4138</v>
          </cell>
          <cell r="B303">
            <v>74</v>
          </cell>
          <cell r="C303" t="str">
            <v>MANDIOCA EM CUBOS RIPA 10X800GR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6922.72</v>
          </cell>
          <cell r="K303">
            <v>0.09</v>
          </cell>
          <cell r="L303">
            <v>0</v>
          </cell>
          <cell r="M303">
            <v>0</v>
          </cell>
          <cell r="N303">
            <v>0</v>
          </cell>
          <cell r="O303">
            <v>46</v>
          </cell>
          <cell r="P303">
            <v>0.62</v>
          </cell>
          <cell r="Q303">
            <v>0</v>
          </cell>
          <cell r="R303">
            <v>592</v>
          </cell>
          <cell r="S303">
            <v>0</v>
          </cell>
          <cell r="T303">
            <v>0</v>
          </cell>
        </row>
        <row r="304">
          <cell r="A304">
            <v>4137</v>
          </cell>
          <cell r="B304">
            <v>142</v>
          </cell>
          <cell r="C304" t="str">
            <v>FARINHA TRIGO SALGADOS SUPREMA 5KG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2843.91</v>
          </cell>
          <cell r="K304">
            <v>0.04</v>
          </cell>
          <cell r="L304">
            <v>0</v>
          </cell>
          <cell r="M304">
            <v>0</v>
          </cell>
          <cell r="N304">
            <v>0</v>
          </cell>
          <cell r="O304">
            <v>14</v>
          </cell>
          <cell r="P304">
            <v>0.19</v>
          </cell>
          <cell r="Q304">
            <v>0</v>
          </cell>
          <cell r="R304">
            <v>710</v>
          </cell>
          <cell r="S304">
            <v>0</v>
          </cell>
          <cell r="T304">
            <v>0</v>
          </cell>
        </row>
        <row r="305">
          <cell r="A305">
            <v>4136</v>
          </cell>
          <cell r="B305">
            <v>38</v>
          </cell>
          <cell r="C305" t="str">
            <v>AZEITONA VERDE C/CAROCO COPO ABRE FACIL TOZZI  24X100GR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3918.6</v>
          </cell>
          <cell r="K305">
            <v>0.05</v>
          </cell>
          <cell r="L305">
            <v>0</v>
          </cell>
          <cell r="M305">
            <v>0</v>
          </cell>
          <cell r="N305">
            <v>0</v>
          </cell>
          <cell r="O305">
            <v>22</v>
          </cell>
          <cell r="P305">
            <v>0.3</v>
          </cell>
          <cell r="Q305">
            <v>0</v>
          </cell>
          <cell r="R305">
            <v>91.2</v>
          </cell>
          <cell r="S305">
            <v>0</v>
          </cell>
          <cell r="T305">
            <v>0</v>
          </cell>
        </row>
        <row r="306">
          <cell r="A306">
            <v>4133</v>
          </cell>
          <cell r="B306">
            <v>14</v>
          </cell>
          <cell r="C306" t="str">
            <v>PASTA ALHO SEARA CX\24X200GR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1437.54</v>
          </cell>
          <cell r="K306">
            <v>0.02</v>
          </cell>
          <cell r="L306">
            <v>0</v>
          </cell>
          <cell r="M306">
            <v>0</v>
          </cell>
          <cell r="N306">
            <v>0</v>
          </cell>
          <cell r="O306">
            <v>11</v>
          </cell>
          <cell r="P306">
            <v>0.15</v>
          </cell>
          <cell r="Q306">
            <v>0</v>
          </cell>
          <cell r="R306">
            <v>67.2</v>
          </cell>
          <cell r="S306">
            <v>0</v>
          </cell>
          <cell r="T306">
            <v>0</v>
          </cell>
        </row>
        <row r="307">
          <cell r="A307">
            <v>413</v>
          </cell>
          <cell r="B307">
            <v>24</v>
          </cell>
          <cell r="C307" t="str">
            <v>LASANHA BOLONHESA SEARA CX\10X600GR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3256.8</v>
          </cell>
          <cell r="K307">
            <v>0.04</v>
          </cell>
          <cell r="L307">
            <v>0</v>
          </cell>
          <cell r="M307">
            <v>0</v>
          </cell>
          <cell r="N307">
            <v>0</v>
          </cell>
          <cell r="O307">
            <v>23</v>
          </cell>
          <cell r="P307">
            <v>0.31</v>
          </cell>
          <cell r="Q307">
            <v>0</v>
          </cell>
          <cell r="R307">
            <v>144</v>
          </cell>
          <cell r="S307">
            <v>0</v>
          </cell>
          <cell r="T307">
            <v>0</v>
          </cell>
        </row>
        <row r="308">
          <cell r="A308">
            <v>4127</v>
          </cell>
          <cell r="B308">
            <v>8</v>
          </cell>
          <cell r="C308" t="str">
            <v>LING FRANGO PETISCO LAR CX\20X700GR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1683.64</v>
          </cell>
          <cell r="K308">
            <v>0.02</v>
          </cell>
          <cell r="L308">
            <v>0</v>
          </cell>
          <cell r="M308">
            <v>0</v>
          </cell>
          <cell r="N308">
            <v>0</v>
          </cell>
          <cell r="O308">
            <v>8</v>
          </cell>
          <cell r="P308">
            <v>0.11</v>
          </cell>
          <cell r="Q308">
            <v>0</v>
          </cell>
          <cell r="R308">
            <v>112</v>
          </cell>
          <cell r="S308">
            <v>0</v>
          </cell>
          <cell r="T308">
            <v>0</v>
          </cell>
        </row>
        <row r="309">
          <cell r="A309">
            <v>4126</v>
          </cell>
          <cell r="B309">
            <v>2</v>
          </cell>
          <cell r="C309" t="str">
            <v>TIRINHAS DE FRANGO LAR CX\10X700GR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216.88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2</v>
          </cell>
          <cell r="P309">
            <v>0.03</v>
          </cell>
          <cell r="Q309">
            <v>0</v>
          </cell>
          <cell r="R309">
            <v>14</v>
          </cell>
          <cell r="S309">
            <v>0</v>
          </cell>
          <cell r="T309">
            <v>0</v>
          </cell>
        </row>
        <row r="310">
          <cell r="A310">
            <v>4125</v>
          </cell>
          <cell r="B310">
            <v>12</v>
          </cell>
          <cell r="C310" t="str">
            <v>LING FRANGO FINA LAR CX\15X1KG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2347</v>
          </cell>
          <cell r="K310">
            <v>0.03</v>
          </cell>
          <cell r="L310">
            <v>0</v>
          </cell>
          <cell r="M310">
            <v>0</v>
          </cell>
          <cell r="N310">
            <v>0</v>
          </cell>
          <cell r="O310">
            <v>11</v>
          </cell>
          <cell r="P310">
            <v>0.15</v>
          </cell>
          <cell r="Q310">
            <v>0</v>
          </cell>
          <cell r="R310">
            <v>180</v>
          </cell>
          <cell r="S310">
            <v>0</v>
          </cell>
          <cell r="T310">
            <v>0</v>
          </cell>
        </row>
        <row r="311">
          <cell r="A311">
            <v>4123</v>
          </cell>
          <cell r="B311">
            <v>33</v>
          </cell>
          <cell r="C311" t="str">
            <v>CORACAO FRANGO BANDEJA LAR CX16X1KG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17598.53</v>
          </cell>
          <cell r="K311">
            <v>0.23</v>
          </cell>
          <cell r="L311">
            <v>0</v>
          </cell>
          <cell r="M311">
            <v>0</v>
          </cell>
          <cell r="N311">
            <v>0</v>
          </cell>
          <cell r="O311">
            <v>31</v>
          </cell>
          <cell r="P311">
            <v>0.42</v>
          </cell>
          <cell r="Q311">
            <v>0</v>
          </cell>
          <cell r="R311">
            <v>528</v>
          </cell>
          <cell r="S311">
            <v>0</v>
          </cell>
          <cell r="T311">
            <v>0</v>
          </cell>
        </row>
        <row r="312">
          <cell r="A312">
            <v>412</v>
          </cell>
          <cell r="B312">
            <v>19</v>
          </cell>
          <cell r="C312" t="str">
            <v>HOT HIT BACON CHEDDAR SEARA CX\18X145G</v>
          </cell>
          <cell r="D312">
            <v>1645.87</v>
          </cell>
          <cell r="E312">
            <v>0.04</v>
          </cell>
          <cell r="F312">
            <v>20</v>
          </cell>
          <cell r="G312">
            <v>0</v>
          </cell>
          <cell r="H312">
            <v>0</v>
          </cell>
          <cell r="I312">
            <v>0</v>
          </cell>
          <cell r="J312">
            <v>1917.6</v>
          </cell>
          <cell r="K312">
            <v>0.03</v>
          </cell>
          <cell r="L312">
            <v>0</v>
          </cell>
          <cell r="M312">
            <v>0</v>
          </cell>
          <cell r="N312">
            <v>0</v>
          </cell>
          <cell r="O312">
            <v>18</v>
          </cell>
          <cell r="P312">
            <v>0.24</v>
          </cell>
          <cell r="Q312">
            <v>43.5</v>
          </cell>
          <cell r="R312">
            <v>41.33</v>
          </cell>
          <cell r="S312">
            <v>0</v>
          </cell>
          <cell r="T312">
            <v>0</v>
          </cell>
        </row>
        <row r="313">
          <cell r="A313">
            <v>4111</v>
          </cell>
          <cell r="B313">
            <v>9</v>
          </cell>
          <cell r="C313" t="str">
            <v>MILHO VERDE LATA RAMY CX\30X170GR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786.72</v>
          </cell>
          <cell r="K313">
            <v>0.01</v>
          </cell>
          <cell r="L313">
            <v>0</v>
          </cell>
          <cell r="M313">
            <v>0</v>
          </cell>
          <cell r="N313">
            <v>0</v>
          </cell>
          <cell r="O313">
            <v>8</v>
          </cell>
          <cell r="P313">
            <v>0.11</v>
          </cell>
          <cell r="Q313">
            <v>0</v>
          </cell>
          <cell r="R313">
            <v>45.9</v>
          </cell>
          <cell r="S313">
            <v>0</v>
          </cell>
          <cell r="T313">
            <v>0</v>
          </cell>
        </row>
        <row r="314">
          <cell r="A314">
            <v>411</v>
          </cell>
          <cell r="B314">
            <v>27</v>
          </cell>
          <cell r="C314" t="str">
            <v>HOT HIT BACON SEARA CX\18X145G</v>
          </cell>
          <cell r="D314">
            <v>1645.87</v>
          </cell>
          <cell r="E314">
            <v>0.04</v>
          </cell>
          <cell r="F314">
            <v>20</v>
          </cell>
          <cell r="G314">
            <v>0</v>
          </cell>
          <cell r="H314">
            <v>0</v>
          </cell>
          <cell r="I314">
            <v>0</v>
          </cell>
          <cell r="J314">
            <v>2617.3200000000002</v>
          </cell>
          <cell r="K314">
            <v>0.03</v>
          </cell>
          <cell r="L314">
            <v>0</v>
          </cell>
          <cell r="M314">
            <v>0</v>
          </cell>
          <cell r="N314">
            <v>0</v>
          </cell>
          <cell r="O314">
            <v>25</v>
          </cell>
          <cell r="P314">
            <v>0.34</v>
          </cell>
          <cell r="Q314">
            <v>43.5</v>
          </cell>
          <cell r="R314">
            <v>58.72</v>
          </cell>
          <cell r="S314">
            <v>0</v>
          </cell>
          <cell r="T314">
            <v>0</v>
          </cell>
        </row>
        <row r="315">
          <cell r="A315">
            <v>4103</v>
          </cell>
          <cell r="B315">
            <v>23</v>
          </cell>
          <cell r="C315" t="str">
            <v>MAIONESE SOYA SACHE 3KG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620.4</v>
          </cell>
          <cell r="K315">
            <v>0.01</v>
          </cell>
          <cell r="L315">
            <v>0</v>
          </cell>
          <cell r="M315">
            <v>0</v>
          </cell>
          <cell r="N315">
            <v>0</v>
          </cell>
          <cell r="O315">
            <v>3</v>
          </cell>
          <cell r="P315">
            <v>0.04</v>
          </cell>
          <cell r="Q315">
            <v>0</v>
          </cell>
          <cell r="R315">
            <v>69</v>
          </cell>
          <cell r="S315">
            <v>0</v>
          </cell>
          <cell r="T315">
            <v>0</v>
          </cell>
        </row>
        <row r="316">
          <cell r="A316">
            <v>4102</v>
          </cell>
          <cell r="B316">
            <v>17</v>
          </cell>
          <cell r="C316" t="str">
            <v>MAIONESE SOYA BALDE 3KG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494.83</v>
          </cell>
          <cell r="K316">
            <v>0.01</v>
          </cell>
          <cell r="L316">
            <v>0</v>
          </cell>
          <cell r="M316">
            <v>0</v>
          </cell>
          <cell r="N316">
            <v>0</v>
          </cell>
          <cell r="O316">
            <v>4</v>
          </cell>
          <cell r="P316">
            <v>0.05</v>
          </cell>
          <cell r="Q316">
            <v>0</v>
          </cell>
          <cell r="R316">
            <v>51</v>
          </cell>
          <cell r="S316">
            <v>0</v>
          </cell>
          <cell r="T316">
            <v>0</v>
          </cell>
        </row>
        <row r="317">
          <cell r="A317">
            <v>410</v>
          </cell>
          <cell r="B317">
            <v>1</v>
          </cell>
          <cell r="C317" t="str">
            <v>HAMBURGUER BOVINO SEARA CX\15X672GR</v>
          </cell>
          <cell r="D317">
            <v>1325.52</v>
          </cell>
          <cell r="E317">
            <v>0.03</v>
          </cell>
          <cell r="F317">
            <v>5</v>
          </cell>
          <cell r="G317">
            <v>0</v>
          </cell>
          <cell r="H317">
            <v>0</v>
          </cell>
          <cell r="I317">
            <v>0</v>
          </cell>
          <cell r="J317">
            <v>314.87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2</v>
          </cell>
          <cell r="P317">
            <v>0.03</v>
          </cell>
          <cell r="Q317">
            <v>50.4</v>
          </cell>
          <cell r="R317">
            <v>10.08</v>
          </cell>
          <cell r="S317">
            <v>0</v>
          </cell>
          <cell r="T317">
            <v>0</v>
          </cell>
        </row>
        <row r="318">
          <cell r="A318">
            <v>4098</v>
          </cell>
          <cell r="B318">
            <v>2</v>
          </cell>
          <cell r="C318" t="str">
            <v>FARINHA TRIGO SUPREMA PREMIATA 5KG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51.48</v>
          </cell>
          <cell r="K318">
            <v>0</v>
          </cell>
          <cell r="L318">
            <v>26</v>
          </cell>
          <cell r="M318">
            <v>0.08</v>
          </cell>
          <cell r="N318">
            <v>1</v>
          </cell>
          <cell r="O318">
            <v>2</v>
          </cell>
          <cell r="P318">
            <v>0.03</v>
          </cell>
          <cell r="Q318">
            <v>0</v>
          </cell>
          <cell r="R318">
            <v>10</v>
          </cell>
          <cell r="S318">
            <v>0</v>
          </cell>
          <cell r="T318">
            <v>5</v>
          </cell>
        </row>
        <row r="319">
          <cell r="A319">
            <v>4095</v>
          </cell>
          <cell r="B319">
            <v>10</v>
          </cell>
          <cell r="C319" t="str">
            <v>BATATA P.FRITA CRINKLE QUALITY FRIES  CX\10X1,050KG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1448.4</v>
          </cell>
          <cell r="K319">
            <v>0.02</v>
          </cell>
          <cell r="L319">
            <v>0</v>
          </cell>
          <cell r="M319">
            <v>0</v>
          </cell>
          <cell r="N319">
            <v>0</v>
          </cell>
          <cell r="O319">
            <v>9</v>
          </cell>
          <cell r="P319">
            <v>0.12</v>
          </cell>
          <cell r="Q319">
            <v>0</v>
          </cell>
          <cell r="R319">
            <v>105</v>
          </cell>
          <cell r="S319">
            <v>0</v>
          </cell>
          <cell r="T319">
            <v>0</v>
          </cell>
        </row>
        <row r="320">
          <cell r="A320">
            <v>4089</v>
          </cell>
          <cell r="B320">
            <v>1</v>
          </cell>
          <cell r="C320" t="str">
            <v>SALSICHA T.VIENA LT ANGLO CX\24X180G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82.32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1</v>
          </cell>
          <cell r="P320">
            <v>0.01</v>
          </cell>
          <cell r="Q320">
            <v>0</v>
          </cell>
          <cell r="R320">
            <v>4.32</v>
          </cell>
          <cell r="S320">
            <v>0</v>
          </cell>
          <cell r="T320">
            <v>0</v>
          </cell>
        </row>
        <row r="321">
          <cell r="A321">
            <v>4087</v>
          </cell>
          <cell r="B321">
            <v>526.19000000000005</v>
          </cell>
          <cell r="C321" t="str">
            <v>MUSCULO BOVINO FRIGODIAS KG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15279.48</v>
          </cell>
          <cell r="K321">
            <v>0.2</v>
          </cell>
          <cell r="L321">
            <v>0</v>
          </cell>
          <cell r="M321">
            <v>0</v>
          </cell>
          <cell r="N321">
            <v>0</v>
          </cell>
          <cell r="O321">
            <v>16</v>
          </cell>
          <cell r="P321">
            <v>0.22</v>
          </cell>
          <cell r="Q321">
            <v>0</v>
          </cell>
          <cell r="R321">
            <v>526.19000000000005</v>
          </cell>
          <cell r="S321">
            <v>0</v>
          </cell>
          <cell r="T321">
            <v>0</v>
          </cell>
        </row>
        <row r="322">
          <cell r="A322">
            <v>4086</v>
          </cell>
          <cell r="B322">
            <v>26</v>
          </cell>
          <cell r="C322" t="str">
            <v>BEB. LACTEA MORANGO CEMIL CX\12X1LT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1280.5999999999999</v>
          </cell>
          <cell r="K322">
            <v>0.02</v>
          </cell>
          <cell r="L322">
            <v>0</v>
          </cell>
          <cell r="M322">
            <v>0</v>
          </cell>
          <cell r="N322">
            <v>0</v>
          </cell>
          <cell r="O322">
            <v>23</v>
          </cell>
          <cell r="P322">
            <v>0.31</v>
          </cell>
          <cell r="Q322">
            <v>0</v>
          </cell>
          <cell r="R322">
            <v>312</v>
          </cell>
          <cell r="S322">
            <v>0</v>
          </cell>
          <cell r="T322">
            <v>0</v>
          </cell>
        </row>
        <row r="323">
          <cell r="A323">
            <v>408</v>
          </cell>
          <cell r="B323">
            <v>6</v>
          </cell>
          <cell r="C323" t="str">
            <v>COXINHA EMPANADA SEARA CX/5X900GR</v>
          </cell>
          <cell r="D323">
            <v>3889.35</v>
          </cell>
          <cell r="E323">
            <v>0.09</v>
          </cell>
          <cell r="F323">
            <v>30</v>
          </cell>
          <cell r="G323">
            <v>0</v>
          </cell>
          <cell r="H323">
            <v>0</v>
          </cell>
          <cell r="I323">
            <v>0</v>
          </cell>
          <cell r="J323">
            <v>1043.7</v>
          </cell>
          <cell r="K323">
            <v>0.01</v>
          </cell>
          <cell r="L323">
            <v>0</v>
          </cell>
          <cell r="M323">
            <v>0</v>
          </cell>
          <cell r="N323">
            <v>0</v>
          </cell>
          <cell r="O323">
            <v>5</v>
          </cell>
          <cell r="P323">
            <v>7.0000000000000007E-2</v>
          </cell>
          <cell r="Q323">
            <v>135</v>
          </cell>
          <cell r="R323">
            <v>27</v>
          </cell>
          <cell r="S323">
            <v>0</v>
          </cell>
          <cell r="T323">
            <v>0</v>
          </cell>
        </row>
        <row r="324">
          <cell r="A324">
            <v>4079</v>
          </cell>
          <cell r="B324">
            <v>15</v>
          </cell>
          <cell r="C324" t="str">
            <v>FARINHA TRIGO PASTEL SUPREMA 5KG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389.55</v>
          </cell>
          <cell r="K324">
            <v>0.01</v>
          </cell>
          <cell r="L324">
            <v>0</v>
          </cell>
          <cell r="M324">
            <v>0</v>
          </cell>
          <cell r="N324">
            <v>0</v>
          </cell>
          <cell r="O324">
            <v>2</v>
          </cell>
          <cell r="P324">
            <v>0.03</v>
          </cell>
          <cell r="Q324">
            <v>0</v>
          </cell>
          <cell r="R324">
            <v>75</v>
          </cell>
          <cell r="S324">
            <v>0</v>
          </cell>
          <cell r="T324">
            <v>0</v>
          </cell>
        </row>
        <row r="325">
          <cell r="A325">
            <v>4078</v>
          </cell>
          <cell r="B325">
            <v>214</v>
          </cell>
          <cell r="C325" t="str">
            <v>FARINHA TRIGO PIZZA SUPREMA 5KG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4442.9399999999996</v>
          </cell>
          <cell r="K325">
            <v>0.06</v>
          </cell>
          <cell r="L325">
            <v>0</v>
          </cell>
          <cell r="M325">
            <v>0</v>
          </cell>
          <cell r="N325">
            <v>0</v>
          </cell>
          <cell r="O325">
            <v>14</v>
          </cell>
          <cell r="P325">
            <v>0.19</v>
          </cell>
          <cell r="Q325">
            <v>0</v>
          </cell>
          <cell r="R325">
            <v>1070</v>
          </cell>
          <cell r="S325">
            <v>0</v>
          </cell>
          <cell r="T325">
            <v>0</v>
          </cell>
        </row>
        <row r="326">
          <cell r="A326">
            <v>4075</v>
          </cell>
          <cell r="B326">
            <v>1</v>
          </cell>
          <cell r="C326" t="str">
            <v>MINI HOT DOG COREANO NETFLIX SEARA 12X245G</v>
          </cell>
          <cell r="D326">
            <v>1182.76</v>
          </cell>
          <cell r="E326">
            <v>0.03</v>
          </cell>
          <cell r="F326">
            <v>10</v>
          </cell>
          <cell r="G326">
            <v>0</v>
          </cell>
          <cell r="H326">
            <v>0</v>
          </cell>
          <cell r="I326">
            <v>0</v>
          </cell>
          <cell r="J326">
            <v>142.1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2</v>
          </cell>
          <cell r="P326">
            <v>0.03</v>
          </cell>
          <cell r="Q326">
            <v>29.4</v>
          </cell>
          <cell r="R326">
            <v>2.94</v>
          </cell>
          <cell r="S326">
            <v>0</v>
          </cell>
          <cell r="T326">
            <v>0</v>
          </cell>
        </row>
        <row r="327">
          <cell r="A327">
            <v>4074</v>
          </cell>
          <cell r="B327">
            <v>1</v>
          </cell>
          <cell r="C327" t="str">
            <v>SEARA PROTEIN FRANGO 12X270G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178.8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1</v>
          </cell>
          <cell r="P327">
            <v>0.01</v>
          </cell>
          <cell r="Q327">
            <v>0</v>
          </cell>
          <cell r="R327">
            <v>3.24</v>
          </cell>
          <cell r="S327">
            <v>0</v>
          </cell>
          <cell r="T327">
            <v>0</v>
          </cell>
        </row>
        <row r="328">
          <cell r="A328">
            <v>4073</v>
          </cell>
          <cell r="B328">
            <v>1</v>
          </cell>
          <cell r="C328" t="str">
            <v>SEARA PROTEIN PICADINHO 12X270G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178.8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1</v>
          </cell>
          <cell r="P328">
            <v>0.01</v>
          </cell>
          <cell r="Q328">
            <v>0</v>
          </cell>
          <cell r="R328">
            <v>3.24</v>
          </cell>
          <cell r="S328">
            <v>0</v>
          </cell>
          <cell r="T328">
            <v>0</v>
          </cell>
        </row>
        <row r="329">
          <cell r="A329">
            <v>4072</v>
          </cell>
          <cell r="B329">
            <v>1</v>
          </cell>
          <cell r="C329" t="str">
            <v>SEARA PROTEIN MIGNON  12X270G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178.8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1</v>
          </cell>
          <cell r="P329">
            <v>0.01</v>
          </cell>
          <cell r="Q329">
            <v>0</v>
          </cell>
          <cell r="R329">
            <v>3.24</v>
          </cell>
          <cell r="S329">
            <v>0</v>
          </cell>
          <cell r="T329">
            <v>0</v>
          </cell>
        </row>
        <row r="330">
          <cell r="A330">
            <v>4070</v>
          </cell>
          <cell r="B330">
            <v>10</v>
          </cell>
          <cell r="C330" t="str">
            <v>COSTELA ABA BARRIGA SUINA REZENDE CX18KG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2974.46</v>
          </cell>
          <cell r="K330">
            <v>0.04</v>
          </cell>
          <cell r="L330">
            <v>296.83999999999997</v>
          </cell>
          <cell r="M330">
            <v>0.9</v>
          </cell>
          <cell r="N330">
            <v>1</v>
          </cell>
          <cell r="O330">
            <v>10</v>
          </cell>
          <cell r="P330">
            <v>0.13</v>
          </cell>
          <cell r="Q330">
            <v>0</v>
          </cell>
          <cell r="R330">
            <v>180</v>
          </cell>
          <cell r="S330">
            <v>0</v>
          </cell>
          <cell r="T330">
            <v>18</v>
          </cell>
        </row>
        <row r="331">
          <cell r="A331">
            <v>407</v>
          </cell>
          <cell r="B331">
            <v>17</v>
          </cell>
          <cell r="C331" t="str">
            <v>CHICKEN SUPREME SEARA CX/16X300GR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1275.9100000000001</v>
          </cell>
          <cell r="K331">
            <v>0.02</v>
          </cell>
          <cell r="L331">
            <v>0</v>
          </cell>
          <cell r="M331">
            <v>0</v>
          </cell>
          <cell r="N331">
            <v>0</v>
          </cell>
          <cell r="O331">
            <v>14</v>
          </cell>
          <cell r="P331">
            <v>0.19</v>
          </cell>
          <cell r="Q331">
            <v>0</v>
          </cell>
          <cell r="R331">
            <v>81.599999999999994</v>
          </cell>
          <cell r="S331">
            <v>0</v>
          </cell>
          <cell r="T331">
            <v>0</v>
          </cell>
        </row>
        <row r="332">
          <cell r="A332">
            <v>4064</v>
          </cell>
          <cell r="B332">
            <v>251.12</v>
          </cell>
          <cell r="C332" t="str">
            <v>BARRIGA MANTA SUINA SEALI KG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4427.95</v>
          </cell>
          <cell r="K332">
            <v>0.06</v>
          </cell>
          <cell r="L332">
            <v>0</v>
          </cell>
          <cell r="M332">
            <v>0</v>
          </cell>
          <cell r="N332">
            <v>0</v>
          </cell>
          <cell r="O332">
            <v>11</v>
          </cell>
          <cell r="P332">
            <v>0.15</v>
          </cell>
          <cell r="Q332">
            <v>0</v>
          </cell>
          <cell r="R332">
            <v>251.12</v>
          </cell>
          <cell r="S332">
            <v>0</v>
          </cell>
          <cell r="T332">
            <v>0</v>
          </cell>
        </row>
        <row r="333">
          <cell r="A333">
            <v>406</v>
          </cell>
          <cell r="B333">
            <v>176</v>
          </cell>
          <cell r="C333" t="str">
            <v>IOGURTE BANDEJA TURMA MILK  CX\12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5301.01</v>
          </cell>
          <cell r="K333">
            <v>7.0000000000000007E-2</v>
          </cell>
          <cell r="L333">
            <v>61</v>
          </cell>
          <cell r="M333">
            <v>0.19</v>
          </cell>
          <cell r="N333">
            <v>2</v>
          </cell>
          <cell r="O333">
            <v>104</v>
          </cell>
          <cell r="P333">
            <v>1.4</v>
          </cell>
          <cell r="Q333">
            <v>0</v>
          </cell>
          <cell r="R333">
            <v>950.4</v>
          </cell>
          <cell r="S333">
            <v>0</v>
          </cell>
          <cell r="T333">
            <v>10.8</v>
          </cell>
        </row>
        <row r="334">
          <cell r="A334">
            <v>405</v>
          </cell>
          <cell r="B334">
            <v>327</v>
          </cell>
          <cell r="C334" t="str">
            <v>HAMBURGUER ENVELOPADO FRISA CX\36UN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13779.81</v>
          </cell>
          <cell r="K334">
            <v>0.18</v>
          </cell>
          <cell r="L334">
            <v>0</v>
          </cell>
          <cell r="M334">
            <v>0</v>
          </cell>
          <cell r="N334">
            <v>0</v>
          </cell>
          <cell r="O334">
            <v>100</v>
          </cell>
          <cell r="P334">
            <v>1.35</v>
          </cell>
          <cell r="Q334">
            <v>0</v>
          </cell>
          <cell r="R334">
            <v>659.23</v>
          </cell>
          <cell r="S334">
            <v>0</v>
          </cell>
          <cell r="T334">
            <v>0</v>
          </cell>
        </row>
        <row r="335">
          <cell r="A335">
            <v>4048</v>
          </cell>
          <cell r="B335">
            <v>2</v>
          </cell>
          <cell r="C335" t="str">
            <v>MOLHO BARBECUE BILLY DJAN 50X35G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71.28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2</v>
          </cell>
          <cell r="P335">
            <v>0.03</v>
          </cell>
          <cell r="Q335">
            <v>0</v>
          </cell>
          <cell r="R335">
            <v>3</v>
          </cell>
          <cell r="S335">
            <v>0</v>
          </cell>
          <cell r="T335">
            <v>0</v>
          </cell>
        </row>
        <row r="336">
          <cell r="A336">
            <v>4045</v>
          </cell>
          <cell r="B336">
            <v>2</v>
          </cell>
          <cell r="C336" t="str">
            <v>MOLHO VERDE BILLY DJAN 50X35G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78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1</v>
          </cell>
          <cell r="P336">
            <v>0.01</v>
          </cell>
          <cell r="Q336">
            <v>0</v>
          </cell>
          <cell r="R336">
            <v>3</v>
          </cell>
          <cell r="S336">
            <v>0</v>
          </cell>
          <cell r="T336">
            <v>0</v>
          </cell>
        </row>
        <row r="337">
          <cell r="A337">
            <v>4044</v>
          </cell>
          <cell r="B337">
            <v>1</v>
          </cell>
          <cell r="C337" t="str">
            <v>MOLHO PICLES BILLY DJAN 50X35G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39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1</v>
          </cell>
          <cell r="P337">
            <v>0.01</v>
          </cell>
          <cell r="Q337">
            <v>0</v>
          </cell>
          <cell r="R337">
            <v>1.5</v>
          </cell>
          <cell r="S337">
            <v>0</v>
          </cell>
          <cell r="T337">
            <v>0</v>
          </cell>
        </row>
        <row r="338">
          <cell r="A338">
            <v>404</v>
          </cell>
          <cell r="B338">
            <v>190</v>
          </cell>
          <cell r="C338" t="str">
            <v>HAMBURGUER MOLDADO FELICITTA FRISA CX/48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9001.92</v>
          </cell>
          <cell r="K338">
            <v>0.12</v>
          </cell>
          <cell r="L338">
            <v>48</v>
          </cell>
          <cell r="M338">
            <v>0.15</v>
          </cell>
          <cell r="N338">
            <v>1</v>
          </cell>
          <cell r="O338">
            <v>27</v>
          </cell>
          <cell r="P338">
            <v>0.36</v>
          </cell>
          <cell r="Q338">
            <v>0</v>
          </cell>
          <cell r="R338">
            <v>506.92</v>
          </cell>
          <cell r="S338">
            <v>0</v>
          </cell>
          <cell r="T338">
            <v>2.67</v>
          </cell>
        </row>
        <row r="339">
          <cell r="A339">
            <v>4034</v>
          </cell>
          <cell r="B339">
            <v>1</v>
          </cell>
          <cell r="C339" t="str">
            <v>DOCE DE LEITE COM AMIDO CRISTAULAT BALDE 4,6KG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68.5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1</v>
          </cell>
          <cell r="P339">
            <v>0.01</v>
          </cell>
          <cell r="Q339">
            <v>0</v>
          </cell>
          <cell r="R339">
            <v>4.5999999999999996</v>
          </cell>
          <cell r="S339">
            <v>0</v>
          </cell>
          <cell r="T339">
            <v>0</v>
          </cell>
        </row>
        <row r="340">
          <cell r="A340">
            <v>4027</v>
          </cell>
          <cell r="B340">
            <v>45</v>
          </cell>
          <cell r="C340" t="str">
            <v>OLEO DE ALGODAO ELOGIATA 5,1LT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2820.46</v>
          </cell>
          <cell r="K340">
            <v>0.04</v>
          </cell>
          <cell r="L340">
            <v>0</v>
          </cell>
          <cell r="M340">
            <v>0</v>
          </cell>
          <cell r="N340">
            <v>0</v>
          </cell>
          <cell r="O340">
            <v>4</v>
          </cell>
          <cell r="P340">
            <v>0.05</v>
          </cell>
          <cell r="Q340">
            <v>0</v>
          </cell>
          <cell r="R340">
            <v>229.5</v>
          </cell>
          <cell r="S340">
            <v>0</v>
          </cell>
          <cell r="T340">
            <v>0</v>
          </cell>
        </row>
        <row r="341">
          <cell r="A341">
            <v>4025</v>
          </cell>
          <cell r="B341">
            <v>7</v>
          </cell>
          <cell r="C341" t="str">
            <v>OLEO DE ALGODAO ELOGIATA CX\20X900ML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1495.48</v>
          </cell>
          <cell r="K341">
            <v>0.02</v>
          </cell>
          <cell r="L341">
            <v>0</v>
          </cell>
          <cell r="M341">
            <v>0</v>
          </cell>
          <cell r="N341">
            <v>0</v>
          </cell>
          <cell r="O341">
            <v>7</v>
          </cell>
          <cell r="P341">
            <v>0.09</v>
          </cell>
          <cell r="Q341">
            <v>0</v>
          </cell>
          <cell r="R341">
            <v>126</v>
          </cell>
          <cell r="S341">
            <v>0</v>
          </cell>
          <cell r="T341">
            <v>0</v>
          </cell>
        </row>
        <row r="342">
          <cell r="A342">
            <v>4019</v>
          </cell>
          <cell r="B342">
            <v>3</v>
          </cell>
          <cell r="C342" t="str">
            <v>ABACAXI CALDA LT TOZZI CX 12X400GR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525.25</v>
          </cell>
          <cell r="K342">
            <v>0.01</v>
          </cell>
          <cell r="L342">
            <v>173.9</v>
          </cell>
          <cell r="M342">
            <v>0.53</v>
          </cell>
          <cell r="N342">
            <v>1</v>
          </cell>
          <cell r="O342">
            <v>4</v>
          </cell>
          <cell r="P342">
            <v>0.05</v>
          </cell>
          <cell r="Q342">
            <v>0</v>
          </cell>
          <cell r="R342">
            <v>14.4</v>
          </cell>
          <cell r="S342">
            <v>0</v>
          </cell>
          <cell r="T342">
            <v>4.8</v>
          </cell>
        </row>
        <row r="343">
          <cell r="A343">
            <v>4018</v>
          </cell>
          <cell r="B343">
            <v>8</v>
          </cell>
          <cell r="C343" t="str">
            <v>PESSEGO CALDA LT TOZZI CX 12X450GR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964.1</v>
          </cell>
          <cell r="K343">
            <v>0.01</v>
          </cell>
          <cell r="L343">
            <v>0</v>
          </cell>
          <cell r="M343">
            <v>0</v>
          </cell>
          <cell r="N343">
            <v>0</v>
          </cell>
          <cell r="O343">
            <v>8</v>
          </cell>
          <cell r="P343">
            <v>0.11</v>
          </cell>
          <cell r="Q343">
            <v>0</v>
          </cell>
          <cell r="R343">
            <v>43.2</v>
          </cell>
          <cell r="S343">
            <v>0</v>
          </cell>
          <cell r="T343">
            <v>0</v>
          </cell>
        </row>
        <row r="344">
          <cell r="A344">
            <v>4006</v>
          </cell>
          <cell r="B344">
            <v>27</v>
          </cell>
          <cell r="C344" t="str">
            <v>SALAME FATIADO PEPPERONI SEARA GOURMET CX\10X100GR</v>
          </cell>
          <cell r="D344">
            <v>4009.5</v>
          </cell>
          <cell r="E344">
            <v>0.09</v>
          </cell>
          <cell r="F344">
            <v>45</v>
          </cell>
          <cell r="G344">
            <v>0</v>
          </cell>
          <cell r="H344">
            <v>0</v>
          </cell>
          <cell r="I344">
            <v>0</v>
          </cell>
          <cell r="J344">
            <v>2053.12</v>
          </cell>
          <cell r="K344">
            <v>0.03</v>
          </cell>
          <cell r="L344">
            <v>0</v>
          </cell>
          <cell r="M344">
            <v>0</v>
          </cell>
          <cell r="N344">
            <v>0</v>
          </cell>
          <cell r="O344">
            <v>27</v>
          </cell>
          <cell r="P344">
            <v>0.36</v>
          </cell>
          <cell r="Q344">
            <v>45</v>
          </cell>
          <cell r="R344">
            <v>27</v>
          </cell>
          <cell r="S344">
            <v>0</v>
          </cell>
          <cell r="T344">
            <v>0</v>
          </cell>
        </row>
        <row r="345">
          <cell r="A345">
            <v>4005</v>
          </cell>
          <cell r="B345">
            <v>8</v>
          </cell>
          <cell r="C345" t="str">
            <v>SALAME FATIADO HAMBURGUES SEARA GOURMET CX\10X100GR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705.6</v>
          </cell>
          <cell r="K345">
            <v>0.01</v>
          </cell>
          <cell r="L345">
            <v>0</v>
          </cell>
          <cell r="M345">
            <v>0</v>
          </cell>
          <cell r="N345">
            <v>0</v>
          </cell>
          <cell r="O345">
            <v>5</v>
          </cell>
          <cell r="P345">
            <v>7.0000000000000007E-2</v>
          </cell>
          <cell r="Q345">
            <v>0</v>
          </cell>
          <cell r="R345">
            <v>8</v>
          </cell>
          <cell r="S345">
            <v>0</v>
          </cell>
          <cell r="T345">
            <v>0</v>
          </cell>
        </row>
        <row r="346">
          <cell r="A346">
            <v>4003</v>
          </cell>
          <cell r="B346">
            <v>37</v>
          </cell>
          <cell r="C346" t="str">
            <v>KIT FEIJOADA DUPORCO CX\8X1KG</v>
          </cell>
          <cell r="D346">
            <v>2512.6999999999998</v>
          </cell>
          <cell r="E346">
            <v>0.06</v>
          </cell>
          <cell r="F346">
            <v>17</v>
          </cell>
          <cell r="G346">
            <v>0</v>
          </cell>
          <cell r="H346">
            <v>0</v>
          </cell>
          <cell r="I346">
            <v>0</v>
          </cell>
          <cell r="J346">
            <v>7252</v>
          </cell>
          <cell r="K346">
            <v>0.09</v>
          </cell>
          <cell r="L346">
            <v>0</v>
          </cell>
          <cell r="M346">
            <v>0</v>
          </cell>
          <cell r="N346">
            <v>0</v>
          </cell>
          <cell r="O346">
            <v>31</v>
          </cell>
          <cell r="P346">
            <v>0.42</v>
          </cell>
          <cell r="Q346">
            <v>136</v>
          </cell>
          <cell r="R346">
            <v>296</v>
          </cell>
          <cell r="S346">
            <v>0</v>
          </cell>
          <cell r="T346">
            <v>0</v>
          </cell>
        </row>
        <row r="347">
          <cell r="A347">
            <v>4000</v>
          </cell>
          <cell r="B347">
            <v>10</v>
          </cell>
          <cell r="C347" t="str">
            <v>QUEIJO PARMESAO RALADO SCALA 20X50GR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882.1</v>
          </cell>
          <cell r="K347">
            <v>0.01</v>
          </cell>
          <cell r="L347">
            <v>0</v>
          </cell>
          <cell r="M347">
            <v>0</v>
          </cell>
          <cell r="N347">
            <v>0</v>
          </cell>
          <cell r="O347">
            <v>10</v>
          </cell>
          <cell r="P347">
            <v>0.13</v>
          </cell>
          <cell r="Q347">
            <v>0</v>
          </cell>
          <cell r="R347">
            <v>10</v>
          </cell>
          <cell r="S347">
            <v>0</v>
          </cell>
          <cell r="T347">
            <v>0</v>
          </cell>
        </row>
        <row r="348">
          <cell r="A348">
            <v>400</v>
          </cell>
          <cell r="B348">
            <v>248</v>
          </cell>
          <cell r="C348" t="str">
            <v>COXINHA DA ASA BANDEJA RIVELLI CX 12X1KG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34398.89</v>
          </cell>
          <cell r="K348">
            <v>0.45</v>
          </cell>
          <cell r="L348">
            <v>275.76</v>
          </cell>
          <cell r="M348">
            <v>0.84</v>
          </cell>
          <cell r="N348">
            <v>2</v>
          </cell>
          <cell r="O348">
            <v>180</v>
          </cell>
          <cell r="P348">
            <v>2.42</v>
          </cell>
          <cell r="Q348">
            <v>0</v>
          </cell>
          <cell r="R348">
            <v>2976</v>
          </cell>
          <cell r="S348">
            <v>0</v>
          </cell>
          <cell r="T348">
            <v>24</v>
          </cell>
        </row>
        <row r="349">
          <cell r="A349">
            <v>40</v>
          </cell>
          <cell r="B349">
            <v>6</v>
          </cell>
          <cell r="C349" t="str">
            <v>COXINHA DA ASA IQF SEARA CX 12X1KG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895.95</v>
          </cell>
          <cell r="K349">
            <v>0.01</v>
          </cell>
          <cell r="L349">
            <v>0</v>
          </cell>
          <cell r="M349">
            <v>0</v>
          </cell>
          <cell r="N349">
            <v>0</v>
          </cell>
          <cell r="O349">
            <v>3</v>
          </cell>
          <cell r="P349">
            <v>0.04</v>
          </cell>
          <cell r="Q349">
            <v>0</v>
          </cell>
          <cell r="R349">
            <v>72</v>
          </cell>
          <cell r="S349">
            <v>0</v>
          </cell>
          <cell r="T349">
            <v>0</v>
          </cell>
        </row>
        <row r="350">
          <cell r="A350">
            <v>4</v>
          </cell>
          <cell r="B350">
            <v>2380</v>
          </cell>
          <cell r="C350" t="str">
            <v>LEITE UHT INTEGRAL CEMIL CX\12LT</v>
          </cell>
          <cell r="D350">
            <v>125193.60000000001</v>
          </cell>
          <cell r="E350">
            <v>2.93</v>
          </cell>
          <cell r="F350">
            <v>2160</v>
          </cell>
          <cell r="G350">
            <v>0</v>
          </cell>
          <cell r="H350">
            <v>0</v>
          </cell>
          <cell r="I350">
            <v>0</v>
          </cell>
          <cell r="J350">
            <v>167355.28</v>
          </cell>
          <cell r="K350">
            <v>2.19</v>
          </cell>
          <cell r="L350">
            <v>1421.37</v>
          </cell>
          <cell r="M350">
            <v>4.32</v>
          </cell>
          <cell r="N350">
            <v>20</v>
          </cell>
          <cell r="O350">
            <v>579</v>
          </cell>
          <cell r="P350">
            <v>7.8</v>
          </cell>
          <cell r="Q350">
            <v>25920</v>
          </cell>
          <cell r="R350">
            <v>28560</v>
          </cell>
          <cell r="S350">
            <v>0</v>
          </cell>
          <cell r="T350">
            <v>240</v>
          </cell>
        </row>
        <row r="351">
          <cell r="A351">
            <v>3998</v>
          </cell>
          <cell r="B351">
            <v>9</v>
          </cell>
          <cell r="C351" t="str">
            <v>SALAME FATIADO C/PIMENTA SEARA GOURMET CX\10X100GR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823.06</v>
          </cell>
          <cell r="K351">
            <v>0.01</v>
          </cell>
          <cell r="L351">
            <v>194.04</v>
          </cell>
          <cell r="M351">
            <v>0.59</v>
          </cell>
          <cell r="N351">
            <v>2</v>
          </cell>
          <cell r="O351">
            <v>7</v>
          </cell>
          <cell r="P351">
            <v>0.09</v>
          </cell>
          <cell r="Q351">
            <v>0</v>
          </cell>
          <cell r="R351">
            <v>9</v>
          </cell>
          <cell r="S351">
            <v>0</v>
          </cell>
          <cell r="T351">
            <v>2</v>
          </cell>
        </row>
        <row r="352">
          <cell r="A352">
            <v>3997</v>
          </cell>
          <cell r="B352">
            <v>5</v>
          </cell>
          <cell r="C352" t="str">
            <v>GALINHA PASSARINHO SABOROSA CX/20KG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769.3</v>
          </cell>
          <cell r="K352">
            <v>0.01</v>
          </cell>
          <cell r="L352">
            <v>0</v>
          </cell>
          <cell r="M352">
            <v>0</v>
          </cell>
          <cell r="N352">
            <v>0</v>
          </cell>
          <cell r="O352">
            <v>3</v>
          </cell>
          <cell r="P352">
            <v>0.04</v>
          </cell>
          <cell r="Q352">
            <v>0</v>
          </cell>
          <cell r="R352">
            <v>100</v>
          </cell>
          <cell r="S352">
            <v>0</v>
          </cell>
          <cell r="T352">
            <v>0</v>
          </cell>
        </row>
        <row r="353">
          <cell r="A353">
            <v>3995</v>
          </cell>
          <cell r="B353">
            <v>2</v>
          </cell>
          <cell r="C353" t="str">
            <v>PAO DE QUEIJO C\CARNE SECA FORNERIA CX\20X400GR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527.64</v>
          </cell>
          <cell r="K353">
            <v>0.01</v>
          </cell>
          <cell r="L353">
            <v>0</v>
          </cell>
          <cell r="M353">
            <v>0</v>
          </cell>
          <cell r="N353">
            <v>0</v>
          </cell>
          <cell r="O353">
            <v>2</v>
          </cell>
          <cell r="P353">
            <v>0.03</v>
          </cell>
          <cell r="Q353">
            <v>0</v>
          </cell>
          <cell r="R353">
            <v>16</v>
          </cell>
          <cell r="S353">
            <v>0</v>
          </cell>
          <cell r="T353">
            <v>0</v>
          </cell>
        </row>
        <row r="354">
          <cell r="A354">
            <v>3994</v>
          </cell>
          <cell r="B354">
            <v>1579.55</v>
          </cell>
          <cell r="C354" t="str">
            <v>LOMBO SUINO INTERIO DICASA  KG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27354.25</v>
          </cell>
          <cell r="K354">
            <v>0.36</v>
          </cell>
          <cell r="L354">
            <v>0</v>
          </cell>
          <cell r="M354">
            <v>0</v>
          </cell>
          <cell r="N354">
            <v>0</v>
          </cell>
          <cell r="O354">
            <v>41</v>
          </cell>
          <cell r="P354">
            <v>0.55000000000000004</v>
          </cell>
          <cell r="Q354">
            <v>0</v>
          </cell>
          <cell r="R354">
            <v>1579.55</v>
          </cell>
          <cell r="S354">
            <v>0</v>
          </cell>
          <cell r="T354">
            <v>0</v>
          </cell>
        </row>
        <row r="355">
          <cell r="A355">
            <v>3986</v>
          </cell>
          <cell r="B355">
            <v>6</v>
          </cell>
          <cell r="C355" t="str">
            <v>FILE POLACA ALASCA BACALANOR CX\20X500G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1745.2</v>
          </cell>
          <cell r="K355">
            <v>0.02</v>
          </cell>
          <cell r="L355">
            <v>0</v>
          </cell>
          <cell r="M355">
            <v>0</v>
          </cell>
          <cell r="N355">
            <v>0</v>
          </cell>
          <cell r="O355">
            <v>6</v>
          </cell>
          <cell r="P355">
            <v>0.08</v>
          </cell>
          <cell r="Q355">
            <v>0</v>
          </cell>
          <cell r="R355">
            <v>60</v>
          </cell>
          <cell r="S355">
            <v>0</v>
          </cell>
          <cell r="T355">
            <v>0</v>
          </cell>
        </row>
        <row r="356">
          <cell r="A356">
            <v>3973</v>
          </cell>
          <cell r="B356">
            <v>1</v>
          </cell>
          <cell r="C356" t="str">
            <v>PEIXE SURUBIM POSTA MULTIPESC 15X1KG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689.92</v>
          </cell>
          <cell r="K356">
            <v>0.01</v>
          </cell>
          <cell r="L356">
            <v>0</v>
          </cell>
          <cell r="M356">
            <v>0</v>
          </cell>
          <cell r="N356">
            <v>0</v>
          </cell>
          <cell r="O356">
            <v>1</v>
          </cell>
          <cell r="P356">
            <v>0.01</v>
          </cell>
          <cell r="Q356">
            <v>0</v>
          </cell>
          <cell r="R356">
            <v>15</v>
          </cell>
          <cell r="S356">
            <v>0</v>
          </cell>
          <cell r="T356">
            <v>0</v>
          </cell>
        </row>
        <row r="357">
          <cell r="A357">
            <v>397</v>
          </cell>
          <cell r="B357">
            <v>767</v>
          </cell>
          <cell r="C357" t="str">
            <v>COXA SOBRECOXA PCT REAL CX 20KG</v>
          </cell>
          <cell r="D357">
            <v>84882.02</v>
          </cell>
          <cell r="E357">
            <v>1.99</v>
          </cell>
          <cell r="F357">
            <v>700</v>
          </cell>
          <cell r="G357">
            <v>0</v>
          </cell>
          <cell r="H357">
            <v>0</v>
          </cell>
          <cell r="I357">
            <v>0</v>
          </cell>
          <cell r="J357">
            <v>116778.1</v>
          </cell>
          <cell r="K357">
            <v>1.53</v>
          </cell>
          <cell r="L357">
            <v>458.8</v>
          </cell>
          <cell r="M357">
            <v>1.39</v>
          </cell>
          <cell r="N357">
            <v>3</v>
          </cell>
          <cell r="O357">
            <v>415</v>
          </cell>
          <cell r="P357">
            <v>5.59</v>
          </cell>
          <cell r="Q357">
            <v>14000</v>
          </cell>
          <cell r="R357">
            <v>15340</v>
          </cell>
          <cell r="S357">
            <v>0</v>
          </cell>
          <cell r="T357">
            <v>60</v>
          </cell>
        </row>
        <row r="358">
          <cell r="A358">
            <v>3961</v>
          </cell>
          <cell r="B358">
            <v>234.75</v>
          </cell>
          <cell r="C358" t="str">
            <v>BARRIGA MANTA SUINA FRIGONANDO  KG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4105.7700000000004</v>
          </cell>
          <cell r="K358">
            <v>0.05</v>
          </cell>
          <cell r="L358">
            <v>0</v>
          </cell>
          <cell r="M358">
            <v>0</v>
          </cell>
          <cell r="N358">
            <v>0</v>
          </cell>
          <cell r="O358">
            <v>10</v>
          </cell>
          <cell r="P358">
            <v>0.13</v>
          </cell>
          <cell r="Q358">
            <v>0</v>
          </cell>
          <cell r="R358">
            <v>234.75</v>
          </cell>
          <cell r="S358">
            <v>0</v>
          </cell>
          <cell r="T358">
            <v>0</v>
          </cell>
        </row>
        <row r="359">
          <cell r="A359">
            <v>396</v>
          </cell>
          <cell r="B359">
            <v>785</v>
          </cell>
          <cell r="C359" t="str">
            <v>COXA SOBRECOXA ENVEL  REAL CX 20KG</v>
          </cell>
          <cell r="D359">
            <v>164913.66</v>
          </cell>
          <cell r="E359">
            <v>3.86</v>
          </cell>
          <cell r="F359">
            <v>1350</v>
          </cell>
          <cell r="G359">
            <v>0</v>
          </cell>
          <cell r="H359">
            <v>0</v>
          </cell>
          <cell r="I359">
            <v>0</v>
          </cell>
          <cell r="J359">
            <v>115815.31</v>
          </cell>
          <cell r="K359">
            <v>1.52</v>
          </cell>
          <cell r="L359">
            <v>155.82</v>
          </cell>
          <cell r="M359">
            <v>0.47</v>
          </cell>
          <cell r="N359">
            <v>1</v>
          </cell>
          <cell r="O359">
            <v>240</v>
          </cell>
          <cell r="P359">
            <v>3.23</v>
          </cell>
          <cell r="Q359">
            <v>27000</v>
          </cell>
          <cell r="R359">
            <v>15700</v>
          </cell>
          <cell r="S359">
            <v>0</v>
          </cell>
          <cell r="T359">
            <v>20</v>
          </cell>
        </row>
        <row r="360">
          <cell r="A360">
            <v>3946</v>
          </cell>
          <cell r="B360">
            <v>61</v>
          </cell>
          <cell r="C360" t="str">
            <v>BACON CUBOS ADEEL CX/10X200GR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3901.3</v>
          </cell>
          <cell r="K360">
            <v>0.05</v>
          </cell>
          <cell r="L360">
            <v>0</v>
          </cell>
          <cell r="M360">
            <v>0</v>
          </cell>
          <cell r="N360">
            <v>0</v>
          </cell>
          <cell r="O360">
            <v>42</v>
          </cell>
          <cell r="P360">
            <v>0.56999999999999995</v>
          </cell>
          <cell r="Q360">
            <v>0</v>
          </cell>
          <cell r="R360">
            <v>122</v>
          </cell>
          <cell r="S360">
            <v>0</v>
          </cell>
          <cell r="T360">
            <v>0</v>
          </cell>
        </row>
        <row r="361">
          <cell r="A361">
            <v>3945</v>
          </cell>
          <cell r="B361">
            <v>47</v>
          </cell>
          <cell r="C361" t="str">
            <v>BACON CUBOS ADEEL CX/12X1KG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14283.55</v>
          </cell>
          <cell r="K361">
            <v>0.19</v>
          </cell>
          <cell r="L361">
            <v>0</v>
          </cell>
          <cell r="M361">
            <v>0</v>
          </cell>
          <cell r="N361">
            <v>0</v>
          </cell>
          <cell r="O361">
            <v>31</v>
          </cell>
          <cell r="P361">
            <v>0.42</v>
          </cell>
          <cell r="Q361">
            <v>0</v>
          </cell>
          <cell r="R361">
            <v>564</v>
          </cell>
          <cell r="S361">
            <v>0</v>
          </cell>
          <cell r="T361">
            <v>0</v>
          </cell>
        </row>
        <row r="362">
          <cell r="A362">
            <v>3941</v>
          </cell>
          <cell r="B362">
            <v>6</v>
          </cell>
          <cell r="C362" t="str">
            <v>TEKITOS FORMATOS CX 20X275GR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846.72</v>
          </cell>
          <cell r="K362">
            <v>0.01</v>
          </cell>
          <cell r="L362">
            <v>0</v>
          </cell>
          <cell r="M362">
            <v>0</v>
          </cell>
          <cell r="N362">
            <v>0</v>
          </cell>
          <cell r="O362">
            <v>6</v>
          </cell>
          <cell r="P362">
            <v>0.08</v>
          </cell>
          <cell r="Q362">
            <v>0</v>
          </cell>
          <cell r="R362">
            <v>33</v>
          </cell>
          <cell r="S362">
            <v>0</v>
          </cell>
          <cell r="T362">
            <v>0</v>
          </cell>
        </row>
        <row r="363">
          <cell r="A363">
            <v>3940</v>
          </cell>
          <cell r="B363">
            <v>5</v>
          </cell>
          <cell r="C363" t="str">
            <v>BATATA PALHA PREMIUM MONREVE CX 20X100G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431</v>
          </cell>
          <cell r="K363">
            <v>0.01</v>
          </cell>
          <cell r="L363">
            <v>0</v>
          </cell>
          <cell r="M363">
            <v>0</v>
          </cell>
          <cell r="N363">
            <v>0</v>
          </cell>
          <cell r="O363">
            <v>5</v>
          </cell>
          <cell r="P363">
            <v>7.0000000000000007E-2</v>
          </cell>
          <cell r="Q363">
            <v>0</v>
          </cell>
          <cell r="R363">
            <v>10</v>
          </cell>
          <cell r="S363">
            <v>0</v>
          </cell>
          <cell r="T363">
            <v>0</v>
          </cell>
        </row>
        <row r="364">
          <cell r="A364">
            <v>3937</v>
          </cell>
          <cell r="B364">
            <v>2</v>
          </cell>
          <cell r="C364" t="str">
            <v>BATATA CHIPS FRANGO MOMENTOS CX\26X90G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241.26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2</v>
          </cell>
          <cell r="P364">
            <v>0.03</v>
          </cell>
          <cell r="Q364">
            <v>0</v>
          </cell>
          <cell r="R364">
            <v>4.68</v>
          </cell>
          <cell r="S364">
            <v>0</v>
          </cell>
          <cell r="T364">
            <v>0</v>
          </cell>
        </row>
        <row r="365">
          <cell r="A365">
            <v>3936</v>
          </cell>
          <cell r="B365">
            <v>5</v>
          </cell>
          <cell r="C365" t="str">
            <v>BATATA CHIPS BRASA MOMENTOS CX\26X90G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601.92999999999995</v>
          </cell>
          <cell r="K365">
            <v>0.01</v>
          </cell>
          <cell r="L365">
            <v>0</v>
          </cell>
          <cell r="M365">
            <v>0</v>
          </cell>
          <cell r="N365">
            <v>0</v>
          </cell>
          <cell r="O365">
            <v>5</v>
          </cell>
          <cell r="P365">
            <v>7.0000000000000007E-2</v>
          </cell>
          <cell r="Q365">
            <v>0</v>
          </cell>
          <cell r="R365">
            <v>11.7</v>
          </cell>
          <cell r="S365">
            <v>0</v>
          </cell>
          <cell r="T365">
            <v>0</v>
          </cell>
        </row>
        <row r="366">
          <cell r="A366">
            <v>3935</v>
          </cell>
          <cell r="B366">
            <v>6</v>
          </cell>
          <cell r="C366" t="str">
            <v>BATATA CHIPS NATURAL FAVORITOOS CX\24X40G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316.85000000000002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6</v>
          </cell>
          <cell r="P366">
            <v>0.08</v>
          </cell>
          <cell r="Q366">
            <v>0</v>
          </cell>
          <cell r="R366">
            <v>5.76</v>
          </cell>
          <cell r="S366">
            <v>0</v>
          </cell>
          <cell r="T366">
            <v>0</v>
          </cell>
        </row>
        <row r="367">
          <cell r="A367">
            <v>3934</v>
          </cell>
          <cell r="B367">
            <v>9</v>
          </cell>
          <cell r="C367" t="str">
            <v>BATATA CHIPS CHURRASCO FAVORITOOS CX\24X40G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474.74</v>
          </cell>
          <cell r="K367">
            <v>0.01</v>
          </cell>
          <cell r="L367">
            <v>0</v>
          </cell>
          <cell r="M367">
            <v>0</v>
          </cell>
          <cell r="N367">
            <v>0</v>
          </cell>
          <cell r="O367">
            <v>9</v>
          </cell>
          <cell r="P367">
            <v>0.12</v>
          </cell>
          <cell r="Q367">
            <v>0</v>
          </cell>
          <cell r="R367">
            <v>8.64</v>
          </cell>
          <cell r="S367">
            <v>0</v>
          </cell>
          <cell r="T367">
            <v>0</v>
          </cell>
        </row>
        <row r="368">
          <cell r="A368">
            <v>3933</v>
          </cell>
          <cell r="B368">
            <v>13</v>
          </cell>
          <cell r="C368" t="str">
            <v>BATATA CHIPS CEBOLA/SALSA FAVORITOOS CX\24X40G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685.26</v>
          </cell>
          <cell r="K368">
            <v>0.01</v>
          </cell>
          <cell r="L368">
            <v>0</v>
          </cell>
          <cell r="M368">
            <v>0</v>
          </cell>
          <cell r="N368">
            <v>0</v>
          </cell>
          <cell r="O368">
            <v>13</v>
          </cell>
          <cell r="P368">
            <v>0.18</v>
          </cell>
          <cell r="Q368">
            <v>0</v>
          </cell>
          <cell r="R368">
            <v>12.48</v>
          </cell>
          <cell r="S368">
            <v>0</v>
          </cell>
          <cell r="T368">
            <v>0</v>
          </cell>
        </row>
        <row r="369">
          <cell r="A369">
            <v>3930</v>
          </cell>
          <cell r="B369">
            <v>79</v>
          </cell>
          <cell r="C369" t="str">
            <v>BISTECA SUINA IQF SADIA CX10/800GR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10139.879999999999</v>
          </cell>
          <cell r="K369">
            <v>0.13</v>
          </cell>
          <cell r="L369">
            <v>0</v>
          </cell>
          <cell r="M369">
            <v>0</v>
          </cell>
          <cell r="N369">
            <v>0</v>
          </cell>
          <cell r="O369">
            <v>58</v>
          </cell>
          <cell r="P369">
            <v>0.78</v>
          </cell>
          <cell r="Q369">
            <v>0</v>
          </cell>
          <cell r="R369">
            <v>632</v>
          </cell>
          <cell r="S369">
            <v>0</v>
          </cell>
          <cell r="T369">
            <v>0</v>
          </cell>
        </row>
        <row r="370">
          <cell r="A370">
            <v>3925</v>
          </cell>
          <cell r="B370">
            <v>3</v>
          </cell>
          <cell r="C370" t="str">
            <v>ACUCAR DMAIS (SACHE) 400X5GR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59.6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2</v>
          </cell>
          <cell r="P370">
            <v>0.03</v>
          </cell>
          <cell r="Q370">
            <v>0</v>
          </cell>
          <cell r="R370">
            <v>12</v>
          </cell>
          <cell r="S370">
            <v>0</v>
          </cell>
          <cell r="T370">
            <v>0</v>
          </cell>
        </row>
        <row r="371">
          <cell r="A371">
            <v>3924</v>
          </cell>
          <cell r="B371">
            <v>58</v>
          </cell>
          <cell r="C371" t="str">
            <v>TORRESMO  UAI DAS GERAIS 15X180GR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8287.7199999999993</v>
          </cell>
          <cell r="K371">
            <v>0.11</v>
          </cell>
          <cell r="L371">
            <v>145.30000000000001</v>
          </cell>
          <cell r="M371">
            <v>0.44</v>
          </cell>
          <cell r="N371">
            <v>1</v>
          </cell>
          <cell r="O371">
            <v>45</v>
          </cell>
          <cell r="P371">
            <v>0.61</v>
          </cell>
          <cell r="Q371">
            <v>0</v>
          </cell>
          <cell r="R371">
            <v>156.6</v>
          </cell>
          <cell r="S371">
            <v>0</v>
          </cell>
          <cell r="T371">
            <v>2.7</v>
          </cell>
        </row>
        <row r="372">
          <cell r="A372">
            <v>3920</v>
          </cell>
          <cell r="B372">
            <v>118.82</v>
          </cell>
          <cell r="C372" t="str">
            <v>BACON MANTA REZENDE KG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3375.24</v>
          </cell>
          <cell r="K372">
            <v>0.04</v>
          </cell>
          <cell r="L372">
            <v>0</v>
          </cell>
          <cell r="M372">
            <v>0</v>
          </cell>
          <cell r="N372">
            <v>0</v>
          </cell>
          <cell r="O372">
            <v>6</v>
          </cell>
          <cell r="P372">
            <v>0.08</v>
          </cell>
          <cell r="Q372">
            <v>0</v>
          </cell>
          <cell r="R372">
            <v>118.82</v>
          </cell>
          <cell r="S372">
            <v>0</v>
          </cell>
          <cell r="T372">
            <v>0</v>
          </cell>
        </row>
        <row r="373">
          <cell r="A373">
            <v>3913</v>
          </cell>
          <cell r="B373">
            <v>2</v>
          </cell>
          <cell r="C373" t="str">
            <v>BARRA CEREAL COOKIES CREAM NUTRY 24X20G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67.319999999999993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2</v>
          </cell>
          <cell r="P373">
            <v>0.03</v>
          </cell>
          <cell r="Q373">
            <v>0</v>
          </cell>
          <cell r="R373">
            <v>0.96</v>
          </cell>
          <cell r="S373">
            <v>0</v>
          </cell>
          <cell r="T373">
            <v>0</v>
          </cell>
        </row>
        <row r="374">
          <cell r="A374">
            <v>3902</v>
          </cell>
          <cell r="B374">
            <v>1</v>
          </cell>
          <cell r="C374" t="str">
            <v>NUTRIBOM AVEIA E ARROZ 12X600G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131.81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1</v>
          </cell>
          <cell r="P374">
            <v>0.01</v>
          </cell>
          <cell r="Q374">
            <v>0</v>
          </cell>
          <cell r="R374">
            <v>7.2</v>
          </cell>
          <cell r="S374">
            <v>0</v>
          </cell>
          <cell r="T374">
            <v>0</v>
          </cell>
        </row>
        <row r="375">
          <cell r="A375">
            <v>39</v>
          </cell>
          <cell r="B375">
            <v>33</v>
          </cell>
          <cell r="C375" t="str">
            <v>FIGADO DE FRANGO FREDINI CX/20KG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2614.8000000000002</v>
          </cell>
          <cell r="K375">
            <v>0.03</v>
          </cell>
          <cell r="L375">
            <v>0</v>
          </cell>
          <cell r="M375">
            <v>0</v>
          </cell>
          <cell r="N375">
            <v>0</v>
          </cell>
          <cell r="O375">
            <v>24</v>
          </cell>
          <cell r="P375">
            <v>0.32</v>
          </cell>
          <cell r="Q375">
            <v>0</v>
          </cell>
          <cell r="R375">
            <v>660</v>
          </cell>
          <cell r="S375">
            <v>0</v>
          </cell>
          <cell r="T375">
            <v>0</v>
          </cell>
        </row>
        <row r="376">
          <cell r="A376">
            <v>389</v>
          </cell>
          <cell r="B376">
            <v>1</v>
          </cell>
          <cell r="C376" t="str">
            <v>PEITO FRANGO ENVELOPADO FRANCAP CX/20KG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185.6</v>
          </cell>
          <cell r="K376">
            <v>0</v>
          </cell>
          <cell r="L376">
            <v>185.6</v>
          </cell>
          <cell r="M376">
            <v>0.56000000000000005</v>
          </cell>
          <cell r="N376">
            <v>1</v>
          </cell>
          <cell r="O376">
            <v>2</v>
          </cell>
          <cell r="P376">
            <v>0.03</v>
          </cell>
          <cell r="Q376">
            <v>0</v>
          </cell>
          <cell r="R376">
            <v>20</v>
          </cell>
          <cell r="S376">
            <v>0</v>
          </cell>
          <cell r="T376">
            <v>20</v>
          </cell>
        </row>
        <row r="377">
          <cell r="A377">
            <v>3880</v>
          </cell>
          <cell r="B377">
            <v>2</v>
          </cell>
          <cell r="C377" t="str">
            <v>MARGARINA CREMOSY 50%  CX\12X1KG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249.48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2</v>
          </cell>
          <cell r="P377">
            <v>0.03</v>
          </cell>
          <cell r="Q377">
            <v>0</v>
          </cell>
          <cell r="R377">
            <v>24</v>
          </cell>
          <cell r="S377">
            <v>0</v>
          </cell>
          <cell r="T377">
            <v>0</v>
          </cell>
        </row>
        <row r="378">
          <cell r="A378">
            <v>3876</v>
          </cell>
          <cell r="B378">
            <v>4</v>
          </cell>
          <cell r="C378" t="str">
            <v>BARRA TUBE PROTEIN MORANGO NUTRY 12X38GR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167.52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4</v>
          </cell>
          <cell r="P378">
            <v>0.05</v>
          </cell>
          <cell r="Q378">
            <v>0</v>
          </cell>
          <cell r="R378">
            <v>1.8</v>
          </cell>
          <cell r="S378">
            <v>0</v>
          </cell>
          <cell r="T378">
            <v>0</v>
          </cell>
        </row>
        <row r="379">
          <cell r="A379">
            <v>3865</v>
          </cell>
          <cell r="B379">
            <v>1</v>
          </cell>
          <cell r="C379" t="str">
            <v>BARRA CEREAL BANANA NUTRY 24X22GR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39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1</v>
          </cell>
          <cell r="P379">
            <v>0.01</v>
          </cell>
          <cell r="Q379">
            <v>0</v>
          </cell>
          <cell r="R379">
            <v>0.53</v>
          </cell>
          <cell r="S379">
            <v>0</v>
          </cell>
          <cell r="T379">
            <v>0</v>
          </cell>
        </row>
        <row r="380">
          <cell r="A380">
            <v>386</v>
          </cell>
          <cell r="B380">
            <v>18381.02</v>
          </cell>
          <cell r="C380" t="str">
            <v>MUSSARELA CRISTAULAT KG</v>
          </cell>
          <cell r="D380">
            <v>597216.78</v>
          </cell>
          <cell r="E380">
            <v>13.99</v>
          </cell>
          <cell r="F380">
            <v>16621.2</v>
          </cell>
          <cell r="G380">
            <v>0</v>
          </cell>
          <cell r="H380">
            <v>0</v>
          </cell>
          <cell r="I380">
            <v>0</v>
          </cell>
          <cell r="J380">
            <v>716842.76</v>
          </cell>
          <cell r="K380">
            <v>9.39</v>
          </cell>
          <cell r="L380">
            <v>1770.95</v>
          </cell>
          <cell r="M380">
            <v>5.38</v>
          </cell>
          <cell r="N380">
            <v>44.05</v>
          </cell>
          <cell r="O380">
            <v>802</v>
          </cell>
          <cell r="P380">
            <v>10.8</v>
          </cell>
          <cell r="Q380">
            <v>16621.2</v>
          </cell>
          <cell r="R380">
            <v>18381.02</v>
          </cell>
          <cell r="S380">
            <v>0</v>
          </cell>
          <cell r="T380">
            <v>44.05</v>
          </cell>
        </row>
        <row r="381">
          <cell r="A381">
            <v>3848</v>
          </cell>
          <cell r="B381">
            <v>96</v>
          </cell>
          <cell r="C381" t="str">
            <v>CREME DE LEITE IBITURUNA CX\27X200GR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7019.64</v>
          </cell>
          <cell r="K381">
            <v>0.09</v>
          </cell>
          <cell r="L381">
            <v>146.52000000000001</v>
          </cell>
          <cell r="M381">
            <v>0.45</v>
          </cell>
          <cell r="N381">
            <v>2</v>
          </cell>
          <cell r="O381">
            <v>68</v>
          </cell>
          <cell r="P381">
            <v>0.92</v>
          </cell>
          <cell r="Q381">
            <v>0</v>
          </cell>
          <cell r="R381">
            <v>518.4</v>
          </cell>
          <cell r="S381">
            <v>0</v>
          </cell>
          <cell r="T381">
            <v>10.8</v>
          </cell>
        </row>
        <row r="382">
          <cell r="A382">
            <v>3846</v>
          </cell>
          <cell r="B382">
            <v>99</v>
          </cell>
          <cell r="C382" t="str">
            <v>LEITE CONDENSADO DAMARE CX\27X395GR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14673.45</v>
          </cell>
          <cell r="K382">
            <v>0.19</v>
          </cell>
          <cell r="L382">
            <v>0</v>
          </cell>
          <cell r="M382">
            <v>0</v>
          </cell>
          <cell r="N382">
            <v>0</v>
          </cell>
          <cell r="O382">
            <v>39</v>
          </cell>
          <cell r="P382">
            <v>0.53</v>
          </cell>
          <cell r="Q382">
            <v>0</v>
          </cell>
          <cell r="R382">
            <v>1055.83</v>
          </cell>
          <cell r="S382">
            <v>0</v>
          </cell>
          <cell r="T382">
            <v>0</v>
          </cell>
        </row>
        <row r="383">
          <cell r="A383">
            <v>3844</v>
          </cell>
          <cell r="B383">
            <v>14</v>
          </cell>
          <cell r="C383" t="str">
            <v>MARGARINA BALDE 60% PRIMOR 3KG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375.99</v>
          </cell>
          <cell r="K383">
            <v>0</v>
          </cell>
          <cell r="L383">
            <v>29.1</v>
          </cell>
          <cell r="M383">
            <v>0.09</v>
          </cell>
          <cell r="N383">
            <v>1</v>
          </cell>
          <cell r="O383">
            <v>12</v>
          </cell>
          <cell r="P383">
            <v>0.16</v>
          </cell>
          <cell r="Q383">
            <v>0</v>
          </cell>
          <cell r="R383">
            <v>42</v>
          </cell>
          <cell r="S383">
            <v>0</v>
          </cell>
          <cell r="T383">
            <v>3</v>
          </cell>
        </row>
        <row r="384">
          <cell r="A384">
            <v>3843</v>
          </cell>
          <cell r="B384">
            <v>4</v>
          </cell>
          <cell r="C384" t="str">
            <v>PIZZA BACON AIRFRYER  CX12X250GR</v>
          </cell>
          <cell r="D384">
            <v>472.65</v>
          </cell>
          <cell r="E384">
            <v>0.01</v>
          </cell>
          <cell r="F384">
            <v>5</v>
          </cell>
          <cell r="G384">
            <v>0</v>
          </cell>
          <cell r="H384">
            <v>0</v>
          </cell>
          <cell r="I384">
            <v>0</v>
          </cell>
          <cell r="J384">
            <v>450.8</v>
          </cell>
          <cell r="K384">
            <v>0.01</v>
          </cell>
          <cell r="L384">
            <v>0</v>
          </cell>
          <cell r="M384">
            <v>0</v>
          </cell>
          <cell r="N384">
            <v>0</v>
          </cell>
          <cell r="O384">
            <v>5</v>
          </cell>
          <cell r="P384">
            <v>7.0000000000000007E-2</v>
          </cell>
          <cell r="Q384">
            <v>15</v>
          </cell>
          <cell r="R384">
            <v>12</v>
          </cell>
          <cell r="S384">
            <v>0</v>
          </cell>
          <cell r="T384">
            <v>0</v>
          </cell>
        </row>
        <row r="385">
          <cell r="A385">
            <v>384</v>
          </cell>
          <cell r="B385">
            <v>188</v>
          </cell>
          <cell r="C385" t="str">
            <v>LEITE UHT ZERO LACTOSE CEMIL CX/12</v>
          </cell>
          <cell r="D385">
            <v>27072</v>
          </cell>
          <cell r="E385">
            <v>0.63</v>
          </cell>
          <cell r="F385">
            <v>400</v>
          </cell>
          <cell r="G385">
            <v>0</v>
          </cell>
          <cell r="H385">
            <v>0</v>
          </cell>
          <cell r="I385">
            <v>0</v>
          </cell>
          <cell r="J385">
            <v>14391</v>
          </cell>
          <cell r="K385">
            <v>0.19</v>
          </cell>
          <cell r="L385">
            <v>75.95</v>
          </cell>
          <cell r="M385">
            <v>0.23</v>
          </cell>
          <cell r="N385">
            <v>1</v>
          </cell>
          <cell r="O385">
            <v>91</v>
          </cell>
          <cell r="P385">
            <v>1.23</v>
          </cell>
          <cell r="Q385">
            <v>4800</v>
          </cell>
          <cell r="R385">
            <v>2256</v>
          </cell>
          <cell r="S385">
            <v>0</v>
          </cell>
          <cell r="T385">
            <v>12</v>
          </cell>
        </row>
        <row r="386">
          <cell r="A386">
            <v>3838</v>
          </cell>
          <cell r="B386">
            <v>4</v>
          </cell>
          <cell r="C386" t="str">
            <v>MAIONESE SACHE SOYA CX\6X1KG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236.4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4</v>
          </cell>
          <cell r="P386">
            <v>0.05</v>
          </cell>
          <cell r="Q386">
            <v>0</v>
          </cell>
          <cell r="R386">
            <v>24</v>
          </cell>
          <cell r="S386">
            <v>0</v>
          </cell>
          <cell r="T386">
            <v>0</v>
          </cell>
        </row>
        <row r="387">
          <cell r="A387">
            <v>383</v>
          </cell>
          <cell r="B387">
            <v>2382.4899999999998</v>
          </cell>
          <cell r="C387" t="str">
            <v>PERNIL SUINO FRIGODIAS  KG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33309.61</v>
          </cell>
          <cell r="K387">
            <v>0.44</v>
          </cell>
          <cell r="L387">
            <v>253.5</v>
          </cell>
          <cell r="M387">
            <v>0.77</v>
          </cell>
          <cell r="N387">
            <v>18.12</v>
          </cell>
          <cell r="O387">
            <v>64</v>
          </cell>
          <cell r="P387">
            <v>0.86</v>
          </cell>
          <cell r="Q387">
            <v>0</v>
          </cell>
          <cell r="R387">
            <v>2382.4899999999998</v>
          </cell>
          <cell r="S387">
            <v>0</v>
          </cell>
          <cell r="T387">
            <v>18.12</v>
          </cell>
        </row>
        <row r="388">
          <cell r="A388">
            <v>3822</v>
          </cell>
          <cell r="B388">
            <v>26</v>
          </cell>
          <cell r="C388" t="str">
            <v>CORACAO FRANGO BANDEJA RIVELLI CX\12X1KG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10720.8</v>
          </cell>
          <cell r="K388">
            <v>0.14000000000000001</v>
          </cell>
          <cell r="L388">
            <v>0</v>
          </cell>
          <cell r="M388">
            <v>0</v>
          </cell>
          <cell r="N388">
            <v>0</v>
          </cell>
          <cell r="O388">
            <v>23</v>
          </cell>
          <cell r="P388">
            <v>0.31</v>
          </cell>
          <cell r="Q388">
            <v>0</v>
          </cell>
          <cell r="R388">
            <v>312</v>
          </cell>
          <cell r="S388">
            <v>0</v>
          </cell>
          <cell r="T388">
            <v>0</v>
          </cell>
        </row>
        <row r="389">
          <cell r="A389">
            <v>3821</v>
          </cell>
          <cell r="B389">
            <v>3</v>
          </cell>
          <cell r="C389" t="str">
            <v>COXINHA DE FRANGO C/ REQUIJAO PIF PAF CX\20X300GR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539.49</v>
          </cell>
          <cell r="K389">
            <v>0.01</v>
          </cell>
          <cell r="L389">
            <v>0</v>
          </cell>
          <cell r="M389">
            <v>0</v>
          </cell>
          <cell r="N389">
            <v>0</v>
          </cell>
          <cell r="O389">
            <v>3</v>
          </cell>
          <cell r="P389">
            <v>0.04</v>
          </cell>
          <cell r="Q389">
            <v>0</v>
          </cell>
          <cell r="R389">
            <v>18</v>
          </cell>
          <cell r="S389">
            <v>0</v>
          </cell>
          <cell r="T389">
            <v>0</v>
          </cell>
        </row>
        <row r="390">
          <cell r="A390">
            <v>3814</v>
          </cell>
          <cell r="B390">
            <v>84</v>
          </cell>
          <cell r="C390" t="str">
            <v>BANHA AURORA CX\15X1KG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14490.48</v>
          </cell>
          <cell r="K390">
            <v>0.19</v>
          </cell>
          <cell r="L390">
            <v>0</v>
          </cell>
          <cell r="M390">
            <v>0</v>
          </cell>
          <cell r="N390">
            <v>0</v>
          </cell>
          <cell r="O390">
            <v>58</v>
          </cell>
          <cell r="P390">
            <v>0.78</v>
          </cell>
          <cell r="Q390">
            <v>0</v>
          </cell>
          <cell r="R390">
            <v>1260</v>
          </cell>
          <cell r="S390">
            <v>0</v>
          </cell>
          <cell r="T390">
            <v>0</v>
          </cell>
        </row>
        <row r="391">
          <cell r="A391">
            <v>379</v>
          </cell>
          <cell r="B391">
            <v>96</v>
          </cell>
          <cell r="C391" t="str">
            <v>CARNE BOVINA MOIDA TUDBOM PLENA 15X1KG</v>
          </cell>
          <cell r="D391">
            <v>103677.33</v>
          </cell>
          <cell r="E391">
            <v>2.4300000000000002</v>
          </cell>
          <cell r="F391">
            <v>300</v>
          </cell>
          <cell r="G391">
            <v>0</v>
          </cell>
          <cell r="H391">
            <v>0</v>
          </cell>
          <cell r="I391">
            <v>0</v>
          </cell>
          <cell r="J391">
            <v>39595.5</v>
          </cell>
          <cell r="K391">
            <v>0.52</v>
          </cell>
          <cell r="L391">
            <v>0</v>
          </cell>
          <cell r="M391">
            <v>0</v>
          </cell>
          <cell r="N391">
            <v>0</v>
          </cell>
          <cell r="O391">
            <v>58</v>
          </cell>
          <cell r="P391">
            <v>0.78</v>
          </cell>
          <cell r="Q391">
            <v>4500</v>
          </cell>
          <cell r="R391">
            <v>1440</v>
          </cell>
          <cell r="S391">
            <v>0</v>
          </cell>
          <cell r="T391">
            <v>0</v>
          </cell>
        </row>
        <row r="392">
          <cell r="A392">
            <v>3775</v>
          </cell>
          <cell r="B392">
            <v>17</v>
          </cell>
          <cell r="C392" t="str">
            <v>OLEO DE ALGODAO BALDE ELOGIATA 14KG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3473.55</v>
          </cell>
          <cell r="K392">
            <v>0.05</v>
          </cell>
          <cell r="L392">
            <v>0</v>
          </cell>
          <cell r="M392">
            <v>0</v>
          </cell>
          <cell r="N392">
            <v>0</v>
          </cell>
          <cell r="O392">
            <v>12</v>
          </cell>
          <cell r="P392">
            <v>0.16</v>
          </cell>
          <cell r="Q392">
            <v>0</v>
          </cell>
          <cell r="R392">
            <v>238</v>
          </cell>
          <cell r="S392">
            <v>0</v>
          </cell>
          <cell r="T392">
            <v>0</v>
          </cell>
        </row>
        <row r="393">
          <cell r="A393">
            <v>3774</v>
          </cell>
          <cell r="B393">
            <v>6</v>
          </cell>
          <cell r="C393" t="str">
            <v>GORDURA BALDE FRY ELOGIATA 14,5KG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1170.1199999999999</v>
          </cell>
          <cell r="K393">
            <v>0.02</v>
          </cell>
          <cell r="L393">
            <v>0</v>
          </cell>
          <cell r="M393">
            <v>0</v>
          </cell>
          <cell r="N393">
            <v>0</v>
          </cell>
          <cell r="O393">
            <v>5</v>
          </cell>
          <cell r="P393">
            <v>7.0000000000000007E-2</v>
          </cell>
          <cell r="Q393">
            <v>0</v>
          </cell>
          <cell r="R393">
            <v>87</v>
          </cell>
          <cell r="S393">
            <v>0</v>
          </cell>
          <cell r="T393">
            <v>0</v>
          </cell>
        </row>
        <row r="394">
          <cell r="A394">
            <v>377</v>
          </cell>
          <cell r="B394">
            <v>107</v>
          </cell>
          <cell r="C394" t="str">
            <v>LEITE CONDENSADO TRIANGULO TP CX\27X395G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14467.45</v>
          </cell>
          <cell r="K394">
            <v>0.19</v>
          </cell>
          <cell r="L394">
            <v>0</v>
          </cell>
          <cell r="M394">
            <v>0</v>
          </cell>
          <cell r="N394">
            <v>0</v>
          </cell>
          <cell r="O394">
            <v>74</v>
          </cell>
          <cell r="P394">
            <v>1</v>
          </cell>
          <cell r="Q394">
            <v>0</v>
          </cell>
          <cell r="R394">
            <v>1144.9000000000001</v>
          </cell>
          <cell r="S394">
            <v>0</v>
          </cell>
          <cell r="T394">
            <v>0</v>
          </cell>
        </row>
        <row r="395">
          <cell r="A395">
            <v>3765</v>
          </cell>
          <cell r="B395">
            <v>1</v>
          </cell>
          <cell r="C395" t="str">
            <v>MARGARINA CREMOSY CX/24X250GR 997873</v>
          </cell>
          <cell r="D395">
            <v>675.6</v>
          </cell>
          <cell r="E395">
            <v>0.02</v>
          </cell>
          <cell r="F395">
            <v>10</v>
          </cell>
          <cell r="G395">
            <v>0</v>
          </cell>
          <cell r="H395">
            <v>0</v>
          </cell>
          <cell r="I395">
            <v>0</v>
          </cell>
          <cell r="J395">
            <v>73.010000000000005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2</v>
          </cell>
          <cell r="P395">
            <v>0.03</v>
          </cell>
          <cell r="Q395">
            <v>60</v>
          </cell>
          <cell r="R395">
            <v>6</v>
          </cell>
          <cell r="S395">
            <v>0</v>
          </cell>
          <cell r="T395">
            <v>0</v>
          </cell>
        </row>
        <row r="396">
          <cell r="A396">
            <v>3757</v>
          </cell>
          <cell r="B396">
            <v>101</v>
          </cell>
          <cell r="C396" t="str">
            <v>VITAMINA FRUTAS DAMARE KIDS  24X200GR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2014.63</v>
          </cell>
          <cell r="K396">
            <v>0.03</v>
          </cell>
          <cell r="L396">
            <v>0</v>
          </cell>
          <cell r="M396">
            <v>0</v>
          </cell>
          <cell r="N396">
            <v>0</v>
          </cell>
          <cell r="O396">
            <v>30</v>
          </cell>
          <cell r="P396">
            <v>0.4</v>
          </cell>
          <cell r="Q396">
            <v>0</v>
          </cell>
          <cell r="R396">
            <v>484.8</v>
          </cell>
          <cell r="S396">
            <v>0</v>
          </cell>
          <cell r="T396">
            <v>0</v>
          </cell>
        </row>
        <row r="397">
          <cell r="A397">
            <v>3756</v>
          </cell>
          <cell r="B397">
            <v>39</v>
          </cell>
          <cell r="C397" t="str">
            <v>BEB.LACTEA MORANGO DAMARE KIDS  24X200GR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780.22</v>
          </cell>
          <cell r="K397">
            <v>0.01</v>
          </cell>
          <cell r="L397">
            <v>0</v>
          </cell>
          <cell r="M397">
            <v>0</v>
          </cell>
          <cell r="N397">
            <v>0</v>
          </cell>
          <cell r="O397">
            <v>23</v>
          </cell>
          <cell r="P397">
            <v>0.31</v>
          </cell>
          <cell r="Q397">
            <v>0</v>
          </cell>
          <cell r="R397">
            <v>187.2</v>
          </cell>
          <cell r="S397">
            <v>0</v>
          </cell>
          <cell r="T397">
            <v>0</v>
          </cell>
        </row>
        <row r="398">
          <cell r="A398">
            <v>3755</v>
          </cell>
          <cell r="B398">
            <v>257</v>
          </cell>
          <cell r="C398" t="str">
            <v>BEB.LACTEA CHOCOLATE DAMARE KIDS  24X200GR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5134.84</v>
          </cell>
          <cell r="K398">
            <v>7.0000000000000007E-2</v>
          </cell>
          <cell r="L398">
            <v>0</v>
          </cell>
          <cell r="M398">
            <v>0</v>
          </cell>
          <cell r="N398">
            <v>0</v>
          </cell>
          <cell r="O398">
            <v>67</v>
          </cell>
          <cell r="P398">
            <v>0.9</v>
          </cell>
          <cell r="Q398">
            <v>0</v>
          </cell>
          <cell r="R398">
            <v>1233.5999999999999</v>
          </cell>
          <cell r="S398">
            <v>0</v>
          </cell>
          <cell r="T398">
            <v>0</v>
          </cell>
        </row>
        <row r="399">
          <cell r="A399">
            <v>375</v>
          </cell>
          <cell r="B399">
            <v>95</v>
          </cell>
          <cell r="C399" t="str">
            <v>LING FRANGO FINA RIVELLI CX\15X1KG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20402.38</v>
          </cell>
          <cell r="K399">
            <v>0.27</v>
          </cell>
          <cell r="L399">
            <v>0</v>
          </cell>
          <cell r="M399">
            <v>0</v>
          </cell>
          <cell r="N399">
            <v>0</v>
          </cell>
          <cell r="O399">
            <v>74</v>
          </cell>
          <cell r="P399">
            <v>1</v>
          </cell>
          <cell r="Q399">
            <v>0</v>
          </cell>
          <cell r="R399">
            <v>1425</v>
          </cell>
          <cell r="S399">
            <v>0</v>
          </cell>
          <cell r="T399">
            <v>0</v>
          </cell>
        </row>
        <row r="400">
          <cell r="A400">
            <v>372</v>
          </cell>
          <cell r="B400">
            <v>80</v>
          </cell>
          <cell r="C400" t="str">
            <v>LING FRANGO RIVELLI CX\20X1KG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20503.599999999999</v>
          </cell>
          <cell r="K400">
            <v>0.27</v>
          </cell>
          <cell r="L400">
            <v>254.8</v>
          </cell>
          <cell r="M400">
            <v>0.77</v>
          </cell>
          <cell r="N400">
            <v>1</v>
          </cell>
          <cell r="O400">
            <v>62</v>
          </cell>
          <cell r="P400">
            <v>0.83</v>
          </cell>
          <cell r="Q400">
            <v>0</v>
          </cell>
          <cell r="R400">
            <v>1600</v>
          </cell>
          <cell r="S400">
            <v>0</v>
          </cell>
          <cell r="T400">
            <v>20</v>
          </cell>
        </row>
        <row r="401">
          <cell r="A401">
            <v>371</v>
          </cell>
          <cell r="B401">
            <v>261</v>
          </cell>
          <cell r="C401" t="str">
            <v>MANTEIGA CRISTAULAT CX\12X500GR</v>
          </cell>
          <cell r="D401">
            <v>33193.83</v>
          </cell>
          <cell r="E401">
            <v>0.78</v>
          </cell>
          <cell r="F401">
            <v>200</v>
          </cell>
          <cell r="G401">
            <v>0</v>
          </cell>
          <cell r="H401">
            <v>0</v>
          </cell>
          <cell r="I401">
            <v>0</v>
          </cell>
          <cell r="J401">
            <v>54778.04</v>
          </cell>
          <cell r="K401">
            <v>0.72</v>
          </cell>
          <cell r="L401">
            <v>0</v>
          </cell>
          <cell r="M401">
            <v>0</v>
          </cell>
          <cell r="N401">
            <v>0</v>
          </cell>
          <cell r="O401">
            <v>161</v>
          </cell>
          <cell r="P401">
            <v>2.17</v>
          </cell>
          <cell r="Q401">
            <v>1200</v>
          </cell>
          <cell r="R401">
            <v>1566</v>
          </cell>
          <cell r="S401">
            <v>0</v>
          </cell>
          <cell r="T401">
            <v>0</v>
          </cell>
        </row>
        <row r="402">
          <cell r="A402">
            <v>370</v>
          </cell>
          <cell r="B402">
            <v>148</v>
          </cell>
          <cell r="C402" t="str">
            <v>MANTEIGA CRISTAULAT CX\24X200GR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28767.13</v>
          </cell>
          <cell r="K402">
            <v>0.38</v>
          </cell>
          <cell r="L402">
            <v>0</v>
          </cell>
          <cell r="M402">
            <v>0</v>
          </cell>
          <cell r="N402">
            <v>0</v>
          </cell>
          <cell r="O402">
            <v>123</v>
          </cell>
          <cell r="P402">
            <v>1.66</v>
          </cell>
          <cell r="Q402">
            <v>0</v>
          </cell>
          <cell r="R402">
            <v>710.4</v>
          </cell>
          <cell r="S402">
            <v>0</v>
          </cell>
          <cell r="T402">
            <v>0</v>
          </cell>
        </row>
        <row r="403">
          <cell r="A403">
            <v>3698</v>
          </cell>
          <cell r="B403">
            <v>1</v>
          </cell>
          <cell r="C403" t="str">
            <v>BARRA PROTEIN CHOCOLATE\LEITE NUTRY 12X30G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44.3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1</v>
          </cell>
          <cell r="P403">
            <v>0.01</v>
          </cell>
          <cell r="Q403">
            <v>0</v>
          </cell>
          <cell r="R403">
            <v>0.36</v>
          </cell>
          <cell r="S403">
            <v>0</v>
          </cell>
          <cell r="T403">
            <v>0</v>
          </cell>
        </row>
        <row r="404">
          <cell r="A404">
            <v>3692</v>
          </cell>
          <cell r="B404">
            <v>1</v>
          </cell>
          <cell r="C404" t="str">
            <v>BARRA NUTS CACAU NUTRY 12X25G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33.32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1</v>
          </cell>
          <cell r="P404">
            <v>0.01</v>
          </cell>
          <cell r="Q404">
            <v>0</v>
          </cell>
          <cell r="R404">
            <v>0.3</v>
          </cell>
          <cell r="S404">
            <v>0</v>
          </cell>
          <cell r="T404">
            <v>0</v>
          </cell>
        </row>
        <row r="405">
          <cell r="A405">
            <v>3690</v>
          </cell>
          <cell r="B405">
            <v>3</v>
          </cell>
          <cell r="C405" t="str">
            <v>BARRA CEREAL FRUTAS VERMELHAS NUTRY  24X22G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99.96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3</v>
          </cell>
          <cell r="P405">
            <v>0.04</v>
          </cell>
          <cell r="Q405">
            <v>0</v>
          </cell>
          <cell r="R405">
            <v>1.58</v>
          </cell>
          <cell r="S405">
            <v>0</v>
          </cell>
          <cell r="T405">
            <v>0</v>
          </cell>
        </row>
        <row r="406">
          <cell r="A406">
            <v>369</v>
          </cell>
          <cell r="B406">
            <v>19</v>
          </cell>
          <cell r="C406" t="str">
            <v>MARGARINA BALDE 50% CREMOSY  14,5 KG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2058.1</v>
          </cell>
          <cell r="K406">
            <v>0.03</v>
          </cell>
          <cell r="L406">
            <v>0</v>
          </cell>
          <cell r="M406">
            <v>0</v>
          </cell>
          <cell r="N406">
            <v>0</v>
          </cell>
          <cell r="O406">
            <v>12</v>
          </cell>
          <cell r="P406">
            <v>0.16</v>
          </cell>
          <cell r="Q406">
            <v>0</v>
          </cell>
          <cell r="R406">
            <v>275.5</v>
          </cell>
          <cell r="S406">
            <v>0</v>
          </cell>
          <cell r="T406">
            <v>0</v>
          </cell>
        </row>
        <row r="407">
          <cell r="A407">
            <v>3689</v>
          </cell>
          <cell r="B407">
            <v>3</v>
          </cell>
          <cell r="C407" t="str">
            <v>BARRA CEREAL COCO CHOCOLATE NUTRY 24X22G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100.64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3</v>
          </cell>
          <cell r="P407">
            <v>0.04</v>
          </cell>
          <cell r="Q407">
            <v>0</v>
          </cell>
          <cell r="R407">
            <v>1.58</v>
          </cell>
          <cell r="S407">
            <v>0</v>
          </cell>
          <cell r="T407">
            <v>0</v>
          </cell>
        </row>
        <row r="408">
          <cell r="A408">
            <v>3687</v>
          </cell>
          <cell r="B408">
            <v>3</v>
          </cell>
          <cell r="C408" t="str">
            <v>BARRA CEREAL BOLO CHOCOLATE NUTRY 24X22G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99.96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3</v>
          </cell>
          <cell r="P408">
            <v>0.04</v>
          </cell>
          <cell r="Q408">
            <v>0</v>
          </cell>
          <cell r="R408">
            <v>1.58</v>
          </cell>
          <cell r="S408">
            <v>0</v>
          </cell>
          <cell r="T408">
            <v>0</v>
          </cell>
        </row>
        <row r="409">
          <cell r="A409">
            <v>3686</v>
          </cell>
          <cell r="B409">
            <v>8</v>
          </cell>
          <cell r="C409" t="str">
            <v>BARRA CEREAL AVELA CHOCOLATE NUTRY 24X22G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268.60000000000002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8</v>
          </cell>
          <cell r="P409">
            <v>0.11</v>
          </cell>
          <cell r="Q409">
            <v>0</v>
          </cell>
          <cell r="R409">
            <v>4.22</v>
          </cell>
          <cell r="S409">
            <v>0</v>
          </cell>
          <cell r="T409">
            <v>0</v>
          </cell>
        </row>
        <row r="410">
          <cell r="A410">
            <v>3685</v>
          </cell>
          <cell r="B410">
            <v>4</v>
          </cell>
          <cell r="C410" t="str">
            <v>BARRA CEREAL AVEIA BANANA MEL NUTRY 24X22G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133.28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4</v>
          </cell>
          <cell r="P410">
            <v>0.05</v>
          </cell>
          <cell r="Q410">
            <v>0</v>
          </cell>
          <cell r="R410">
            <v>2.11</v>
          </cell>
          <cell r="S410">
            <v>0</v>
          </cell>
          <cell r="T410">
            <v>0</v>
          </cell>
        </row>
        <row r="411">
          <cell r="A411">
            <v>3674</v>
          </cell>
          <cell r="B411">
            <v>19</v>
          </cell>
          <cell r="C411" t="str">
            <v>PAO DE QUEIJO LANCHE 100 GR FORNERIA  2X4KG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2663.63</v>
          </cell>
          <cell r="K411">
            <v>0.03</v>
          </cell>
          <cell r="L411">
            <v>0</v>
          </cell>
          <cell r="M411">
            <v>0</v>
          </cell>
          <cell r="N411">
            <v>0</v>
          </cell>
          <cell r="O411">
            <v>13</v>
          </cell>
          <cell r="P411">
            <v>0.18</v>
          </cell>
          <cell r="Q411">
            <v>0</v>
          </cell>
          <cell r="R411">
            <v>152</v>
          </cell>
          <cell r="S411">
            <v>0</v>
          </cell>
          <cell r="T411">
            <v>0</v>
          </cell>
        </row>
        <row r="412">
          <cell r="A412">
            <v>3672</v>
          </cell>
          <cell r="B412">
            <v>12</v>
          </cell>
          <cell r="C412" t="str">
            <v>PAO DE QUEIJO BISCOITO PROVOLONE FORNERIA 5X2KG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2279.04</v>
          </cell>
          <cell r="K412">
            <v>0.03</v>
          </cell>
          <cell r="L412">
            <v>0</v>
          </cell>
          <cell r="M412">
            <v>0</v>
          </cell>
          <cell r="N412">
            <v>0</v>
          </cell>
          <cell r="O412">
            <v>10</v>
          </cell>
          <cell r="P412">
            <v>0.13</v>
          </cell>
          <cell r="Q412">
            <v>0</v>
          </cell>
          <cell r="R412">
            <v>120</v>
          </cell>
          <cell r="S412">
            <v>0</v>
          </cell>
          <cell r="T412">
            <v>0</v>
          </cell>
        </row>
        <row r="413">
          <cell r="A413">
            <v>367</v>
          </cell>
          <cell r="B413">
            <v>118</v>
          </cell>
          <cell r="C413" t="str">
            <v>MARGARINA BALDE 75% DELICATA 15KG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17292.939999999999</v>
          </cell>
          <cell r="K413">
            <v>0.23</v>
          </cell>
          <cell r="L413">
            <v>0</v>
          </cell>
          <cell r="M413">
            <v>0</v>
          </cell>
          <cell r="N413">
            <v>0</v>
          </cell>
          <cell r="O413">
            <v>83</v>
          </cell>
          <cell r="P413">
            <v>1.1200000000000001</v>
          </cell>
          <cell r="Q413">
            <v>0</v>
          </cell>
          <cell r="R413">
            <v>1770</v>
          </cell>
          <cell r="S413">
            <v>0</v>
          </cell>
          <cell r="T413">
            <v>0</v>
          </cell>
        </row>
        <row r="414">
          <cell r="A414">
            <v>366</v>
          </cell>
          <cell r="B414">
            <v>3</v>
          </cell>
          <cell r="C414" t="str">
            <v>MARGARINA DORIANA LIGTH CX\12X500G 57194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251.6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3</v>
          </cell>
          <cell r="P414">
            <v>0.04</v>
          </cell>
          <cell r="Q414">
            <v>0</v>
          </cell>
          <cell r="R414">
            <v>18</v>
          </cell>
          <cell r="S414">
            <v>0</v>
          </cell>
          <cell r="T414">
            <v>0</v>
          </cell>
        </row>
        <row r="415">
          <cell r="A415">
            <v>365</v>
          </cell>
          <cell r="B415">
            <v>79</v>
          </cell>
          <cell r="C415" t="str">
            <v>MARGARINA QUALY CX\12X500GR 500732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8356.8700000000008</v>
          </cell>
          <cell r="K415">
            <v>0.11</v>
          </cell>
          <cell r="L415">
            <v>105.54</v>
          </cell>
          <cell r="M415">
            <v>0.32</v>
          </cell>
          <cell r="N415">
            <v>1</v>
          </cell>
          <cell r="O415">
            <v>66</v>
          </cell>
          <cell r="P415">
            <v>0.89</v>
          </cell>
          <cell r="Q415">
            <v>0</v>
          </cell>
          <cell r="R415">
            <v>474</v>
          </cell>
          <cell r="S415">
            <v>0</v>
          </cell>
          <cell r="T415">
            <v>6</v>
          </cell>
        </row>
        <row r="416">
          <cell r="A416">
            <v>3645</v>
          </cell>
          <cell r="B416">
            <v>9</v>
          </cell>
          <cell r="C416" t="str">
            <v>LING T.CALABRESA FATIADA SEARA CX\8X1KG</v>
          </cell>
          <cell r="D416">
            <v>1904</v>
          </cell>
          <cell r="E416">
            <v>0.04</v>
          </cell>
          <cell r="F416">
            <v>10</v>
          </cell>
          <cell r="G416">
            <v>0</v>
          </cell>
          <cell r="H416">
            <v>0</v>
          </cell>
          <cell r="I416">
            <v>0</v>
          </cell>
          <cell r="J416">
            <v>2033.47</v>
          </cell>
          <cell r="K416">
            <v>0.03</v>
          </cell>
          <cell r="L416">
            <v>232.6</v>
          </cell>
          <cell r="M416">
            <v>0.71</v>
          </cell>
          <cell r="N416">
            <v>1</v>
          </cell>
          <cell r="O416">
            <v>6</v>
          </cell>
          <cell r="P416">
            <v>0.08</v>
          </cell>
          <cell r="Q416">
            <v>80</v>
          </cell>
          <cell r="R416">
            <v>72</v>
          </cell>
          <cell r="S416">
            <v>0</v>
          </cell>
          <cell r="T416">
            <v>8</v>
          </cell>
        </row>
        <row r="417">
          <cell r="A417">
            <v>3643</v>
          </cell>
          <cell r="B417">
            <v>1</v>
          </cell>
          <cell r="C417" t="str">
            <v>PAO DE QUEIJO TRADICIONA SEARA CX/10X1KG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189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1</v>
          </cell>
          <cell r="P417">
            <v>0.01</v>
          </cell>
          <cell r="Q417">
            <v>0</v>
          </cell>
          <cell r="R417">
            <v>10</v>
          </cell>
          <cell r="S417">
            <v>0</v>
          </cell>
          <cell r="T417">
            <v>0</v>
          </cell>
        </row>
        <row r="418">
          <cell r="A418">
            <v>3642</v>
          </cell>
          <cell r="B418">
            <v>3</v>
          </cell>
          <cell r="C418" t="str">
            <v>MAIONESE SOYA SACHE CX24X200GR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137.08000000000001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3</v>
          </cell>
          <cell r="P418">
            <v>0.04</v>
          </cell>
          <cell r="Q418">
            <v>0</v>
          </cell>
          <cell r="R418">
            <v>14.4</v>
          </cell>
          <cell r="S418">
            <v>0</v>
          </cell>
          <cell r="T418">
            <v>0</v>
          </cell>
        </row>
        <row r="419">
          <cell r="A419">
            <v>3641</v>
          </cell>
          <cell r="B419">
            <v>1</v>
          </cell>
          <cell r="C419" t="str">
            <v>UVA PASSA BRANCA S/SEMENTE TOZZI CX 12X180GR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91.09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1</v>
          </cell>
          <cell r="P419">
            <v>0.01</v>
          </cell>
          <cell r="Q419">
            <v>0</v>
          </cell>
          <cell r="R419">
            <v>2.16</v>
          </cell>
          <cell r="S419">
            <v>0</v>
          </cell>
          <cell r="T419">
            <v>0</v>
          </cell>
        </row>
        <row r="420">
          <cell r="A420">
            <v>3630</v>
          </cell>
          <cell r="B420">
            <v>4</v>
          </cell>
          <cell r="C420" t="str">
            <v>NUTRIBOM MULTICEREAIS 24X180G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392</v>
          </cell>
          <cell r="K420">
            <v>0.01</v>
          </cell>
          <cell r="L420">
            <v>0</v>
          </cell>
          <cell r="M420">
            <v>0</v>
          </cell>
          <cell r="N420">
            <v>0</v>
          </cell>
          <cell r="O420">
            <v>3</v>
          </cell>
          <cell r="P420">
            <v>0.04</v>
          </cell>
          <cell r="Q420">
            <v>0</v>
          </cell>
          <cell r="R420">
            <v>17.28</v>
          </cell>
          <cell r="S420">
            <v>0</v>
          </cell>
          <cell r="T420">
            <v>0</v>
          </cell>
        </row>
        <row r="421">
          <cell r="A421">
            <v>3629</v>
          </cell>
          <cell r="B421">
            <v>3</v>
          </cell>
          <cell r="C421" t="str">
            <v>NUTRIBOM MILHO 24X180G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294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2</v>
          </cell>
          <cell r="P421">
            <v>0.03</v>
          </cell>
          <cell r="Q421">
            <v>0</v>
          </cell>
          <cell r="R421">
            <v>12.96</v>
          </cell>
          <cell r="S421">
            <v>0</v>
          </cell>
          <cell r="T421">
            <v>0</v>
          </cell>
        </row>
        <row r="422">
          <cell r="A422">
            <v>3628</v>
          </cell>
          <cell r="B422">
            <v>2</v>
          </cell>
          <cell r="C422" t="str">
            <v>NUTRIBOM BANANA MACA 24X180G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198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2</v>
          </cell>
          <cell r="P422">
            <v>0.03</v>
          </cell>
          <cell r="Q422">
            <v>0</v>
          </cell>
          <cell r="R422">
            <v>8.64</v>
          </cell>
          <cell r="S422">
            <v>0</v>
          </cell>
          <cell r="T422">
            <v>0</v>
          </cell>
        </row>
        <row r="423">
          <cell r="A423">
            <v>3627</v>
          </cell>
          <cell r="B423">
            <v>6</v>
          </cell>
          <cell r="C423" t="str">
            <v>NUTRIBOM AVEIA E ARROZ CX 24X180G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590</v>
          </cell>
          <cell r="K423">
            <v>0.01</v>
          </cell>
          <cell r="L423">
            <v>0</v>
          </cell>
          <cell r="M423">
            <v>0</v>
          </cell>
          <cell r="N423">
            <v>0</v>
          </cell>
          <cell r="O423">
            <v>4</v>
          </cell>
          <cell r="P423">
            <v>0.05</v>
          </cell>
          <cell r="Q423">
            <v>0</v>
          </cell>
          <cell r="R423">
            <v>25.92</v>
          </cell>
          <cell r="S423">
            <v>0</v>
          </cell>
          <cell r="T423">
            <v>0</v>
          </cell>
        </row>
        <row r="424">
          <cell r="A424">
            <v>3626</v>
          </cell>
          <cell r="B424">
            <v>5</v>
          </cell>
          <cell r="C424" t="str">
            <v>NUTRIBOM ARROZ CX 24X180G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452.39</v>
          </cell>
          <cell r="K424">
            <v>0.01</v>
          </cell>
          <cell r="L424">
            <v>0</v>
          </cell>
          <cell r="M424">
            <v>0</v>
          </cell>
          <cell r="N424">
            <v>0</v>
          </cell>
          <cell r="O424">
            <v>2</v>
          </cell>
          <cell r="P424">
            <v>0.03</v>
          </cell>
          <cell r="Q424">
            <v>0</v>
          </cell>
          <cell r="R424">
            <v>21.6</v>
          </cell>
          <cell r="S424">
            <v>0</v>
          </cell>
          <cell r="T424">
            <v>0</v>
          </cell>
        </row>
        <row r="425">
          <cell r="A425">
            <v>3623</v>
          </cell>
          <cell r="B425">
            <v>5</v>
          </cell>
          <cell r="C425" t="str">
            <v>MAIONESE PREDILECTA SACHE CX\24X200GR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273.89999999999998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5</v>
          </cell>
          <cell r="P425">
            <v>7.0000000000000007E-2</v>
          </cell>
          <cell r="Q425">
            <v>0</v>
          </cell>
          <cell r="R425">
            <v>24</v>
          </cell>
          <cell r="S425">
            <v>0</v>
          </cell>
          <cell r="T425">
            <v>0</v>
          </cell>
        </row>
        <row r="426">
          <cell r="A426">
            <v>362</v>
          </cell>
          <cell r="B426">
            <v>80</v>
          </cell>
          <cell r="C426" t="str">
            <v>MASCARA SUINA FRICASA PIF PAF CX\10 KG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3333.12</v>
          </cell>
          <cell r="K426">
            <v>0.04</v>
          </cell>
          <cell r="L426">
            <v>84</v>
          </cell>
          <cell r="M426">
            <v>0.26</v>
          </cell>
          <cell r="N426">
            <v>2</v>
          </cell>
          <cell r="O426">
            <v>34</v>
          </cell>
          <cell r="P426">
            <v>0.46</v>
          </cell>
          <cell r="Q426">
            <v>0</v>
          </cell>
          <cell r="R426">
            <v>800</v>
          </cell>
          <cell r="S426">
            <v>0</v>
          </cell>
          <cell r="T426">
            <v>20</v>
          </cell>
        </row>
        <row r="427">
          <cell r="A427">
            <v>361</v>
          </cell>
          <cell r="B427">
            <v>15</v>
          </cell>
          <cell r="C427" t="str">
            <v>MASSA PASTEL PEQUENA VILA ITALIA 24X500GR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2414.06</v>
          </cell>
          <cell r="K427">
            <v>0.03</v>
          </cell>
          <cell r="L427">
            <v>0</v>
          </cell>
          <cell r="M427">
            <v>0</v>
          </cell>
          <cell r="N427">
            <v>0</v>
          </cell>
          <cell r="O427">
            <v>11</v>
          </cell>
          <cell r="P427">
            <v>0.15</v>
          </cell>
          <cell r="Q427">
            <v>0</v>
          </cell>
          <cell r="R427">
            <v>180</v>
          </cell>
          <cell r="S427">
            <v>0</v>
          </cell>
          <cell r="T427">
            <v>0</v>
          </cell>
        </row>
        <row r="428">
          <cell r="A428">
            <v>3594</v>
          </cell>
          <cell r="B428">
            <v>3</v>
          </cell>
          <cell r="C428" t="str">
            <v>PAO DE QUEIJO C\REQUEIJAO FORNERIA CX\20X400GR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764.4</v>
          </cell>
          <cell r="K428">
            <v>0.01</v>
          </cell>
          <cell r="L428">
            <v>0</v>
          </cell>
          <cell r="M428">
            <v>0</v>
          </cell>
          <cell r="N428">
            <v>0</v>
          </cell>
          <cell r="O428">
            <v>2</v>
          </cell>
          <cell r="P428">
            <v>0.03</v>
          </cell>
          <cell r="Q428">
            <v>0</v>
          </cell>
          <cell r="R428">
            <v>24</v>
          </cell>
          <cell r="S428">
            <v>0</v>
          </cell>
          <cell r="T428">
            <v>0</v>
          </cell>
        </row>
        <row r="429">
          <cell r="A429">
            <v>3592</v>
          </cell>
          <cell r="B429">
            <v>4</v>
          </cell>
          <cell r="C429" t="str">
            <v>PAO DE QUEIJO C\FRANGO FORNERIA CX\20X400GR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1019.2</v>
          </cell>
          <cell r="K429">
            <v>0.01</v>
          </cell>
          <cell r="L429">
            <v>0</v>
          </cell>
          <cell r="M429">
            <v>0</v>
          </cell>
          <cell r="N429">
            <v>0</v>
          </cell>
          <cell r="O429">
            <v>3</v>
          </cell>
          <cell r="P429">
            <v>0.04</v>
          </cell>
          <cell r="Q429">
            <v>0</v>
          </cell>
          <cell r="R429">
            <v>32</v>
          </cell>
          <cell r="S429">
            <v>0</v>
          </cell>
          <cell r="T429">
            <v>0</v>
          </cell>
        </row>
        <row r="430">
          <cell r="A430">
            <v>3591</v>
          </cell>
          <cell r="B430">
            <v>11</v>
          </cell>
          <cell r="C430" t="str">
            <v>PAO DE QUEIJO COQUETEL FORNERIA 4X2KG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1538.79</v>
          </cell>
          <cell r="K430">
            <v>0.02</v>
          </cell>
          <cell r="L430">
            <v>0</v>
          </cell>
          <cell r="M430">
            <v>0</v>
          </cell>
          <cell r="N430">
            <v>0</v>
          </cell>
          <cell r="O430">
            <v>5</v>
          </cell>
          <cell r="P430">
            <v>7.0000000000000007E-2</v>
          </cell>
          <cell r="Q430">
            <v>0</v>
          </cell>
          <cell r="R430">
            <v>88</v>
          </cell>
          <cell r="S430">
            <v>0</v>
          </cell>
          <cell r="T430">
            <v>0</v>
          </cell>
        </row>
        <row r="431">
          <cell r="A431">
            <v>3590</v>
          </cell>
          <cell r="B431">
            <v>7</v>
          </cell>
          <cell r="C431" t="str">
            <v>PAO DE QUEIJO MINI BISCOITO DE PROVOLONE FORNERIA 8X1KG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1097.5999999999999</v>
          </cell>
          <cell r="K431">
            <v>0.01</v>
          </cell>
          <cell r="L431">
            <v>0</v>
          </cell>
          <cell r="M431">
            <v>0</v>
          </cell>
          <cell r="N431">
            <v>0</v>
          </cell>
          <cell r="O431">
            <v>7</v>
          </cell>
          <cell r="P431">
            <v>0.09</v>
          </cell>
          <cell r="Q431">
            <v>0</v>
          </cell>
          <cell r="R431">
            <v>56</v>
          </cell>
          <cell r="S431">
            <v>0</v>
          </cell>
          <cell r="T431">
            <v>0</v>
          </cell>
        </row>
        <row r="432">
          <cell r="A432">
            <v>356</v>
          </cell>
          <cell r="B432">
            <v>197.87</v>
          </cell>
          <cell r="C432" t="str">
            <v>MUSSARELA MINI CRISTAULAT KG</v>
          </cell>
          <cell r="D432">
            <v>1474.2</v>
          </cell>
          <cell r="E432">
            <v>0.03</v>
          </cell>
          <cell r="F432">
            <v>35.9</v>
          </cell>
          <cell r="G432">
            <v>0</v>
          </cell>
          <cell r="H432">
            <v>0</v>
          </cell>
          <cell r="I432">
            <v>0</v>
          </cell>
          <cell r="J432">
            <v>8127.01</v>
          </cell>
          <cell r="K432">
            <v>0.11</v>
          </cell>
          <cell r="L432">
            <v>0</v>
          </cell>
          <cell r="M432">
            <v>0</v>
          </cell>
          <cell r="N432">
            <v>0</v>
          </cell>
          <cell r="O432">
            <v>34</v>
          </cell>
          <cell r="P432">
            <v>0.46</v>
          </cell>
          <cell r="Q432">
            <v>35.9</v>
          </cell>
          <cell r="R432">
            <v>197.87</v>
          </cell>
          <cell r="S432">
            <v>0</v>
          </cell>
          <cell r="T432">
            <v>0</v>
          </cell>
        </row>
        <row r="433">
          <cell r="A433">
            <v>355</v>
          </cell>
          <cell r="B433">
            <v>107</v>
          </cell>
          <cell r="C433" t="str">
            <v>OLEO DE SOJA LIZA 6X900ML PET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4694.8999999999996</v>
          </cell>
          <cell r="K433">
            <v>0.06</v>
          </cell>
          <cell r="L433">
            <v>0</v>
          </cell>
          <cell r="M433">
            <v>0</v>
          </cell>
          <cell r="N433">
            <v>0</v>
          </cell>
          <cell r="O433">
            <v>36</v>
          </cell>
          <cell r="P433">
            <v>0.48</v>
          </cell>
          <cell r="Q433">
            <v>0</v>
          </cell>
          <cell r="R433">
            <v>577.79999999999995</v>
          </cell>
          <cell r="S433">
            <v>0</v>
          </cell>
          <cell r="T433">
            <v>0</v>
          </cell>
        </row>
        <row r="434">
          <cell r="A434">
            <v>354</v>
          </cell>
          <cell r="B434">
            <v>374</v>
          </cell>
          <cell r="C434" t="str">
            <v>OLEO DE SOJA VITALIV CX/20X900ML PET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52676.08</v>
          </cell>
          <cell r="K434">
            <v>0.69</v>
          </cell>
          <cell r="L434">
            <v>557.83000000000004</v>
          </cell>
          <cell r="M434">
            <v>1.69</v>
          </cell>
          <cell r="N434">
            <v>4</v>
          </cell>
          <cell r="O434">
            <v>203</v>
          </cell>
          <cell r="P434">
            <v>2.73</v>
          </cell>
          <cell r="Q434">
            <v>0</v>
          </cell>
          <cell r="R434">
            <v>6732</v>
          </cell>
          <cell r="S434">
            <v>0</v>
          </cell>
          <cell r="T434">
            <v>72</v>
          </cell>
        </row>
        <row r="435">
          <cell r="A435">
            <v>3523</v>
          </cell>
          <cell r="B435">
            <v>54.3</v>
          </cell>
          <cell r="C435" t="str">
            <v>MUSSARELA SANTA CRUZ KG</v>
          </cell>
          <cell r="D435">
            <v>54503.78</v>
          </cell>
          <cell r="E435">
            <v>1.28</v>
          </cell>
          <cell r="F435">
            <v>1516.9</v>
          </cell>
          <cell r="G435">
            <v>0</v>
          </cell>
          <cell r="H435">
            <v>0</v>
          </cell>
          <cell r="I435">
            <v>0</v>
          </cell>
          <cell r="J435">
            <v>2213.1799999999998</v>
          </cell>
          <cell r="K435">
            <v>0.03</v>
          </cell>
          <cell r="L435">
            <v>0</v>
          </cell>
          <cell r="M435">
            <v>0</v>
          </cell>
          <cell r="N435">
            <v>0</v>
          </cell>
          <cell r="O435">
            <v>4</v>
          </cell>
          <cell r="P435">
            <v>0.05</v>
          </cell>
          <cell r="Q435">
            <v>1516.9</v>
          </cell>
          <cell r="R435">
            <v>54.3</v>
          </cell>
          <cell r="S435">
            <v>0</v>
          </cell>
          <cell r="T435">
            <v>0</v>
          </cell>
        </row>
        <row r="436">
          <cell r="A436">
            <v>35</v>
          </cell>
          <cell r="B436">
            <v>69</v>
          </cell>
          <cell r="C436" t="str">
            <v>MOELA DE FRANGO BANDEJA RIVELLI CX12X1KG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11840.5</v>
          </cell>
          <cell r="K436">
            <v>0.16</v>
          </cell>
          <cell r="L436">
            <v>0</v>
          </cell>
          <cell r="M436">
            <v>0</v>
          </cell>
          <cell r="N436">
            <v>0</v>
          </cell>
          <cell r="O436">
            <v>69</v>
          </cell>
          <cell r="P436">
            <v>0.93</v>
          </cell>
          <cell r="Q436">
            <v>0</v>
          </cell>
          <cell r="R436">
            <v>828</v>
          </cell>
          <cell r="S436">
            <v>0</v>
          </cell>
          <cell r="T436">
            <v>0</v>
          </cell>
        </row>
        <row r="437">
          <cell r="A437">
            <v>349</v>
          </cell>
          <cell r="B437">
            <v>1</v>
          </cell>
          <cell r="C437" t="str">
            <v>PAO DE QUEIJO LEBON CX\32X300GR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210.7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1</v>
          </cell>
          <cell r="P437">
            <v>0.01</v>
          </cell>
          <cell r="Q437">
            <v>0</v>
          </cell>
          <cell r="R437">
            <v>10</v>
          </cell>
          <cell r="S437">
            <v>0</v>
          </cell>
          <cell r="T437">
            <v>0</v>
          </cell>
        </row>
        <row r="438">
          <cell r="A438">
            <v>3479</v>
          </cell>
          <cell r="B438">
            <v>6</v>
          </cell>
          <cell r="C438" t="str">
            <v>MAIONESE SOYA PET CX/12X500GR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321.55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4</v>
          </cell>
          <cell r="P438">
            <v>0.05</v>
          </cell>
          <cell r="Q438">
            <v>0</v>
          </cell>
          <cell r="R438">
            <v>36</v>
          </cell>
          <cell r="S438">
            <v>0</v>
          </cell>
          <cell r="T438">
            <v>0</v>
          </cell>
        </row>
        <row r="439">
          <cell r="A439">
            <v>3458</v>
          </cell>
          <cell r="B439">
            <v>416</v>
          </cell>
          <cell r="C439" t="str">
            <v>VITAMINA FRUTAS QUATA CX/27X180ML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10104.129999999999</v>
          </cell>
          <cell r="K439">
            <v>0.13</v>
          </cell>
          <cell r="L439">
            <v>0</v>
          </cell>
          <cell r="M439">
            <v>0</v>
          </cell>
          <cell r="N439">
            <v>0</v>
          </cell>
          <cell r="O439">
            <v>167</v>
          </cell>
          <cell r="P439">
            <v>2.25</v>
          </cell>
          <cell r="Q439">
            <v>0</v>
          </cell>
          <cell r="R439">
            <v>2021.76</v>
          </cell>
          <cell r="S439">
            <v>0</v>
          </cell>
          <cell r="T439">
            <v>0</v>
          </cell>
        </row>
        <row r="440">
          <cell r="A440">
            <v>3455</v>
          </cell>
          <cell r="B440">
            <v>1</v>
          </cell>
          <cell r="C440" t="str">
            <v>STRANGER PIZZA PEPPERONI SEARA CX/12X210GR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95.89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1</v>
          </cell>
          <cell r="P440">
            <v>0.01</v>
          </cell>
          <cell r="Q440">
            <v>0</v>
          </cell>
          <cell r="R440">
            <v>2.52</v>
          </cell>
          <cell r="S440">
            <v>0</v>
          </cell>
          <cell r="T440">
            <v>0</v>
          </cell>
        </row>
        <row r="441">
          <cell r="A441">
            <v>345</v>
          </cell>
          <cell r="B441">
            <v>10</v>
          </cell>
          <cell r="C441" t="str">
            <v>PEITO FRANGO DESFIADO TROPEIRA CX\25X400KG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3454.64</v>
          </cell>
          <cell r="K441">
            <v>0.05</v>
          </cell>
          <cell r="L441">
            <v>0</v>
          </cell>
          <cell r="M441">
            <v>0</v>
          </cell>
          <cell r="N441">
            <v>0</v>
          </cell>
          <cell r="O441">
            <v>9</v>
          </cell>
          <cell r="P441">
            <v>0.12</v>
          </cell>
          <cell r="Q441">
            <v>0</v>
          </cell>
          <cell r="R441">
            <v>96</v>
          </cell>
          <cell r="S441">
            <v>0</v>
          </cell>
          <cell r="T441">
            <v>0</v>
          </cell>
        </row>
        <row r="442">
          <cell r="A442">
            <v>344</v>
          </cell>
          <cell r="B442">
            <v>362</v>
          </cell>
          <cell r="C442" t="str">
            <v>PESCOCO PERU PERDIGAO CX\15KG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108669.78</v>
          </cell>
          <cell r="K442">
            <v>1.42</v>
          </cell>
          <cell r="L442">
            <v>899.64</v>
          </cell>
          <cell r="M442">
            <v>2.73</v>
          </cell>
          <cell r="N442">
            <v>3</v>
          </cell>
          <cell r="O442">
            <v>258</v>
          </cell>
          <cell r="P442">
            <v>3.47</v>
          </cell>
          <cell r="Q442">
            <v>0</v>
          </cell>
          <cell r="R442">
            <v>5430</v>
          </cell>
          <cell r="S442">
            <v>0</v>
          </cell>
          <cell r="T442">
            <v>45</v>
          </cell>
        </row>
        <row r="443">
          <cell r="A443">
            <v>342</v>
          </cell>
          <cell r="B443">
            <v>68.180000000000007</v>
          </cell>
          <cell r="C443" t="str">
            <v>QUEIJO MINAS FRACIONADO CRISTAULAT KG</v>
          </cell>
          <cell r="D443">
            <v>9279.3799999999992</v>
          </cell>
          <cell r="E443">
            <v>0.22</v>
          </cell>
          <cell r="F443">
            <v>224.9</v>
          </cell>
          <cell r="G443">
            <v>0</v>
          </cell>
          <cell r="H443">
            <v>0</v>
          </cell>
          <cell r="I443">
            <v>0</v>
          </cell>
          <cell r="J443">
            <v>2982.46</v>
          </cell>
          <cell r="K443">
            <v>0.04</v>
          </cell>
          <cell r="L443">
            <v>0</v>
          </cell>
          <cell r="M443">
            <v>0</v>
          </cell>
          <cell r="N443">
            <v>0</v>
          </cell>
          <cell r="O443">
            <v>18</v>
          </cell>
          <cell r="P443">
            <v>0.24</v>
          </cell>
          <cell r="Q443">
            <v>224.9</v>
          </cell>
          <cell r="R443">
            <v>68.180000000000007</v>
          </cell>
          <cell r="S443">
            <v>0</v>
          </cell>
          <cell r="T443">
            <v>0</v>
          </cell>
        </row>
        <row r="444">
          <cell r="A444">
            <v>3416</v>
          </cell>
          <cell r="B444">
            <v>52</v>
          </cell>
          <cell r="C444" t="str">
            <v>PONTA COSTELA SUINA FRICASA PIF PAF 8X1KG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4883</v>
          </cell>
          <cell r="K444">
            <v>0.06</v>
          </cell>
          <cell r="L444">
            <v>93.1</v>
          </cell>
          <cell r="M444">
            <v>0.28000000000000003</v>
          </cell>
          <cell r="N444">
            <v>1</v>
          </cell>
          <cell r="O444">
            <v>39</v>
          </cell>
          <cell r="P444">
            <v>0.53</v>
          </cell>
          <cell r="Q444">
            <v>0</v>
          </cell>
          <cell r="R444">
            <v>416</v>
          </cell>
          <cell r="S444">
            <v>0</v>
          </cell>
          <cell r="T444">
            <v>8</v>
          </cell>
        </row>
        <row r="445">
          <cell r="A445">
            <v>3411</v>
          </cell>
          <cell r="B445">
            <v>3</v>
          </cell>
          <cell r="C445" t="str">
            <v>CREME AVELA\CACAU TRIANGULO MINEIRO 3KG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300.89999999999998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3</v>
          </cell>
          <cell r="P445">
            <v>0.04</v>
          </cell>
          <cell r="Q445">
            <v>0</v>
          </cell>
          <cell r="R445">
            <v>9</v>
          </cell>
          <cell r="S445">
            <v>0</v>
          </cell>
          <cell r="T445">
            <v>0</v>
          </cell>
        </row>
        <row r="446">
          <cell r="A446">
            <v>3410</v>
          </cell>
          <cell r="B446">
            <v>8</v>
          </cell>
          <cell r="C446" t="str">
            <v>CREME AVELA\CACAU  TRIANGULO MINEIRO 10X170G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691.68</v>
          </cell>
          <cell r="K446">
            <v>0.01</v>
          </cell>
          <cell r="L446">
            <v>0</v>
          </cell>
          <cell r="M446">
            <v>0</v>
          </cell>
          <cell r="N446">
            <v>0</v>
          </cell>
          <cell r="O446">
            <v>8</v>
          </cell>
          <cell r="P446">
            <v>0.11</v>
          </cell>
          <cell r="Q446">
            <v>0</v>
          </cell>
          <cell r="R446">
            <v>80</v>
          </cell>
          <cell r="S446">
            <v>0</v>
          </cell>
          <cell r="T446">
            <v>0</v>
          </cell>
        </row>
        <row r="447">
          <cell r="A447">
            <v>341</v>
          </cell>
          <cell r="B447">
            <v>273</v>
          </cell>
          <cell r="C447" t="str">
            <v>QUEIJO MINAS PADRAO CRISTAULAT KG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13137.7</v>
          </cell>
          <cell r="K447">
            <v>0.17</v>
          </cell>
          <cell r="L447">
            <v>551.25</v>
          </cell>
          <cell r="M447">
            <v>1.67</v>
          </cell>
          <cell r="N447">
            <v>11.35</v>
          </cell>
          <cell r="O447">
            <v>47</v>
          </cell>
          <cell r="P447">
            <v>0.63</v>
          </cell>
          <cell r="Q447">
            <v>0</v>
          </cell>
          <cell r="R447">
            <v>273</v>
          </cell>
          <cell r="S447">
            <v>0</v>
          </cell>
          <cell r="T447">
            <v>11.35</v>
          </cell>
        </row>
        <row r="448">
          <cell r="A448">
            <v>3409</v>
          </cell>
          <cell r="B448">
            <v>4</v>
          </cell>
          <cell r="C448" t="str">
            <v>CREME AVELA\CACAU TRIANGULO MINEIRO 12X300G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614.08000000000004</v>
          </cell>
          <cell r="K448">
            <v>0.01</v>
          </cell>
          <cell r="L448">
            <v>0</v>
          </cell>
          <cell r="M448">
            <v>0</v>
          </cell>
          <cell r="N448">
            <v>0</v>
          </cell>
          <cell r="O448">
            <v>4</v>
          </cell>
          <cell r="P448">
            <v>0.05</v>
          </cell>
          <cell r="Q448">
            <v>0</v>
          </cell>
          <cell r="R448">
            <v>14.4</v>
          </cell>
          <cell r="S448">
            <v>0</v>
          </cell>
          <cell r="T448">
            <v>0</v>
          </cell>
        </row>
        <row r="449">
          <cell r="A449">
            <v>340</v>
          </cell>
          <cell r="B449">
            <v>33.9</v>
          </cell>
          <cell r="C449" t="str">
            <v>QUEIJO PARMESAO INTEIRO CRISTAULAT  KG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1831.22</v>
          </cell>
          <cell r="K449">
            <v>0.02</v>
          </cell>
          <cell r="L449">
            <v>0</v>
          </cell>
          <cell r="M449">
            <v>0</v>
          </cell>
          <cell r="N449">
            <v>0</v>
          </cell>
          <cell r="O449">
            <v>5</v>
          </cell>
          <cell r="P449">
            <v>7.0000000000000007E-2</v>
          </cell>
          <cell r="Q449">
            <v>0</v>
          </cell>
          <cell r="R449">
            <v>33.9</v>
          </cell>
          <cell r="S449">
            <v>0</v>
          </cell>
          <cell r="T449">
            <v>0</v>
          </cell>
        </row>
        <row r="450">
          <cell r="A450">
            <v>34</v>
          </cell>
          <cell r="B450">
            <v>38</v>
          </cell>
          <cell r="C450" t="str">
            <v>MOELA DE FRANGO PCT RIVELLI CX/15KG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7870.3</v>
          </cell>
          <cell r="K450">
            <v>0.1</v>
          </cell>
          <cell r="L450">
            <v>0</v>
          </cell>
          <cell r="M450">
            <v>0</v>
          </cell>
          <cell r="N450">
            <v>0</v>
          </cell>
          <cell r="O450">
            <v>27</v>
          </cell>
          <cell r="P450">
            <v>0.36</v>
          </cell>
          <cell r="Q450">
            <v>0</v>
          </cell>
          <cell r="R450">
            <v>570</v>
          </cell>
          <cell r="S450">
            <v>0</v>
          </cell>
          <cell r="T450">
            <v>0</v>
          </cell>
        </row>
        <row r="451">
          <cell r="A451">
            <v>339</v>
          </cell>
          <cell r="B451">
            <v>48.8</v>
          </cell>
          <cell r="C451" t="str">
            <v>QUEIJO PARMESAO CUNHA CRISTAULAT KG</v>
          </cell>
          <cell r="D451">
            <v>6533.59</v>
          </cell>
          <cell r="E451">
            <v>0.15</v>
          </cell>
          <cell r="F451">
            <v>126.94</v>
          </cell>
          <cell r="G451">
            <v>0</v>
          </cell>
          <cell r="H451">
            <v>0</v>
          </cell>
          <cell r="I451">
            <v>0</v>
          </cell>
          <cell r="J451">
            <v>2784</v>
          </cell>
          <cell r="K451">
            <v>0.04</v>
          </cell>
          <cell r="L451">
            <v>0</v>
          </cell>
          <cell r="M451">
            <v>0</v>
          </cell>
          <cell r="N451">
            <v>0</v>
          </cell>
          <cell r="O451">
            <v>10</v>
          </cell>
          <cell r="P451">
            <v>0.13</v>
          </cell>
          <cell r="Q451">
            <v>126.94</v>
          </cell>
          <cell r="R451">
            <v>48.8</v>
          </cell>
          <cell r="S451">
            <v>0</v>
          </cell>
          <cell r="T451">
            <v>0</v>
          </cell>
        </row>
        <row r="452">
          <cell r="A452">
            <v>3370</v>
          </cell>
          <cell r="B452">
            <v>17</v>
          </cell>
          <cell r="C452" t="str">
            <v>PEIXE CORVINA POSTAS PEIXE E CIA CX\20X1KG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7986.77</v>
          </cell>
          <cell r="K452">
            <v>0.1</v>
          </cell>
          <cell r="L452">
            <v>0</v>
          </cell>
          <cell r="M452">
            <v>0</v>
          </cell>
          <cell r="N452">
            <v>0</v>
          </cell>
          <cell r="O452">
            <v>12</v>
          </cell>
          <cell r="P452">
            <v>0.16</v>
          </cell>
          <cell r="Q452">
            <v>0</v>
          </cell>
          <cell r="R452">
            <v>340</v>
          </cell>
          <cell r="S452">
            <v>0</v>
          </cell>
          <cell r="T452">
            <v>0</v>
          </cell>
        </row>
        <row r="453">
          <cell r="A453">
            <v>3363</v>
          </cell>
          <cell r="B453">
            <v>114</v>
          </cell>
          <cell r="C453" t="str">
            <v>FRALDINHA BOVINA FIRE FRIGODIAS KG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4364.17</v>
          </cell>
          <cell r="K453">
            <v>0.06</v>
          </cell>
          <cell r="L453">
            <v>0</v>
          </cell>
          <cell r="M453">
            <v>0</v>
          </cell>
          <cell r="N453">
            <v>0</v>
          </cell>
          <cell r="O453">
            <v>6</v>
          </cell>
          <cell r="P453">
            <v>0.08</v>
          </cell>
          <cell r="Q453">
            <v>0</v>
          </cell>
          <cell r="R453">
            <v>114</v>
          </cell>
          <cell r="S453">
            <v>0</v>
          </cell>
          <cell r="T453">
            <v>0</v>
          </cell>
        </row>
        <row r="454">
          <cell r="A454">
            <v>3356</v>
          </cell>
          <cell r="B454">
            <v>20</v>
          </cell>
          <cell r="C454" t="str">
            <v>AZEITONA VIDRO  ZAVO CX\12X500GR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2521.17</v>
          </cell>
          <cell r="K454">
            <v>0.03</v>
          </cell>
          <cell r="L454">
            <v>125.93</v>
          </cell>
          <cell r="M454">
            <v>0.38</v>
          </cell>
          <cell r="N454">
            <v>1</v>
          </cell>
          <cell r="O454">
            <v>17</v>
          </cell>
          <cell r="P454">
            <v>0.23</v>
          </cell>
          <cell r="Q454">
            <v>0</v>
          </cell>
          <cell r="R454">
            <v>100</v>
          </cell>
          <cell r="S454">
            <v>0</v>
          </cell>
          <cell r="T454">
            <v>5</v>
          </cell>
        </row>
        <row r="455">
          <cell r="A455">
            <v>3355</v>
          </cell>
          <cell r="B455">
            <v>40</v>
          </cell>
          <cell r="C455" t="str">
            <v>AZEITONA SACHE S/CAROCO TOZZI  24X80GR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3179.31</v>
          </cell>
          <cell r="K455">
            <v>0.04</v>
          </cell>
          <cell r="L455">
            <v>80.650000000000006</v>
          </cell>
          <cell r="M455">
            <v>0.25</v>
          </cell>
          <cell r="N455">
            <v>1</v>
          </cell>
          <cell r="O455">
            <v>33</v>
          </cell>
          <cell r="P455">
            <v>0.44</v>
          </cell>
          <cell r="Q455">
            <v>0</v>
          </cell>
          <cell r="R455">
            <v>80</v>
          </cell>
          <cell r="S455">
            <v>0</v>
          </cell>
          <cell r="T455">
            <v>2</v>
          </cell>
        </row>
        <row r="456">
          <cell r="A456">
            <v>3354</v>
          </cell>
          <cell r="B456">
            <v>37</v>
          </cell>
          <cell r="C456" t="str">
            <v>AZEITONA SACHE FATIADA TOZZI 24X80GR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2662.12</v>
          </cell>
          <cell r="K456">
            <v>0.03</v>
          </cell>
          <cell r="L456">
            <v>0</v>
          </cell>
          <cell r="M456">
            <v>0</v>
          </cell>
          <cell r="N456">
            <v>0</v>
          </cell>
          <cell r="O456">
            <v>33</v>
          </cell>
          <cell r="P456">
            <v>0.44</v>
          </cell>
          <cell r="Q456">
            <v>0</v>
          </cell>
          <cell r="R456">
            <v>74</v>
          </cell>
          <cell r="S456">
            <v>0</v>
          </cell>
          <cell r="T456">
            <v>0</v>
          </cell>
        </row>
        <row r="457">
          <cell r="A457">
            <v>3353</v>
          </cell>
          <cell r="B457">
            <v>61</v>
          </cell>
          <cell r="C457" t="str">
            <v>AZEITONA SACHE TOZZI  24X80GR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3522.53</v>
          </cell>
          <cell r="K457">
            <v>0.05</v>
          </cell>
          <cell r="L457">
            <v>0</v>
          </cell>
          <cell r="M457">
            <v>0</v>
          </cell>
          <cell r="N457">
            <v>0</v>
          </cell>
          <cell r="O457">
            <v>55</v>
          </cell>
          <cell r="P457">
            <v>0.74</v>
          </cell>
          <cell r="Q457">
            <v>0</v>
          </cell>
          <cell r="R457">
            <v>122</v>
          </cell>
          <cell r="S457">
            <v>0</v>
          </cell>
          <cell r="T457">
            <v>0</v>
          </cell>
        </row>
        <row r="458">
          <cell r="A458">
            <v>3351</v>
          </cell>
          <cell r="B458">
            <v>1</v>
          </cell>
          <cell r="C458" t="str">
            <v>FILEZINHO SASSAMI BDJ PERDIGAO  CX\12X1KG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226.4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1</v>
          </cell>
          <cell r="P458">
            <v>0.01</v>
          </cell>
          <cell r="Q458">
            <v>0</v>
          </cell>
          <cell r="R458">
            <v>12</v>
          </cell>
          <cell r="S458">
            <v>0</v>
          </cell>
          <cell r="T458">
            <v>0</v>
          </cell>
        </row>
        <row r="459">
          <cell r="A459">
            <v>3350</v>
          </cell>
          <cell r="B459">
            <v>8</v>
          </cell>
          <cell r="C459" t="str">
            <v>PEIXE PIRAMUTABA POSTA S\PELE PEIXE&amp;CIA 20X1KG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2572.02</v>
          </cell>
          <cell r="K459">
            <v>0.03</v>
          </cell>
          <cell r="L459">
            <v>0</v>
          </cell>
          <cell r="M459">
            <v>0</v>
          </cell>
          <cell r="N459">
            <v>0</v>
          </cell>
          <cell r="O459">
            <v>7</v>
          </cell>
          <cell r="P459">
            <v>0.09</v>
          </cell>
          <cell r="Q459">
            <v>0</v>
          </cell>
          <cell r="R459">
            <v>160</v>
          </cell>
          <cell r="S459">
            <v>0</v>
          </cell>
          <cell r="T459">
            <v>0</v>
          </cell>
        </row>
        <row r="460">
          <cell r="A460">
            <v>335</v>
          </cell>
          <cell r="B460">
            <v>153</v>
          </cell>
          <cell r="C460" t="str">
            <v>REQUEIJAO BISNAGA DALLORA 1,8KG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3481.28</v>
          </cell>
          <cell r="K460">
            <v>0.05</v>
          </cell>
          <cell r="L460">
            <v>115</v>
          </cell>
          <cell r="M460">
            <v>0.35</v>
          </cell>
          <cell r="N460">
            <v>5</v>
          </cell>
          <cell r="O460">
            <v>40</v>
          </cell>
          <cell r="P460">
            <v>0.54</v>
          </cell>
          <cell r="Q460">
            <v>0</v>
          </cell>
          <cell r="R460">
            <v>275.39999999999998</v>
          </cell>
          <cell r="S460">
            <v>0</v>
          </cell>
          <cell r="T460">
            <v>9</v>
          </cell>
        </row>
        <row r="461">
          <cell r="A461">
            <v>3347</v>
          </cell>
          <cell r="B461">
            <v>29</v>
          </cell>
          <cell r="C461" t="str">
            <v>PEIXE PIRAMUTABA POSTA C\PELE PEIXE&amp;CIA 20X1KG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8714.8799999999992</v>
          </cell>
          <cell r="K461">
            <v>0.11</v>
          </cell>
          <cell r="L461">
            <v>0</v>
          </cell>
          <cell r="M461">
            <v>0</v>
          </cell>
          <cell r="N461">
            <v>0</v>
          </cell>
          <cell r="O461">
            <v>27</v>
          </cell>
          <cell r="P461">
            <v>0.36</v>
          </cell>
          <cell r="Q461">
            <v>0</v>
          </cell>
          <cell r="R461">
            <v>580</v>
          </cell>
          <cell r="S461">
            <v>0</v>
          </cell>
          <cell r="T461">
            <v>0</v>
          </cell>
        </row>
        <row r="462">
          <cell r="A462">
            <v>334</v>
          </cell>
          <cell r="B462">
            <v>1436</v>
          </cell>
          <cell r="C462" t="str">
            <v>REQUEIJAO BISNAGA TAINA  1,8KG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29079.91</v>
          </cell>
          <cell r="K462">
            <v>0.38</v>
          </cell>
          <cell r="L462">
            <v>0</v>
          </cell>
          <cell r="M462">
            <v>0</v>
          </cell>
          <cell r="N462">
            <v>0</v>
          </cell>
          <cell r="O462">
            <v>218</v>
          </cell>
          <cell r="P462">
            <v>2.94</v>
          </cell>
          <cell r="Q462">
            <v>0</v>
          </cell>
          <cell r="R462">
            <v>2584.8000000000002</v>
          </cell>
          <cell r="S462">
            <v>0</v>
          </cell>
          <cell r="T462">
            <v>0</v>
          </cell>
        </row>
        <row r="463">
          <cell r="A463">
            <v>3315</v>
          </cell>
          <cell r="B463">
            <v>1050</v>
          </cell>
          <cell r="C463" t="str">
            <v>FRANGO CONG COGRAN CX\20KG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160041.96</v>
          </cell>
          <cell r="K463">
            <v>2.1</v>
          </cell>
          <cell r="L463">
            <v>468.41</v>
          </cell>
          <cell r="M463">
            <v>1.42</v>
          </cell>
          <cell r="N463">
            <v>3</v>
          </cell>
          <cell r="O463">
            <v>346</v>
          </cell>
          <cell r="P463">
            <v>4.66</v>
          </cell>
          <cell r="Q463">
            <v>0</v>
          </cell>
          <cell r="R463">
            <v>21000</v>
          </cell>
          <cell r="S463">
            <v>0</v>
          </cell>
          <cell r="T463">
            <v>60</v>
          </cell>
        </row>
        <row r="464">
          <cell r="A464">
            <v>3311</v>
          </cell>
          <cell r="B464">
            <v>127.37</v>
          </cell>
          <cell r="C464" t="str">
            <v>COXAO MOLE BOVINO CARA BRANCA KG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5304.76</v>
          </cell>
          <cell r="K464">
            <v>7.0000000000000007E-2</v>
          </cell>
          <cell r="L464">
            <v>0</v>
          </cell>
          <cell r="M464">
            <v>0</v>
          </cell>
          <cell r="N464">
            <v>0</v>
          </cell>
          <cell r="O464">
            <v>5</v>
          </cell>
          <cell r="P464">
            <v>7.0000000000000007E-2</v>
          </cell>
          <cell r="Q464">
            <v>0</v>
          </cell>
          <cell r="R464">
            <v>127.37</v>
          </cell>
          <cell r="S464">
            <v>0</v>
          </cell>
          <cell r="T464">
            <v>0</v>
          </cell>
        </row>
        <row r="465">
          <cell r="A465">
            <v>331</v>
          </cell>
          <cell r="B465">
            <v>5</v>
          </cell>
          <cell r="C465" t="str">
            <v>REQUEIJAO BISNAGA CHEDDAR VEREDA 1,5KG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306.27999999999997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3</v>
          </cell>
          <cell r="P465">
            <v>0.04</v>
          </cell>
          <cell r="Q465">
            <v>0</v>
          </cell>
          <cell r="R465">
            <v>7.5</v>
          </cell>
          <cell r="S465">
            <v>0</v>
          </cell>
          <cell r="T465">
            <v>0</v>
          </cell>
        </row>
        <row r="466">
          <cell r="A466">
            <v>3292</v>
          </cell>
          <cell r="B466">
            <v>18.920000000000002</v>
          </cell>
          <cell r="C466" t="str">
            <v>COSTELA SUINA TEMPERADA SEALI KG</v>
          </cell>
          <cell r="D466">
            <v>2701.75</v>
          </cell>
          <cell r="E466">
            <v>0.06</v>
          </cell>
          <cell r="F466">
            <v>148.62</v>
          </cell>
          <cell r="G466">
            <v>0</v>
          </cell>
          <cell r="H466">
            <v>0</v>
          </cell>
          <cell r="I466">
            <v>0</v>
          </cell>
          <cell r="J466">
            <v>406.03</v>
          </cell>
          <cell r="K466">
            <v>0.01</v>
          </cell>
          <cell r="L466">
            <v>0</v>
          </cell>
          <cell r="M466">
            <v>0</v>
          </cell>
          <cell r="N466">
            <v>0</v>
          </cell>
          <cell r="O466">
            <v>2</v>
          </cell>
          <cell r="P466">
            <v>0.03</v>
          </cell>
          <cell r="Q466">
            <v>148.62</v>
          </cell>
          <cell r="R466">
            <v>18.920000000000002</v>
          </cell>
          <cell r="S466">
            <v>0</v>
          </cell>
          <cell r="T466">
            <v>0</v>
          </cell>
        </row>
        <row r="467">
          <cell r="A467">
            <v>3291</v>
          </cell>
          <cell r="B467">
            <v>0</v>
          </cell>
          <cell r="C467" t="str">
            <v>ALCATRA SUINA TEMPERADA SEALI KG</v>
          </cell>
          <cell r="D467">
            <v>1902.42</v>
          </cell>
          <cell r="E467">
            <v>0.04</v>
          </cell>
          <cell r="F467">
            <v>104.65</v>
          </cell>
          <cell r="G467">
            <v>346.85</v>
          </cell>
          <cell r="H467">
            <v>2.12</v>
          </cell>
          <cell r="I467">
            <v>19.079999999999998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1</v>
          </cell>
          <cell r="P467">
            <v>0.01</v>
          </cell>
          <cell r="Q467">
            <v>104.65</v>
          </cell>
          <cell r="R467">
            <v>0</v>
          </cell>
          <cell r="S467">
            <v>19.079999999999998</v>
          </cell>
          <cell r="T467">
            <v>0</v>
          </cell>
        </row>
        <row r="468">
          <cell r="A468">
            <v>3289</v>
          </cell>
          <cell r="B468">
            <v>1</v>
          </cell>
          <cell r="C468" t="str">
            <v>HAMBURGUER BOVINO COSTELA SEARA CX21X150G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181.3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1</v>
          </cell>
          <cell r="P468">
            <v>0.01</v>
          </cell>
          <cell r="Q468">
            <v>0</v>
          </cell>
          <cell r="R468">
            <v>3.15</v>
          </cell>
          <cell r="S468">
            <v>0</v>
          </cell>
          <cell r="T468">
            <v>0</v>
          </cell>
        </row>
        <row r="469">
          <cell r="A469">
            <v>3282</v>
          </cell>
          <cell r="B469">
            <v>84</v>
          </cell>
          <cell r="C469" t="str">
            <v>BATATA P.FRITA 7MM QUALITY FRIES CX\6X2KG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12537.24</v>
          </cell>
          <cell r="K469">
            <v>0.16</v>
          </cell>
          <cell r="L469">
            <v>446.13</v>
          </cell>
          <cell r="M469">
            <v>1.36</v>
          </cell>
          <cell r="N469">
            <v>3</v>
          </cell>
          <cell r="O469">
            <v>52</v>
          </cell>
          <cell r="P469">
            <v>0.7</v>
          </cell>
          <cell r="Q469">
            <v>0</v>
          </cell>
          <cell r="R469">
            <v>1008</v>
          </cell>
          <cell r="S469">
            <v>0</v>
          </cell>
          <cell r="T469">
            <v>36</v>
          </cell>
        </row>
        <row r="470">
          <cell r="A470">
            <v>3257</v>
          </cell>
          <cell r="B470">
            <v>467.65</v>
          </cell>
          <cell r="C470" t="str">
            <v>COXA PERU PCT PERDIGAO KG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4365.21</v>
          </cell>
          <cell r="K470">
            <v>0.06</v>
          </cell>
          <cell r="L470">
            <v>0</v>
          </cell>
          <cell r="M470">
            <v>0</v>
          </cell>
          <cell r="N470">
            <v>0</v>
          </cell>
          <cell r="O470">
            <v>22</v>
          </cell>
          <cell r="P470">
            <v>0.3</v>
          </cell>
          <cell r="Q470">
            <v>0</v>
          </cell>
          <cell r="R470">
            <v>467.65</v>
          </cell>
          <cell r="S470">
            <v>0</v>
          </cell>
          <cell r="T470">
            <v>0</v>
          </cell>
        </row>
        <row r="471">
          <cell r="A471">
            <v>3256</v>
          </cell>
          <cell r="B471">
            <v>1919.61</v>
          </cell>
          <cell r="C471" t="str">
            <v>ASA PERU PCT PERDIGAO KG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22664.61</v>
          </cell>
          <cell r="K471">
            <v>0.3</v>
          </cell>
          <cell r="L471">
            <v>0</v>
          </cell>
          <cell r="M471">
            <v>0</v>
          </cell>
          <cell r="N471">
            <v>0</v>
          </cell>
          <cell r="O471">
            <v>91</v>
          </cell>
          <cell r="P471">
            <v>1.23</v>
          </cell>
          <cell r="Q471">
            <v>0</v>
          </cell>
          <cell r="R471">
            <v>1919.61</v>
          </cell>
          <cell r="S471">
            <v>0</v>
          </cell>
          <cell r="T471">
            <v>0</v>
          </cell>
        </row>
        <row r="472">
          <cell r="A472">
            <v>3249</v>
          </cell>
          <cell r="B472">
            <v>5</v>
          </cell>
          <cell r="C472" t="str">
            <v>LING TOSCANA SEARA CX/30X600GR</v>
          </cell>
          <cell r="D472">
            <v>12051</v>
          </cell>
          <cell r="E472">
            <v>0.28000000000000003</v>
          </cell>
          <cell r="F472">
            <v>50</v>
          </cell>
          <cell r="G472">
            <v>0</v>
          </cell>
          <cell r="H472">
            <v>0</v>
          </cell>
          <cell r="I472">
            <v>0</v>
          </cell>
          <cell r="J472">
            <v>1433.09</v>
          </cell>
          <cell r="K472">
            <v>0.02</v>
          </cell>
          <cell r="L472">
            <v>0</v>
          </cell>
          <cell r="M472">
            <v>0</v>
          </cell>
          <cell r="N472">
            <v>0</v>
          </cell>
          <cell r="O472">
            <v>6</v>
          </cell>
          <cell r="P472">
            <v>0.08</v>
          </cell>
          <cell r="Q472">
            <v>900</v>
          </cell>
          <cell r="R472">
            <v>90</v>
          </cell>
          <cell r="S472">
            <v>0</v>
          </cell>
          <cell r="T472">
            <v>0</v>
          </cell>
        </row>
        <row r="473">
          <cell r="A473">
            <v>3248</v>
          </cell>
          <cell r="B473">
            <v>12</v>
          </cell>
          <cell r="C473" t="str">
            <v>LING FRANGO SEARA CX/30X600GR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3237.48</v>
          </cell>
          <cell r="K473">
            <v>0.04</v>
          </cell>
          <cell r="L473">
            <v>0</v>
          </cell>
          <cell r="M473">
            <v>0</v>
          </cell>
          <cell r="N473">
            <v>0</v>
          </cell>
          <cell r="O473">
            <v>12</v>
          </cell>
          <cell r="P473">
            <v>0.16</v>
          </cell>
          <cell r="Q473">
            <v>0</v>
          </cell>
          <cell r="R473">
            <v>216</v>
          </cell>
          <cell r="S473">
            <v>0</v>
          </cell>
          <cell r="T473">
            <v>0</v>
          </cell>
        </row>
        <row r="474">
          <cell r="A474">
            <v>3247</v>
          </cell>
          <cell r="B474">
            <v>35</v>
          </cell>
          <cell r="C474" t="str">
            <v>LING SUINA SEARA CX/30X600GR</v>
          </cell>
          <cell r="D474">
            <v>11439</v>
          </cell>
          <cell r="E474">
            <v>0.27</v>
          </cell>
          <cell r="F474">
            <v>50</v>
          </cell>
          <cell r="G474">
            <v>0</v>
          </cell>
          <cell r="H474">
            <v>0</v>
          </cell>
          <cell r="I474">
            <v>0</v>
          </cell>
          <cell r="J474">
            <v>10194.74</v>
          </cell>
          <cell r="K474">
            <v>0.13</v>
          </cell>
          <cell r="L474">
            <v>0</v>
          </cell>
          <cell r="M474">
            <v>0</v>
          </cell>
          <cell r="N474">
            <v>0</v>
          </cell>
          <cell r="O474">
            <v>36</v>
          </cell>
          <cell r="P474">
            <v>0.48</v>
          </cell>
          <cell r="Q474">
            <v>900</v>
          </cell>
          <cell r="R474">
            <v>630</v>
          </cell>
          <cell r="S474">
            <v>0</v>
          </cell>
          <cell r="T474">
            <v>0</v>
          </cell>
        </row>
        <row r="475">
          <cell r="A475">
            <v>3246</v>
          </cell>
          <cell r="B475">
            <v>15</v>
          </cell>
          <cell r="C475" t="str">
            <v>LING PERNIL SEARA CX/30X600GR</v>
          </cell>
          <cell r="D475">
            <v>11781</v>
          </cell>
          <cell r="E475">
            <v>0.28000000000000003</v>
          </cell>
          <cell r="F475">
            <v>50</v>
          </cell>
          <cell r="G475">
            <v>0</v>
          </cell>
          <cell r="H475">
            <v>0</v>
          </cell>
          <cell r="I475">
            <v>0</v>
          </cell>
          <cell r="J475">
            <v>4389.66</v>
          </cell>
          <cell r="K475">
            <v>0.06</v>
          </cell>
          <cell r="L475">
            <v>0</v>
          </cell>
          <cell r="M475">
            <v>0</v>
          </cell>
          <cell r="N475">
            <v>0</v>
          </cell>
          <cell r="O475">
            <v>16</v>
          </cell>
          <cell r="P475">
            <v>0.22</v>
          </cell>
          <cell r="Q475">
            <v>900</v>
          </cell>
          <cell r="R475">
            <v>270</v>
          </cell>
          <cell r="S475">
            <v>0</v>
          </cell>
          <cell r="T475">
            <v>0</v>
          </cell>
        </row>
        <row r="476">
          <cell r="A476">
            <v>3245</v>
          </cell>
          <cell r="B476">
            <v>7</v>
          </cell>
          <cell r="C476" t="str">
            <v>LING CHIMICHURRI SEARA CX/30X600GR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1899.55</v>
          </cell>
          <cell r="K476">
            <v>0.02</v>
          </cell>
          <cell r="L476">
            <v>0</v>
          </cell>
          <cell r="M476">
            <v>0</v>
          </cell>
          <cell r="N476">
            <v>0</v>
          </cell>
          <cell r="O476">
            <v>7</v>
          </cell>
          <cell r="P476">
            <v>0.09</v>
          </cell>
          <cell r="Q476">
            <v>0</v>
          </cell>
          <cell r="R476">
            <v>126</v>
          </cell>
          <cell r="S476">
            <v>0</v>
          </cell>
          <cell r="T476">
            <v>0</v>
          </cell>
        </row>
        <row r="477">
          <cell r="A477">
            <v>3244</v>
          </cell>
          <cell r="B477">
            <v>3</v>
          </cell>
          <cell r="C477" t="str">
            <v>LING SUINA C\BACON SEARA CX/30X600GR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940.8</v>
          </cell>
          <cell r="K477">
            <v>0.01</v>
          </cell>
          <cell r="L477">
            <v>0</v>
          </cell>
          <cell r="M477">
            <v>0</v>
          </cell>
          <cell r="N477">
            <v>0</v>
          </cell>
          <cell r="O477">
            <v>3</v>
          </cell>
          <cell r="P477">
            <v>0.04</v>
          </cell>
          <cell r="Q477">
            <v>0</v>
          </cell>
          <cell r="R477">
            <v>54</v>
          </cell>
          <cell r="S477">
            <v>0</v>
          </cell>
          <cell r="T477">
            <v>0</v>
          </cell>
        </row>
        <row r="478">
          <cell r="A478">
            <v>3243</v>
          </cell>
          <cell r="B478">
            <v>62</v>
          </cell>
          <cell r="C478" t="str">
            <v>LING APIMENTADA SEARA CX/30X600GR</v>
          </cell>
          <cell r="D478">
            <v>24102</v>
          </cell>
          <cell r="E478">
            <v>0.56000000000000005</v>
          </cell>
          <cell r="F478">
            <v>100</v>
          </cell>
          <cell r="G478">
            <v>0</v>
          </cell>
          <cell r="H478">
            <v>0</v>
          </cell>
          <cell r="I478">
            <v>0</v>
          </cell>
          <cell r="J478">
            <v>17283.72</v>
          </cell>
          <cell r="K478">
            <v>0.23</v>
          </cell>
          <cell r="L478">
            <v>0</v>
          </cell>
          <cell r="M478">
            <v>0</v>
          </cell>
          <cell r="N478">
            <v>0</v>
          </cell>
          <cell r="O478">
            <v>62</v>
          </cell>
          <cell r="P478">
            <v>0.83</v>
          </cell>
          <cell r="Q478">
            <v>1800</v>
          </cell>
          <cell r="R478">
            <v>1116</v>
          </cell>
          <cell r="S478">
            <v>0</v>
          </cell>
          <cell r="T478">
            <v>0</v>
          </cell>
        </row>
        <row r="479">
          <cell r="A479">
            <v>3242</v>
          </cell>
          <cell r="B479">
            <v>859</v>
          </cell>
          <cell r="C479" t="str">
            <v>BEB.LACTEA CHOCOLATE QUATA CX/27X180ML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20651.77</v>
          </cell>
          <cell r="K479">
            <v>0.27</v>
          </cell>
          <cell r="L479">
            <v>0</v>
          </cell>
          <cell r="M479">
            <v>0</v>
          </cell>
          <cell r="N479">
            <v>0</v>
          </cell>
          <cell r="O479">
            <v>259</v>
          </cell>
          <cell r="P479">
            <v>3.49</v>
          </cell>
          <cell r="Q479">
            <v>0</v>
          </cell>
          <cell r="R479">
            <v>4174.74</v>
          </cell>
          <cell r="S479">
            <v>0</v>
          </cell>
          <cell r="T479">
            <v>0</v>
          </cell>
        </row>
        <row r="480">
          <cell r="A480">
            <v>324</v>
          </cell>
          <cell r="B480">
            <v>33</v>
          </cell>
          <cell r="C480" t="str">
            <v>SPETTIN FRANGO PIF PAF EMPANADO CX\3KG</v>
          </cell>
          <cell r="D480">
            <v>2337.7399999999998</v>
          </cell>
          <cell r="E480">
            <v>0.05</v>
          </cell>
          <cell r="F480">
            <v>30</v>
          </cell>
          <cell r="G480">
            <v>0</v>
          </cell>
          <cell r="H480">
            <v>0</v>
          </cell>
          <cell r="I480">
            <v>0</v>
          </cell>
          <cell r="J480">
            <v>3029.94</v>
          </cell>
          <cell r="K480">
            <v>0.04</v>
          </cell>
          <cell r="L480">
            <v>0</v>
          </cell>
          <cell r="M480">
            <v>0</v>
          </cell>
          <cell r="N480">
            <v>0</v>
          </cell>
          <cell r="O480">
            <v>12</v>
          </cell>
          <cell r="P480">
            <v>0.16</v>
          </cell>
          <cell r="Q480">
            <v>90</v>
          </cell>
          <cell r="R480">
            <v>99</v>
          </cell>
          <cell r="S480">
            <v>0</v>
          </cell>
          <cell r="T480">
            <v>0</v>
          </cell>
        </row>
        <row r="481">
          <cell r="A481">
            <v>322</v>
          </cell>
          <cell r="B481">
            <v>170</v>
          </cell>
          <cell r="C481" t="str">
            <v>VITAMINA FRUTAS CEMIL CX\12X1LT</v>
          </cell>
          <cell r="D481">
            <v>9880.0300000000007</v>
          </cell>
          <cell r="E481">
            <v>0.23</v>
          </cell>
          <cell r="F481">
            <v>240</v>
          </cell>
          <cell r="G481">
            <v>0</v>
          </cell>
          <cell r="H481">
            <v>0</v>
          </cell>
          <cell r="I481">
            <v>0</v>
          </cell>
          <cell r="J481">
            <v>8391</v>
          </cell>
          <cell r="K481">
            <v>0.11</v>
          </cell>
          <cell r="L481">
            <v>99.2</v>
          </cell>
          <cell r="M481">
            <v>0.3</v>
          </cell>
          <cell r="N481">
            <v>2</v>
          </cell>
          <cell r="O481">
            <v>135</v>
          </cell>
          <cell r="P481">
            <v>1.82</v>
          </cell>
          <cell r="Q481">
            <v>2880</v>
          </cell>
          <cell r="R481">
            <v>2040</v>
          </cell>
          <cell r="S481">
            <v>0</v>
          </cell>
          <cell r="T481">
            <v>24</v>
          </cell>
        </row>
        <row r="482">
          <cell r="A482">
            <v>3216</v>
          </cell>
          <cell r="B482">
            <v>1</v>
          </cell>
          <cell r="C482" t="str">
            <v>HAMBURGUER BOVINO BACON SEARA CX21X150G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146.61000000000001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1</v>
          </cell>
          <cell r="P482">
            <v>0.01</v>
          </cell>
          <cell r="Q482">
            <v>0</v>
          </cell>
          <cell r="R482">
            <v>3.15</v>
          </cell>
          <cell r="S482">
            <v>0</v>
          </cell>
          <cell r="T482">
            <v>0</v>
          </cell>
        </row>
        <row r="483">
          <cell r="A483">
            <v>3211</v>
          </cell>
          <cell r="B483">
            <v>8</v>
          </cell>
          <cell r="C483" t="str">
            <v>FIGADO DE FRANGO ATALAIA CX/20KG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643.85</v>
          </cell>
          <cell r="K483">
            <v>0.01</v>
          </cell>
          <cell r="L483">
            <v>159.74</v>
          </cell>
          <cell r="M483">
            <v>0.49</v>
          </cell>
          <cell r="N483">
            <v>2</v>
          </cell>
          <cell r="O483">
            <v>7</v>
          </cell>
          <cell r="P483">
            <v>0.09</v>
          </cell>
          <cell r="Q483">
            <v>0</v>
          </cell>
          <cell r="R483">
            <v>160</v>
          </cell>
          <cell r="S483">
            <v>0</v>
          </cell>
          <cell r="T483">
            <v>40</v>
          </cell>
        </row>
        <row r="484">
          <cell r="A484">
            <v>3204</v>
          </cell>
          <cell r="B484">
            <v>51</v>
          </cell>
          <cell r="C484" t="str">
            <v>CREME CHANTILLY NORCAU 6X1LT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5529.47</v>
          </cell>
          <cell r="K484">
            <v>7.0000000000000007E-2</v>
          </cell>
          <cell r="L484">
            <v>0</v>
          </cell>
          <cell r="M484">
            <v>0</v>
          </cell>
          <cell r="N484">
            <v>0</v>
          </cell>
          <cell r="O484">
            <v>35</v>
          </cell>
          <cell r="P484">
            <v>0.47</v>
          </cell>
          <cell r="Q484">
            <v>0</v>
          </cell>
          <cell r="R484">
            <v>306</v>
          </cell>
          <cell r="S484">
            <v>0</v>
          </cell>
          <cell r="T484">
            <v>0</v>
          </cell>
        </row>
        <row r="485">
          <cell r="A485">
            <v>320</v>
          </cell>
          <cell r="B485">
            <v>15</v>
          </cell>
          <cell r="C485" t="str">
            <v>SUCO UVA 100% TIAL CX/24X200ML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971.37</v>
          </cell>
          <cell r="K485">
            <v>0.01</v>
          </cell>
          <cell r="L485">
            <v>0</v>
          </cell>
          <cell r="M485">
            <v>0</v>
          </cell>
          <cell r="N485">
            <v>0</v>
          </cell>
          <cell r="O485">
            <v>4</v>
          </cell>
          <cell r="P485">
            <v>0.05</v>
          </cell>
          <cell r="Q485">
            <v>0</v>
          </cell>
          <cell r="R485">
            <v>75</v>
          </cell>
          <cell r="S485">
            <v>0</v>
          </cell>
          <cell r="T485">
            <v>0</v>
          </cell>
        </row>
        <row r="486">
          <cell r="A486">
            <v>3195</v>
          </cell>
          <cell r="B486">
            <v>9</v>
          </cell>
          <cell r="C486" t="str">
            <v>FILEZINHO SUINO SEARA CX/18KG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2671.56</v>
          </cell>
          <cell r="K486">
            <v>0.03</v>
          </cell>
          <cell r="L486">
            <v>0</v>
          </cell>
          <cell r="M486">
            <v>0</v>
          </cell>
          <cell r="N486">
            <v>0</v>
          </cell>
          <cell r="O486">
            <v>8</v>
          </cell>
          <cell r="P486">
            <v>0.11</v>
          </cell>
          <cell r="Q486">
            <v>0</v>
          </cell>
          <cell r="R486">
            <v>162</v>
          </cell>
          <cell r="S486">
            <v>0</v>
          </cell>
          <cell r="T486">
            <v>0</v>
          </cell>
        </row>
        <row r="487">
          <cell r="A487">
            <v>3194</v>
          </cell>
          <cell r="B487">
            <v>43.63</v>
          </cell>
          <cell r="C487" t="str">
            <v>PERNIL SUINO S/OSSO SEARA KG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669.41</v>
          </cell>
          <cell r="K487">
            <v>0.01</v>
          </cell>
          <cell r="L487">
            <v>0</v>
          </cell>
          <cell r="M487">
            <v>0</v>
          </cell>
          <cell r="N487">
            <v>0</v>
          </cell>
          <cell r="O487">
            <v>2</v>
          </cell>
          <cell r="P487">
            <v>0.03</v>
          </cell>
          <cell r="Q487">
            <v>0</v>
          </cell>
          <cell r="R487">
            <v>43.63</v>
          </cell>
          <cell r="S487">
            <v>0</v>
          </cell>
          <cell r="T487">
            <v>0</v>
          </cell>
        </row>
        <row r="488">
          <cell r="A488">
            <v>3191</v>
          </cell>
          <cell r="B488">
            <v>102</v>
          </cell>
          <cell r="C488" t="str">
            <v>MAIONESE SACHE SALADA 1KG</v>
          </cell>
          <cell r="D488">
            <v>920.4</v>
          </cell>
          <cell r="E488">
            <v>0.02</v>
          </cell>
          <cell r="F488">
            <v>120</v>
          </cell>
          <cell r="G488">
            <v>0</v>
          </cell>
          <cell r="H488">
            <v>0</v>
          </cell>
          <cell r="I488">
            <v>0</v>
          </cell>
          <cell r="J488">
            <v>998.88</v>
          </cell>
          <cell r="K488">
            <v>0.01</v>
          </cell>
          <cell r="L488">
            <v>0</v>
          </cell>
          <cell r="M488">
            <v>0</v>
          </cell>
          <cell r="N488">
            <v>0</v>
          </cell>
          <cell r="O488">
            <v>14</v>
          </cell>
          <cell r="P488">
            <v>0.19</v>
          </cell>
          <cell r="Q488">
            <v>120</v>
          </cell>
          <cell r="R488">
            <v>102</v>
          </cell>
          <cell r="S488">
            <v>0</v>
          </cell>
          <cell r="T488">
            <v>0</v>
          </cell>
        </row>
        <row r="489">
          <cell r="A489">
            <v>3189</v>
          </cell>
          <cell r="B489">
            <v>60</v>
          </cell>
          <cell r="C489" t="str">
            <v>CREME CULINÁRIO UHT DAMARE 1,01KG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592.79999999999995</v>
          </cell>
          <cell r="K489">
            <v>0.01</v>
          </cell>
          <cell r="L489">
            <v>0</v>
          </cell>
          <cell r="M489">
            <v>0</v>
          </cell>
          <cell r="N489">
            <v>0</v>
          </cell>
          <cell r="O489">
            <v>6</v>
          </cell>
          <cell r="P489">
            <v>0.08</v>
          </cell>
          <cell r="Q489">
            <v>0</v>
          </cell>
          <cell r="R489">
            <v>60.6</v>
          </cell>
          <cell r="S489">
            <v>0</v>
          </cell>
          <cell r="T489">
            <v>0</v>
          </cell>
        </row>
        <row r="490">
          <cell r="A490">
            <v>3188</v>
          </cell>
          <cell r="B490">
            <v>22</v>
          </cell>
          <cell r="C490" t="str">
            <v>CHOCOLATE EM PÓ DAMARE 50% CACAU 1,010KG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744.94</v>
          </cell>
          <cell r="K490">
            <v>0.01</v>
          </cell>
          <cell r="L490">
            <v>0</v>
          </cell>
          <cell r="M490">
            <v>0</v>
          </cell>
          <cell r="N490">
            <v>0</v>
          </cell>
          <cell r="O490">
            <v>10</v>
          </cell>
          <cell r="P490">
            <v>0.13</v>
          </cell>
          <cell r="Q490">
            <v>0</v>
          </cell>
          <cell r="R490">
            <v>22.22</v>
          </cell>
          <cell r="S490">
            <v>0</v>
          </cell>
          <cell r="T490">
            <v>0</v>
          </cell>
        </row>
        <row r="491">
          <cell r="A491">
            <v>3186</v>
          </cell>
          <cell r="B491">
            <v>12</v>
          </cell>
          <cell r="C491" t="str">
            <v>DOCE DE LEITE CRISTAULAT CX\18/400GR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2116.8000000000002</v>
          </cell>
          <cell r="K491">
            <v>0.03</v>
          </cell>
          <cell r="L491">
            <v>0</v>
          </cell>
          <cell r="M491">
            <v>0</v>
          </cell>
          <cell r="N491">
            <v>0</v>
          </cell>
          <cell r="O491">
            <v>12</v>
          </cell>
          <cell r="P491">
            <v>0.16</v>
          </cell>
          <cell r="Q491">
            <v>0</v>
          </cell>
          <cell r="R491">
            <v>86.4</v>
          </cell>
          <cell r="S491">
            <v>0</v>
          </cell>
          <cell r="T491">
            <v>0</v>
          </cell>
        </row>
        <row r="492">
          <cell r="A492">
            <v>3185</v>
          </cell>
          <cell r="B492">
            <v>20</v>
          </cell>
          <cell r="C492" t="str">
            <v>MEIO DA ASA IQF LAR CX\15X1KG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7644</v>
          </cell>
          <cell r="K492">
            <v>0.1</v>
          </cell>
          <cell r="L492">
            <v>0</v>
          </cell>
          <cell r="M492">
            <v>0</v>
          </cell>
          <cell r="N492">
            <v>0</v>
          </cell>
          <cell r="O492">
            <v>17</v>
          </cell>
          <cell r="P492">
            <v>0.23</v>
          </cell>
          <cell r="Q492">
            <v>0</v>
          </cell>
          <cell r="R492">
            <v>300</v>
          </cell>
          <cell r="S492">
            <v>0</v>
          </cell>
          <cell r="T492">
            <v>0</v>
          </cell>
        </row>
        <row r="493">
          <cell r="A493">
            <v>3184</v>
          </cell>
          <cell r="B493">
            <v>31</v>
          </cell>
          <cell r="C493" t="str">
            <v>MEIO DA ASA TEMPERADO IQF LAR CX\20X700GR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10205.65</v>
          </cell>
          <cell r="K493">
            <v>0.13</v>
          </cell>
          <cell r="L493">
            <v>0</v>
          </cell>
          <cell r="M493">
            <v>0</v>
          </cell>
          <cell r="N493">
            <v>0</v>
          </cell>
          <cell r="O493">
            <v>31</v>
          </cell>
          <cell r="P493">
            <v>0.42</v>
          </cell>
          <cell r="Q493">
            <v>0</v>
          </cell>
          <cell r="R493">
            <v>434</v>
          </cell>
          <cell r="S493">
            <v>0</v>
          </cell>
          <cell r="T493">
            <v>0</v>
          </cell>
        </row>
        <row r="494">
          <cell r="A494">
            <v>3181</v>
          </cell>
          <cell r="B494">
            <v>4</v>
          </cell>
          <cell r="C494" t="str">
            <v>CHICKEN SUPREME SEARA CX/5X900G</v>
          </cell>
          <cell r="D494">
            <v>685.76</v>
          </cell>
          <cell r="E494">
            <v>0.02</v>
          </cell>
          <cell r="F494">
            <v>7</v>
          </cell>
          <cell r="G494">
            <v>0</v>
          </cell>
          <cell r="H494">
            <v>0</v>
          </cell>
          <cell r="I494">
            <v>0</v>
          </cell>
          <cell r="J494">
            <v>472.8</v>
          </cell>
          <cell r="K494">
            <v>0.01</v>
          </cell>
          <cell r="L494">
            <v>0</v>
          </cell>
          <cell r="M494">
            <v>0</v>
          </cell>
          <cell r="N494">
            <v>0</v>
          </cell>
          <cell r="O494">
            <v>4</v>
          </cell>
          <cell r="P494">
            <v>0.05</v>
          </cell>
          <cell r="Q494">
            <v>31.5</v>
          </cell>
          <cell r="R494">
            <v>18</v>
          </cell>
          <cell r="S494">
            <v>0</v>
          </cell>
          <cell r="T494">
            <v>0</v>
          </cell>
        </row>
        <row r="495">
          <cell r="A495">
            <v>318</v>
          </cell>
          <cell r="B495">
            <v>5</v>
          </cell>
          <cell r="C495" t="str">
            <v>SUCO NECTAR CAJU TIAL CX\12X1LT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344.33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5</v>
          </cell>
          <cell r="P495">
            <v>7.0000000000000007E-2</v>
          </cell>
          <cell r="Q495">
            <v>0</v>
          </cell>
          <cell r="R495">
            <v>60</v>
          </cell>
          <cell r="S495">
            <v>0</v>
          </cell>
          <cell r="T495">
            <v>0</v>
          </cell>
        </row>
        <row r="496">
          <cell r="A496">
            <v>3173</v>
          </cell>
          <cell r="B496">
            <v>67.44</v>
          </cell>
          <cell r="C496" t="str">
            <v>CONTRA FILE BOVINO PCT CARA BRANCA KG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3940.24</v>
          </cell>
          <cell r="K496">
            <v>0.05</v>
          </cell>
          <cell r="L496">
            <v>0</v>
          </cell>
          <cell r="M496">
            <v>0</v>
          </cell>
          <cell r="N496">
            <v>0</v>
          </cell>
          <cell r="O496">
            <v>3</v>
          </cell>
          <cell r="P496">
            <v>0.04</v>
          </cell>
          <cell r="Q496">
            <v>0</v>
          </cell>
          <cell r="R496">
            <v>67.44</v>
          </cell>
          <cell r="S496">
            <v>0</v>
          </cell>
          <cell r="T496">
            <v>0</v>
          </cell>
        </row>
        <row r="497">
          <cell r="A497">
            <v>3172</v>
          </cell>
          <cell r="B497">
            <v>24.08</v>
          </cell>
          <cell r="C497" t="str">
            <v>LAGARTO BOVINO CARA BRANCA KG</v>
          </cell>
          <cell r="D497">
            <v>82506.63</v>
          </cell>
          <cell r="E497">
            <v>1.93</v>
          </cell>
          <cell r="F497">
            <v>2299.98</v>
          </cell>
          <cell r="G497">
            <v>0</v>
          </cell>
          <cell r="H497">
            <v>0</v>
          </cell>
          <cell r="I497">
            <v>0</v>
          </cell>
          <cell r="J497">
            <v>997.91</v>
          </cell>
          <cell r="K497">
            <v>0.01</v>
          </cell>
          <cell r="L497">
            <v>0</v>
          </cell>
          <cell r="M497">
            <v>0</v>
          </cell>
          <cell r="N497">
            <v>0</v>
          </cell>
          <cell r="O497">
            <v>2</v>
          </cell>
          <cell r="P497">
            <v>0.03</v>
          </cell>
          <cell r="Q497">
            <v>2299.98</v>
          </cell>
          <cell r="R497">
            <v>24.08</v>
          </cell>
          <cell r="S497">
            <v>0</v>
          </cell>
          <cell r="T497">
            <v>0</v>
          </cell>
        </row>
        <row r="498">
          <cell r="A498">
            <v>3171</v>
          </cell>
          <cell r="B498">
            <v>377.29</v>
          </cell>
          <cell r="C498" t="str">
            <v>COXAO DURO BOVINO CARA BRANCA KG</v>
          </cell>
          <cell r="D498">
            <v>78161.08</v>
          </cell>
          <cell r="E498">
            <v>1.83</v>
          </cell>
          <cell r="F498">
            <v>2308.92</v>
          </cell>
          <cell r="G498">
            <v>0</v>
          </cell>
          <cell r="H498">
            <v>0</v>
          </cell>
          <cell r="I498">
            <v>0</v>
          </cell>
          <cell r="J498">
            <v>15684.61</v>
          </cell>
          <cell r="K498">
            <v>0.21</v>
          </cell>
          <cell r="L498">
            <v>0</v>
          </cell>
          <cell r="M498">
            <v>0</v>
          </cell>
          <cell r="N498">
            <v>0</v>
          </cell>
          <cell r="O498">
            <v>11</v>
          </cell>
          <cell r="P498">
            <v>0.15</v>
          </cell>
          <cell r="Q498">
            <v>2308.92</v>
          </cell>
          <cell r="R498">
            <v>377.29</v>
          </cell>
          <cell r="S498">
            <v>0</v>
          </cell>
          <cell r="T498">
            <v>0</v>
          </cell>
        </row>
        <row r="499">
          <cell r="A499">
            <v>317</v>
          </cell>
          <cell r="B499">
            <v>11</v>
          </cell>
          <cell r="C499" t="str">
            <v>SUCO NECTAR CAJU TIAL CX/24X200ML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423.54</v>
          </cell>
          <cell r="K499">
            <v>0.01</v>
          </cell>
          <cell r="L499">
            <v>0</v>
          </cell>
          <cell r="M499">
            <v>0</v>
          </cell>
          <cell r="N499">
            <v>0</v>
          </cell>
          <cell r="O499">
            <v>11</v>
          </cell>
          <cell r="P499">
            <v>0.15</v>
          </cell>
          <cell r="Q499">
            <v>0</v>
          </cell>
          <cell r="R499">
            <v>55</v>
          </cell>
          <cell r="S499">
            <v>0</v>
          </cell>
          <cell r="T499">
            <v>0</v>
          </cell>
        </row>
        <row r="500">
          <cell r="A500">
            <v>3169</v>
          </cell>
          <cell r="B500">
            <v>149.76</v>
          </cell>
          <cell r="C500" t="str">
            <v>MACA PEITO BOVINA CARA BRANCA KG</v>
          </cell>
          <cell r="D500">
            <v>63145.55</v>
          </cell>
          <cell r="E500">
            <v>1.48</v>
          </cell>
          <cell r="F500">
            <v>2192.61</v>
          </cell>
          <cell r="G500">
            <v>0</v>
          </cell>
          <cell r="H500">
            <v>0</v>
          </cell>
          <cell r="I500">
            <v>0</v>
          </cell>
          <cell r="J500">
            <v>6088.54</v>
          </cell>
          <cell r="K500">
            <v>0.08</v>
          </cell>
          <cell r="L500">
            <v>0</v>
          </cell>
          <cell r="M500">
            <v>0</v>
          </cell>
          <cell r="N500">
            <v>0</v>
          </cell>
          <cell r="O500">
            <v>5</v>
          </cell>
          <cell r="P500">
            <v>7.0000000000000007E-2</v>
          </cell>
          <cell r="Q500">
            <v>2192.61</v>
          </cell>
          <cell r="R500">
            <v>149.76</v>
          </cell>
          <cell r="S500">
            <v>0</v>
          </cell>
          <cell r="T500">
            <v>0</v>
          </cell>
        </row>
        <row r="501">
          <cell r="A501">
            <v>315</v>
          </cell>
          <cell r="B501">
            <v>0</v>
          </cell>
          <cell r="C501" t="str">
            <v>ALMONDEGA INCRIVEL LUVA SEARA CX\10X256G</v>
          </cell>
          <cell r="D501">
            <v>217.86</v>
          </cell>
          <cell r="E501">
            <v>0.01</v>
          </cell>
          <cell r="F501">
            <v>2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1</v>
          </cell>
          <cell r="P501">
            <v>0.01</v>
          </cell>
          <cell r="Q501">
            <v>5.12</v>
          </cell>
          <cell r="R501">
            <v>0</v>
          </cell>
          <cell r="S501">
            <v>0</v>
          </cell>
          <cell r="T501">
            <v>0</v>
          </cell>
        </row>
        <row r="502">
          <cell r="A502">
            <v>314</v>
          </cell>
          <cell r="B502">
            <v>4</v>
          </cell>
          <cell r="C502" t="str">
            <v>APRESUNTADO SEARA FATIADO CX/22X180GR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497.02</v>
          </cell>
          <cell r="K502">
            <v>0.01</v>
          </cell>
          <cell r="L502">
            <v>0</v>
          </cell>
          <cell r="M502">
            <v>0</v>
          </cell>
          <cell r="N502">
            <v>0</v>
          </cell>
          <cell r="O502">
            <v>4</v>
          </cell>
          <cell r="P502">
            <v>0.05</v>
          </cell>
          <cell r="Q502">
            <v>0</v>
          </cell>
          <cell r="R502">
            <v>15.84</v>
          </cell>
          <cell r="S502">
            <v>0</v>
          </cell>
          <cell r="T502">
            <v>0</v>
          </cell>
        </row>
        <row r="503">
          <cell r="A503">
            <v>3133</v>
          </cell>
          <cell r="B503">
            <v>8</v>
          </cell>
          <cell r="C503" t="str">
            <v>QUEIJO COALHO ESPETO SCALA CX/16X285GR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2169.36</v>
          </cell>
          <cell r="K503">
            <v>0.03</v>
          </cell>
          <cell r="L503">
            <v>0</v>
          </cell>
          <cell r="M503">
            <v>0</v>
          </cell>
          <cell r="N503">
            <v>0</v>
          </cell>
          <cell r="O503">
            <v>8</v>
          </cell>
          <cell r="P503">
            <v>0.11</v>
          </cell>
          <cell r="Q503">
            <v>0</v>
          </cell>
          <cell r="R503">
            <v>36.479999999999997</v>
          </cell>
          <cell r="S503">
            <v>0</v>
          </cell>
          <cell r="T503">
            <v>0</v>
          </cell>
        </row>
        <row r="504">
          <cell r="A504">
            <v>3132</v>
          </cell>
          <cell r="B504">
            <v>89</v>
          </cell>
          <cell r="C504" t="str">
            <v>QUEIJO PROVOLONE SCALA 300GR</v>
          </cell>
          <cell r="D504">
            <v>2317.17</v>
          </cell>
          <cell r="E504">
            <v>0.05</v>
          </cell>
          <cell r="F504">
            <v>120</v>
          </cell>
          <cell r="G504">
            <v>0</v>
          </cell>
          <cell r="H504">
            <v>0</v>
          </cell>
          <cell r="I504">
            <v>0</v>
          </cell>
          <cell r="J504">
            <v>2146.14</v>
          </cell>
          <cell r="K504">
            <v>0.03</v>
          </cell>
          <cell r="L504">
            <v>0</v>
          </cell>
          <cell r="M504">
            <v>0</v>
          </cell>
          <cell r="N504">
            <v>0</v>
          </cell>
          <cell r="O504">
            <v>12</v>
          </cell>
          <cell r="P504">
            <v>0.16</v>
          </cell>
          <cell r="Q504">
            <v>36</v>
          </cell>
          <cell r="R504">
            <v>26.7</v>
          </cell>
          <cell r="S504">
            <v>0</v>
          </cell>
          <cell r="T504">
            <v>0</v>
          </cell>
        </row>
        <row r="505">
          <cell r="A505">
            <v>3131</v>
          </cell>
          <cell r="B505">
            <v>5</v>
          </cell>
          <cell r="C505" t="str">
            <v>REQUEIJAO COPO SCALA CX/12X380GR</v>
          </cell>
          <cell r="D505">
            <v>8801.1299999999992</v>
          </cell>
          <cell r="E505">
            <v>0.21</v>
          </cell>
          <cell r="F505">
            <v>70</v>
          </cell>
          <cell r="G505">
            <v>0</v>
          </cell>
          <cell r="H505">
            <v>0</v>
          </cell>
          <cell r="I505">
            <v>0</v>
          </cell>
          <cell r="J505">
            <v>797.45</v>
          </cell>
          <cell r="K505">
            <v>0.01</v>
          </cell>
          <cell r="L505">
            <v>0</v>
          </cell>
          <cell r="M505">
            <v>0</v>
          </cell>
          <cell r="N505">
            <v>0</v>
          </cell>
          <cell r="O505">
            <v>5</v>
          </cell>
          <cell r="P505">
            <v>7.0000000000000007E-2</v>
          </cell>
          <cell r="Q505">
            <v>319.2</v>
          </cell>
          <cell r="R505">
            <v>22.8</v>
          </cell>
          <cell r="S505">
            <v>0</v>
          </cell>
          <cell r="T505">
            <v>0</v>
          </cell>
        </row>
        <row r="506">
          <cell r="A506">
            <v>3130</v>
          </cell>
          <cell r="B506">
            <v>11</v>
          </cell>
          <cell r="C506" t="str">
            <v>REQUEIJAO ZERO LACTOSE COPO SCALA CX/12X200GR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1242</v>
          </cell>
          <cell r="K506">
            <v>0.02</v>
          </cell>
          <cell r="L506">
            <v>0</v>
          </cell>
          <cell r="M506">
            <v>0</v>
          </cell>
          <cell r="N506">
            <v>0</v>
          </cell>
          <cell r="O506">
            <v>10</v>
          </cell>
          <cell r="P506">
            <v>0.13</v>
          </cell>
          <cell r="Q506">
            <v>0</v>
          </cell>
          <cell r="R506">
            <v>26.4</v>
          </cell>
          <cell r="S506">
            <v>0</v>
          </cell>
          <cell r="T506">
            <v>0</v>
          </cell>
        </row>
        <row r="507">
          <cell r="A507">
            <v>313</v>
          </cell>
          <cell r="B507">
            <v>61</v>
          </cell>
          <cell r="C507" t="str">
            <v>APRESUNTADO SEARA RETANGULAR 3,4KG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4469.6000000000004</v>
          </cell>
          <cell r="K507">
            <v>0.06</v>
          </cell>
          <cell r="L507">
            <v>0</v>
          </cell>
          <cell r="M507">
            <v>0</v>
          </cell>
          <cell r="N507">
            <v>0</v>
          </cell>
          <cell r="O507">
            <v>23</v>
          </cell>
          <cell r="P507">
            <v>0.31</v>
          </cell>
          <cell r="Q507">
            <v>0</v>
          </cell>
          <cell r="R507">
            <v>207.4</v>
          </cell>
          <cell r="S507">
            <v>0</v>
          </cell>
          <cell r="T507">
            <v>0</v>
          </cell>
        </row>
        <row r="508">
          <cell r="A508">
            <v>3129</v>
          </cell>
          <cell r="B508">
            <v>15</v>
          </cell>
          <cell r="C508" t="str">
            <v>REQUEIJAO LIGHT COPO SCALA CX/12X200GR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1350.49</v>
          </cell>
          <cell r="K508">
            <v>0.02</v>
          </cell>
          <cell r="L508">
            <v>0</v>
          </cell>
          <cell r="M508">
            <v>0</v>
          </cell>
          <cell r="N508">
            <v>0</v>
          </cell>
          <cell r="O508">
            <v>15</v>
          </cell>
          <cell r="P508">
            <v>0.2</v>
          </cell>
          <cell r="Q508">
            <v>0</v>
          </cell>
          <cell r="R508">
            <v>36</v>
          </cell>
          <cell r="S508">
            <v>0</v>
          </cell>
          <cell r="T508">
            <v>0</v>
          </cell>
        </row>
        <row r="509">
          <cell r="A509">
            <v>3128</v>
          </cell>
          <cell r="B509">
            <v>58</v>
          </cell>
          <cell r="C509" t="str">
            <v>REQUEIJAO COPO SCALA CX/12X200GR</v>
          </cell>
          <cell r="D509">
            <v>13637.64</v>
          </cell>
          <cell r="E509">
            <v>0.32</v>
          </cell>
          <cell r="F509">
            <v>200</v>
          </cell>
          <cell r="G509">
            <v>0</v>
          </cell>
          <cell r="H509">
            <v>0</v>
          </cell>
          <cell r="I509">
            <v>0</v>
          </cell>
          <cell r="J509">
            <v>5216.62</v>
          </cell>
          <cell r="K509">
            <v>7.0000000000000007E-2</v>
          </cell>
          <cell r="L509">
            <v>0</v>
          </cell>
          <cell r="M509">
            <v>0</v>
          </cell>
          <cell r="N509">
            <v>0</v>
          </cell>
          <cell r="O509">
            <v>54</v>
          </cell>
          <cell r="P509">
            <v>0.73</v>
          </cell>
          <cell r="Q509">
            <v>480</v>
          </cell>
          <cell r="R509">
            <v>139.19999999999999</v>
          </cell>
          <cell r="S509">
            <v>0</v>
          </cell>
          <cell r="T509">
            <v>0</v>
          </cell>
        </row>
        <row r="510">
          <cell r="A510">
            <v>3127</v>
          </cell>
          <cell r="B510">
            <v>55</v>
          </cell>
          <cell r="C510" t="str">
            <v>REQUEIJAO C.CHEESE BISNAGA SCALA 400GR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1105.5999999999999</v>
          </cell>
          <cell r="K510">
            <v>0.01</v>
          </cell>
          <cell r="L510">
            <v>99.95</v>
          </cell>
          <cell r="M510">
            <v>0.3</v>
          </cell>
          <cell r="N510">
            <v>5</v>
          </cell>
          <cell r="O510">
            <v>8</v>
          </cell>
          <cell r="P510">
            <v>0.11</v>
          </cell>
          <cell r="Q510">
            <v>0</v>
          </cell>
          <cell r="R510">
            <v>22</v>
          </cell>
          <cell r="S510">
            <v>0</v>
          </cell>
          <cell r="T510">
            <v>2</v>
          </cell>
        </row>
        <row r="511">
          <cell r="A511">
            <v>3126</v>
          </cell>
          <cell r="B511">
            <v>31</v>
          </cell>
          <cell r="C511" t="str">
            <v>REQUEIJAO C.CHEESE BISNAGA SCALA 1,2KG</v>
          </cell>
          <cell r="D511">
            <v>4639.01</v>
          </cell>
          <cell r="E511">
            <v>0.11</v>
          </cell>
          <cell r="F511">
            <v>120</v>
          </cell>
          <cell r="G511">
            <v>0</v>
          </cell>
          <cell r="H511">
            <v>0</v>
          </cell>
          <cell r="I511">
            <v>0</v>
          </cell>
          <cell r="J511">
            <v>1498.46</v>
          </cell>
          <cell r="K511">
            <v>0.02</v>
          </cell>
          <cell r="L511">
            <v>0</v>
          </cell>
          <cell r="M511">
            <v>0</v>
          </cell>
          <cell r="N511">
            <v>0</v>
          </cell>
          <cell r="O511">
            <v>9</v>
          </cell>
          <cell r="P511">
            <v>0.12</v>
          </cell>
          <cell r="Q511">
            <v>144</v>
          </cell>
          <cell r="R511">
            <v>37.200000000000003</v>
          </cell>
          <cell r="S511">
            <v>0</v>
          </cell>
          <cell r="T511">
            <v>0</v>
          </cell>
        </row>
        <row r="512">
          <cell r="A512">
            <v>3125</v>
          </cell>
          <cell r="B512">
            <v>61</v>
          </cell>
          <cell r="C512" t="str">
            <v>REQUEIJAO CHEDDAR BISNAGA SCALA 400GR</v>
          </cell>
          <cell r="D512">
            <v>1220.92</v>
          </cell>
          <cell r="E512">
            <v>0.03</v>
          </cell>
          <cell r="F512">
            <v>80</v>
          </cell>
          <cell r="G512">
            <v>0</v>
          </cell>
          <cell r="H512">
            <v>0</v>
          </cell>
          <cell r="I512">
            <v>0</v>
          </cell>
          <cell r="J512">
            <v>1225.95</v>
          </cell>
          <cell r="K512">
            <v>0.02</v>
          </cell>
          <cell r="L512">
            <v>0</v>
          </cell>
          <cell r="M512">
            <v>0</v>
          </cell>
          <cell r="N512">
            <v>0</v>
          </cell>
          <cell r="O512">
            <v>12</v>
          </cell>
          <cell r="P512">
            <v>0.16</v>
          </cell>
          <cell r="Q512">
            <v>32</v>
          </cell>
          <cell r="R512">
            <v>24.4</v>
          </cell>
          <cell r="S512">
            <v>0</v>
          </cell>
          <cell r="T512">
            <v>0</v>
          </cell>
        </row>
        <row r="513">
          <cell r="A513">
            <v>3124</v>
          </cell>
          <cell r="B513">
            <v>14</v>
          </cell>
          <cell r="C513" t="str">
            <v>REQUEIJAO CHEDDAR BISNAGA SCALA 1,5KG</v>
          </cell>
          <cell r="D513">
            <v>6403.76</v>
          </cell>
          <cell r="E513">
            <v>0.15</v>
          </cell>
          <cell r="F513">
            <v>120</v>
          </cell>
          <cell r="G513">
            <v>0</v>
          </cell>
          <cell r="H513">
            <v>0</v>
          </cell>
          <cell r="I513">
            <v>0</v>
          </cell>
          <cell r="J513">
            <v>912.51</v>
          </cell>
          <cell r="K513">
            <v>0.01</v>
          </cell>
          <cell r="L513">
            <v>0</v>
          </cell>
          <cell r="M513">
            <v>0</v>
          </cell>
          <cell r="N513">
            <v>0</v>
          </cell>
          <cell r="O513">
            <v>5</v>
          </cell>
          <cell r="P513">
            <v>7.0000000000000007E-2</v>
          </cell>
          <cell r="Q513">
            <v>180</v>
          </cell>
          <cell r="R513">
            <v>21</v>
          </cell>
          <cell r="S513">
            <v>0</v>
          </cell>
          <cell r="T513">
            <v>0</v>
          </cell>
        </row>
        <row r="514">
          <cell r="A514">
            <v>3123</v>
          </cell>
          <cell r="B514">
            <v>45</v>
          </cell>
          <cell r="C514" t="str">
            <v>REQUEIJAO BISNAGA SCALA 400GR</v>
          </cell>
          <cell r="D514">
            <v>2210.06</v>
          </cell>
          <cell r="E514">
            <v>0.05</v>
          </cell>
          <cell r="F514">
            <v>160</v>
          </cell>
          <cell r="G514">
            <v>0</v>
          </cell>
          <cell r="H514">
            <v>0</v>
          </cell>
          <cell r="I514">
            <v>0</v>
          </cell>
          <cell r="J514">
            <v>902.75</v>
          </cell>
          <cell r="K514">
            <v>0.01</v>
          </cell>
          <cell r="L514">
            <v>0</v>
          </cell>
          <cell r="M514">
            <v>0</v>
          </cell>
          <cell r="N514">
            <v>0</v>
          </cell>
          <cell r="O514">
            <v>10</v>
          </cell>
          <cell r="P514">
            <v>0.13</v>
          </cell>
          <cell r="Q514">
            <v>64</v>
          </cell>
          <cell r="R514">
            <v>18</v>
          </cell>
          <cell r="S514">
            <v>0</v>
          </cell>
          <cell r="T514">
            <v>0</v>
          </cell>
        </row>
        <row r="515">
          <cell r="A515">
            <v>3122</v>
          </cell>
          <cell r="B515">
            <v>179</v>
          </cell>
          <cell r="C515" t="str">
            <v>REQUEIJAO BISNAGA SCALA 1,5KG</v>
          </cell>
          <cell r="D515">
            <v>27915.38</v>
          </cell>
          <cell r="E515">
            <v>0.65</v>
          </cell>
          <cell r="F515">
            <v>600</v>
          </cell>
          <cell r="G515">
            <v>0</v>
          </cell>
          <cell r="H515">
            <v>0</v>
          </cell>
          <cell r="I515">
            <v>0</v>
          </cell>
          <cell r="J515">
            <v>10189.61</v>
          </cell>
          <cell r="K515">
            <v>0.13</v>
          </cell>
          <cell r="L515">
            <v>0</v>
          </cell>
          <cell r="M515">
            <v>0</v>
          </cell>
          <cell r="N515">
            <v>0</v>
          </cell>
          <cell r="O515">
            <v>40</v>
          </cell>
          <cell r="P515">
            <v>0.54</v>
          </cell>
          <cell r="Q515">
            <v>900</v>
          </cell>
          <cell r="R515">
            <v>268.5</v>
          </cell>
          <cell r="S515">
            <v>0</v>
          </cell>
          <cell r="T515">
            <v>0</v>
          </cell>
        </row>
        <row r="516">
          <cell r="A516">
            <v>3119</v>
          </cell>
          <cell r="B516">
            <v>19</v>
          </cell>
          <cell r="C516" t="str">
            <v>TOUCINHO SUINO PICADO  ADEEL CX/24X1KG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8723.52</v>
          </cell>
          <cell r="K516">
            <v>0.11</v>
          </cell>
          <cell r="L516">
            <v>0</v>
          </cell>
          <cell r="M516">
            <v>0</v>
          </cell>
          <cell r="N516">
            <v>0</v>
          </cell>
          <cell r="O516">
            <v>15</v>
          </cell>
          <cell r="P516">
            <v>0.2</v>
          </cell>
          <cell r="Q516">
            <v>0</v>
          </cell>
          <cell r="R516">
            <v>456</v>
          </cell>
          <cell r="S516">
            <v>0</v>
          </cell>
          <cell r="T516">
            <v>0</v>
          </cell>
        </row>
        <row r="517">
          <cell r="A517">
            <v>3118</v>
          </cell>
          <cell r="B517">
            <v>21.67</v>
          </cell>
          <cell r="C517" t="str">
            <v>TOUCINHO SUINO ADEEL KG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359.95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1</v>
          </cell>
          <cell r="P517">
            <v>0.01</v>
          </cell>
          <cell r="Q517">
            <v>0</v>
          </cell>
          <cell r="R517">
            <v>21.67</v>
          </cell>
          <cell r="S517">
            <v>0</v>
          </cell>
          <cell r="T517">
            <v>0</v>
          </cell>
        </row>
        <row r="518">
          <cell r="A518">
            <v>3117</v>
          </cell>
          <cell r="B518">
            <v>14</v>
          </cell>
          <cell r="C518" t="str">
            <v>MASSA PASTEL ROLO VILA ITALIA 24X500GR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2226.4</v>
          </cell>
          <cell r="K518">
            <v>0.03</v>
          </cell>
          <cell r="L518">
            <v>160.66999999999999</v>
          </cell>
          <cell r="M518">
            <v>0.49</v>
          </cell>
          <cell r="N518">
            <v>1</v>
          </cell>
          <cell r="O518">
            <v>11</v>
          </cell>
          <cell r="P518">
            <v>0.15</v>
          </cell>
          <cell r="Q518">
            <v>0</v>
          </cell>
          <cell r="R518">
            <v>168</v>
          </cell>
          <cell r="S518">
            <v>0</v>
          </cell>
          <cell r="T518">
            <v>12</v>
          </cell>
        </row>
        <row r="519">
          <cell r="A519">
            <v>3116</v>
          </cell>
          <cell r="B519">
            <v>316</v>
          </cell>
          <cell r="C519" t="str">
            <v>MASSA PASTEL MEDIA VILA ITALIA 24X500GR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50584.66</v>
          </cell>
          <cell r="K519">
            <v>0.66</v>
          </cell>
          <cell r="L519">
            <v>162.31</v>
          </cell>
          <cell r="M519">
            <v>0.49</v>
          </cell>
          <cell r="N519">
            <v>1</v>
          </cell>
          <cell r="O519">
            <v>232</v>
          </cell>
          <cell r="P519">
            <v>3.12</v>
          </cell>
          <cell r="Q519">
            <v>0</v>
          </cell>
          <cell r="R519">
            <v>3792</v>
          </cell>
          <cell r="S519">
            <v>0</v>
          </cell>
          <cell r="T519">
            <v>12</v>
          </cell>
        </row>
        <row r="520">
          <cell r="A520">
            <v>310</v>
          </cell>
          <cell r="B520">
            <v>1</v>
          </cell>
          <cell r="C520" t="str">
            <v>BACON TABLETE SEARA GOURMET CX\30X150GR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230.3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1</v>
          </cell>
          <cell r="P520">
            <v>0.01</v>
          </cell>
          <cell r="Q520">
            <v>0</v>
          </cell>
          <cell r="R520">
            <v>5</v>
          </cell>
          <cell r="S520">
            <v>0</v>
          </cell>
          <cell r="T520">
            <v>0</v>
          </cell>
        </row>
        <row r="521">
          <cell r="A521">
            <v>3099</v>
          </cell>
          <cell r="B521">
            <v>32</v>
          </cell>
          <cell r="C521" t="str">
            <v>STEAK NOBRE CX\30X100GR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1486.14</v>
          </cell>
          <cell r="K521">
            <v>0.02</v>
          </cell>
          <cell r="L521">
            <v>46.06</v>
          </cell>
          <cell r="M521">
            <v>0.14000000000000001</v>
          </cell>
          <cell r="N521">
            <v>1</v>
          </cell>
          <cell r="O521">
            <v>18</v>
          </cell>
          <cell r="P521">
            <v>0.24</v>
          </cell>
          <cell r="Q521">
            <v>0</v>
          </cell>
          <cell r="R521">
            <v>96</v>
          </cell>
          <cell r="S521">
            <v>0</v>
          </cell>
          <cell r="T521">
            <v>3</v>
          </cell>
        </row>
        <row r="522">
          <cell r="A522">
            <v>3098</v>
          </cell>
          <cell r="B522">
            <v>2</v>
          </cell>
          <cell r="C522" t="str">
            <v>LASANHA BOLONHESA AIRFRYER SEARA 12X300GR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203.84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2</v>
          </cell>
          <cell r="P522">
            <v>0.03</v>
          </cell>
          <cell r="Q522">
            <v>0</v>
          </cell>
          <cell r="R522">
            <v>7.2</v>
          </cell>
          <cell r="S522">
            <v>0</v>
          </cell>
          <cell r="T522">
            <v>0</v>
          </cell>
        </row>
        <row r="523">
          <cell r="A523">
            <v>3097</v>
          </cell>
          <cell r="B523">
            <v>3</v>
          </cell>
          <cell r="C523" t="str">
            <v>LASANHA FRANGO AIRFRYER SEARA CX/12X300GR</v>
          </cell>
          <cell r="D523">
            <v>832.32</v>
          </cell>
          <cell r="E523">
            <v>0.02</v>
          </cell>
          <cell r="F523">
            <v>10</v>
          </cell>
          <cell r="G523">
            <v>0</v>
          </cell>
          <cell r="H523">
            <v>0</v>
          </cell>
          <cell r="I523">
            <v>0</v>
          </cell>
          <cell r="J523">
            <v>405.72</v>
          </cell>
          <cell r="K523">
            <v>0.01</v>
          </cell>
          <cell r="L523">
            <v>0</v>
          </cell>
          <cell r="M523">
            <v>0</v>
          </cell>
          <cell r="N523">
            <v>0</v>
          </cell>
          <cell r="O523">
            <v>4</v>
          </cell>
          <cell r="P523">
            <v>0.05</v>
          </cell>
          <cell r="Q523">
            <v>36</v>
          </cell>
          <cell r="R523">
            <v>10.8</v>
          </cell>
          <cell r="S523">
            <v>0</v>
          </cell>
          <cell r="T523">
            <v>0</v>
          </cell>
        </row>
        <row r="524">
          <cell r="A524">
            <v>3096</v>
          </cell>
          <cell r="B524">
            <v>1</v>
          </cell>
          <cell r="C524" t="str">
            <v>LASANHA 4 QUEIJOS AIRFRYER SEARA 12X300GR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99.96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1</v>
          </cell>
          <cell r="P524">
            <v>0.01</v>
          </cell>
          <cell r="Q524">
            <v>0</v>
          </cell>
          <cell r="R524">
            <v>3.6</v>
          </cell>
          <cell r="S524">
            <v>0</v>
          </cell>
          <cell r="T524">
            <v>0</v>
          </cell>
        </row>
        <row r="525">
          <cell r="A525">
            <v>3088</v>
          </cell>
          <cell r="B525">
            <v>348</v>
          </cell>
          <cell r="C525" t="str">
            <v>LING TOSCANA GRAND MINAS CX/5X5KG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20959.54</v>
          </cell>
          <cell r="K525">
            <v>0.27</v>
          </cell>
          <cell r="L525">
            <v>0</v>
          </cell>
          <cell r="M525">
            <v>0</v>
          </cell>
          <cell r="N525">
            <v>0</v>
          </cell>
          <cell r="O525">
            <v>63</v>
          </cell>
          <cell r="P525">
            <v>0.85</v>
          </cell>
          <cell r="Q525">
            <v>0</v>
          </cell>
          <cell r="R525">
            <v>1740</v>
          </cell>
          <cell r="S525">
            <v>0</v>
          </cell>
          <cell r="T525">
            <v>0</v>
          </cell>
        </row>
        <row r="526">
          <cell r="A526">
            <v>3087</v>
          </cell>
          <cell r="B526">
            <v>506</v>
          </cell>
          <cell r="C526" t="str">
            <v>ASA FRANGO INTERFOLHADA SEARA CX\15KG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91310.45</v>
          </cell>
          <cell r="K526">
            <v>1.2</v>
          </cell>
          <cell r="L526">
            <v>0</v>
          </cell>
          <cell r="M526">
            <v>0</v>
          </cell>
          <cell r="N526">
            <v>0</v>
          </cell>
          <cell r="O526">
            <v>97</v>
          </cell>
          <cell r="P526">
            <v>1.31</v>
          </cell>
          <cell r="Q526">
            <v>0</v>
          </cell>
          <cell r="R526">
            <v>7590</v>
          </cell>
          <cell r="S526">
            <v>0</v>
          </cell>
          <cell r="T526">
            <v>0</v>
          </cell>
        </row>
        <row r="527">
          <cell r="A527">
            <v>3077</v>
          </cell>
          <cell r="B527">
            <v>27</v>
          </cell>
          <cell r="C527" t="str">
            <v>BACON CUBOS SEALI CX\20X1KG</v>
          </cell>
          <cell r="D527">
            <v>110892.3</v>
          </cell>
          <cell r="E527">
            <v>2.6</v>
          </cell>
          <cell r="F527">
            <v>300</v>
          </cell>
          <cell r="G527">
            <v>0</v>
          </cell>
          <cell r="H527">
            <v>0</v>
          </cell>
          <cell r="I527">
            <v>0</v>
          </cell>
          <cell r="J527">
            <v>12447.92</v>
          </cell>
          <cell r="K527">
            <v>0.16</v>
          </cell>
          <cell r="L527">
            <v>0</v>
          </cell>
          <cell r="M527">
            <v>0</v>
          </cell>
          <cell r="N527">
            <v>0</v>
          </cell>
          <cell r="O527">
            <v>21</v>
          </cell>
          <cell r="P527">
            <v>0.28000000000000003</v>
          </cell>
          <cell r="Q527">
            <v>6000</v>
          </cell>
          <cell r="R527">
            <v>540</v>
          </cell>
          <cell r="S527">
            <v>0</v>
          </cell>
          <cell r="T527">
            <v>0</v>
          </cell>
        </row>
        <row r="528">
          <cell r="A528">
            <v>3071</v>
          </cell>
          <cell r="B528">
            <v>1</v>
          </cell>
          <cell r="C528" t="str">
            <v>BOLINHO CARNE SUINA EMPAPANADO 16X270G</v>
          </cell>
          <cell r="D528">
            <v>1586.74</v>
          </cell>
          <cell r="E528">
            <v>0.04</v>
          </cell>
          <cell r="F528">
            <v>10</v>
          </cell>
          <cell r="G528">
            <v>0</v>
          </cell>
          <cell r="H528">
            <v>0</v>
          </cell>
          <cell r="I528">
            <v>0</v>
          </cell>
          <cell r="J528">
            <v>95.64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2</v>
          </cell>
          <cell r="P528">
            <v>0.03</v>
          </cell>
          <cell r="Q528">
            <v>43.2</v>
          </cell>
          <cell r="R528">
            <v>4.32</v>
          </cell>
          <cell r="S528">
            <v>0</v>
          </cell>
          <cell r="T528">
            <v>0</v>
          </cell>
        </row>
        <row r="529">
          <cell r="A529">
            <v>306</v>
          </cell>
          <cell r="B529">
            <v>6</v>
          </cell>
          <cell r="C529" t="str">
            <v>BROCOLIS FLORETENATURE SEARA CX/16X300G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580.16</v>
          </cell>
          <cell r="K529">
            <v>0.01</v>
          </cell>
          <cell r="L529">
            <v>0</v>
          </cell>
          <cell r="M529">
            <v>0</v>
          </cell>
          <cell r="N529">
            <v>0</v>
          </cell>
          <cell r="O529">
            <v>5</v>
          </cell>
          <cell r="P529">
            <v>7.0000000000000007E-2</v>
          </cell>
          <cell r="Q529">
            <v>0</v>
          </cell>
          <cell r="R529">
            <v>28.8</v>
          </cell>
          <cell r="S529">
            <v>0</v>
          </cell>
          <cell r="T529">
            <v>0</v>
          </cell>
        </row>
        <row r="530">
          <cell r="A530">
            <v>3054</v>
          </cell>
          <cell r="B530">
            <v>99</v>
          </cell>
          <cell r="C530" t="str">
            <v>CREME CULINARIO DAMARE 27X200G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4534.7700000000004</v>
          </cell>
          <cell r="K530">
            <v>0.06</v>
          </cell>
          <cell r="L530">
            <v>0</v>
          </cell>
          <cell r="M530">
            <v>0</v>
          </cell>
          <cell r="N530">
            <v>0</v>
          </cell>
          <cell r="O530">
            <v>29</v>
          </cell>
          <cell r="P530">
            <v>0.39</v>
          </cell>
          <cell r="Q530">
            <v>0</v>
          </cell>
          <cell r="R530">
            <v>534.6</v>
          </cell>
          <cell r="S530">
            <v>0</v>
          </cell>
          <cell r="T530">
            <v>0</v>
          </cell>
        </row>
        <row r="531">
          <cell r="A531">
            <v>3053</v>
          </cell>
          <cell r="B531">
            <v>91</v>
          </cell>
          <cell r="C531" t="str">
            <v>CREME DE LEITE LEVE DAMARE 27X200G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5780.35</v>
          </cell>
          <cell r="K531">
            <v>0.08</v>
          </cell>
          <cell r="L531">
            <v>0</v>
          </cell>
          <cell r="M531">
            <v>0</v>
          </cell>
          <cell r="N531">
            <v>0</v>
          </cell>
          <cell r="O531">
            <v>31</v>
          </cell>
          <cell r="P531">
            <v>0.42</v>
          </cell>
          <cell r="Q531">
            <v>0</v>
          </cell>
          <cell r="R531">
            <v>491.4</v>
          </cell>
          <cell r="S531">
            <v>0</v>
          </cell>
          <cell r="T531">
            <v>0</v>
          </cell>
        </row>
        <row r="532">
          <cell r="A532">
            <v>3031</v>
          </cell>
          <cell r="B532">
            <v>34</v>
          </cell>
          <cell r="C532" t="str">
            <v>PAO DE QUEIJO LANCHE 80GR FORNERIA CX\4X2KG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4770.5600000000004</v>
          </cell>
          <cell r="K532">
            <v>0.06</v>
          </cell>
          <cell r="L532">
            <v>0</v>
          </cell>
          <cell r="M532">
            <v>0</v>
          </cell>
          <cell r="N532">
            <v>0</v>
          </cell>
          <cell r="O532">
            <v>14</v>
          </cell>
          <cell r="P532">
            <v>0.19</v>
          </cell>
          <cell r="Q532">
            <v>0</v>
          </cell>
          <cell r="R532">
            <v>272</v>
          </cell>
          <cell r="S532">
            <v>0</v>
          </cell>
          <cell r="T532">
            <v>0</v>
          </cell>
        </row>
        <row r="533">
          <cell r="A533">
            <v>3030</v>
          </cell>
          <cell r="B533">
            <v>82</v>
          </cell>
          <cell r="C533" t="str">
            <v>PAO DE QUEIJO TRADICIONAL FORNERIA CX\8X1KG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11508.16</v>
          </cell>
          <cell r="K533">
            <v>0.15</v>
          </cell>
          <cell r="L533">
            <v>0</v>
          </cell>
          <cell r="M533">
            <v>0</v>
          </cell>
          <cell r="N533">
            <v>0</v>
          </cell>
          <cell r="O533">
            <v>51</v>
          </cell>
          <cell r="P533">
            <v>0.69</v>
          </cell>
          <cell r="Q533">
            <v>0</v>
          </cell>
          <cell r="R533">
            <v>656</v>
          </cell>
          <cell r="S533">
            <v>0</v>
          </cell>
          <cell r="T533">
            <v>0</v>
          </cell>
        </row>
        <row r="534">
          <cell r="A534">
            <v>303</v>
          </cell>
          <cell r="B534">
            <v>8</v>
          </cell>
          <cell r="C534" t="str">
            <v>CHICKEN SUPREME SEARA CX\2X2,5KG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1006.08</v>
          </cell>
          <cell r="K534">
            <v>0.01</v>
          </cell>
          <cell r="L534">
            <v>0</v>
          </cell>
          <cell r="M534">
            <v>0</v>
          </cell>
          <cell r="N534">
            <v>0</v>
          </cell>
          <cell r="O534">
            <v>4</v>
          </cell>
          <cell r="P534">
            <v>0.05</v>
          </cell>
          <cell r="Q534">
            <v>0</v>
          </cell>
          <cell r="R534">
            <v>40</v>
          </cell>
          <cell r="S534">
            <v>0</v>
          </cell>
          <cell r="T534">
            <v>0</v>
          </cell>
        </row>
        <row r="535">
          <cell r="A535">
            <v>3029</v>
          </cell>
          <cell r="B535">
            <v>57</v>
          </cell>
          <cell r="C535" t="str">
            <v>PAO DE QUEIJO TRADICIONAL FORNERIA CX\20X400GR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7998.04</v>
          </cell>
          <cell r="K535">
            <v>0.1</v>
          </cell>
          <cell r="L535">
            <v>0</v>
          </cell>
          <cell r="M535">
            <v>0</v>
          </cell>
          <cell r="N535">
            <v>0</v>
          </cell>
          <cell r="O535">
            <v>51</v>
          </cell>
          <cell r="P535">
            <v>0.69</v>
          </cell>
          <cell r="Q535">
            <v>0</v>
          </cell>
          <cell r="R535">
            <v>456</v>
          </cell>
          <cell r="S535">
            <v>0</v>
          </cell>
          <cell r="T535">
            <v>0</v>
          </cell>
        </row>
        <row r="536">
          <cell r="A536">
            <v>3020</v>
          </cell>
          <cell r="B536">
            <v>1</v>
          </cell>
          <cell r="C536" t="str">
            <v>HAMBURGUER GRAN ANGUS BURGER’S GOURMET SEARA 12X400GR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261.66000000000003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1</v>
          </cell>
          <cell r="P536">
            <v>0.01</v>
          </cell>
          <cell r="Q536">
            <v>0</v>
          </cell>
          <cell r="R536">
            <v>4.8</v>
          </cell>
          <cell r="S536">
            <v>0</v>
          </cell>
          <cell r="T536">
            <v>0</v>
          </cell>
        </row>
        <row r="537">
          <cell r="A537">
            <v>300</v>
          </cell>
          <cell r="B537">
            <v>5</v>
          </cell>
          <cell r="C537" t="str">
            <v>COXINHA EMPANADA SEARA CX/12X400GR</v>
          </cell>
          <cell r="D537">
            <v>4367.5200000000004</v>
          </cell>
          <cell r="E537">
            <v>0.1</v>
          </cell>
          <cell r="F537">
            <v>30</v>
          </cell>
          <cell r="G537">
            <v>145.58000000000001</v>
          </cell>
          <cell r="H537">
            <v>0.89</v>
          </cell>
          <cell r="I537">
            <v>1</v>
          </cell>
          <cell r="J537">
            <v>864.83</v>
          </cell>
          <cell r="K537">
            <v>0.01</v>
          </cell>
          <cell r="L537">
            <v>0</v>
          </cell>
          <cell r="M537">
            <v>0</v>
          </cell>
          <cell r="N537">
            <v>0</v>
          </cell>
          <cell r="O537">
            <v>6</v>
          </cell>
          <cell r="P537">
            <v>0.08</v>
          </cell>
          <cell r="Q537">
            <v>144</v>
          </cell>
          <cell r="R537">
            <v>24</v>
          </cell>
          <cell r="S537">
            <v>4.8</v>
          </cell>
          <cell r="T537">
            <v>0</v>
          </cell>
        </row>
        <row r="538">
          <cell r="A538">
            <v>296</v>
          </cell>
          <cell r="B538">
            <v>1</v>
          </cell>
          <cell r="C538" t="str">
            <v>FILE FRANGO MILANESA SEARA CX/12X400GR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182.87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1</v>
          </cell>
          <cell r="P538">
            <v>0.01</v>
          </cell>
          <cell r="Q538">
            <v>0</v>
          </cell>
          <cell r="R538">
            <v>4.8</v>
          </cell>
          <cell r="S538">
            <v>0</v>
          </cell>
          <cell r="T538">
            <v>0</v>
          </cell>
        </row>
        <row r="539">
          <cell r="A539">
            <v>2946</v>
          </cell>
          <cell r="B539">
            <v>1</v>
          </cell>
          <cell r="C539" t="str">
            <v>MARGARINA DELICIA CHEF ERVAS CX\12X500GR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95.84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1</v>
          </cell>
          <cell r="P539">
            <v>0.01</v>
          </cell>
          <cell r="Q539">
            <v>0</v>
          </cell>
          <cell r="R539">
            <v>6</v>
          </cell>
          <cell r="S539">
            <v>0</v>
          </cell>
          <cell r="T539">
            <v>0</v>
          </cell>
        </row>
        <row r="540">
          <cell r="A540">
            <v>2944</v>
          </cell>
          <cell r="B540">
            <v>6</v>
          </cell>
          <cell r="C540" t="str">
            <v>DOCE DE LEITE BALDE CRISTAULAT 4,6KG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617.4</v>
          </cell>
          <cell r="K540">
            <v>0.01</v>
          </cell>
          <cell r="L540">
            <v>0</v>
          </cell>
          <cell r="M540">
            <v>0</v>
          </cell>
          <cell r="N540">
            <v>0</v>
          </cell>
          <cell r="O540">
            <v>4</v>
          </cell>
          <cell r="P540">
            <v>0.05</v>
          </cell>
          <cell r="Q540">
            <v>0</v>
          </cell>
          <cell r="R540">
            <v>27.6</v>
          </cell>
          <cell r="S540">
            <v>0</v>
          </cell>
          <cell r="T540">
            <v>0</v>
          </cell>
        </row>
        <row r="541">
          <cell r="A541">
            <v>293</v>
          </cell>
          <cell r="B541">
            <v>31</v>
          </cell>
          <cell r="C541" t="str">
            <v>HOT HIT PICANHA SEARA CX\18X145G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3108.96</v>
          </cell>
          <cell r="K541">
            <v>0.04</v>
          </cell>
          <cell r="L541">
            <v>0</v>
          </cell>
          <cell r="M541">
            <v>0</v>
          </cell>
          <cell r="N541">
            <v>0</v>
          </cell>
          <cell r="O541">
            <v>27</v>
          </cell>
          <cell r="P541">
            <v>0.36</v>
          </cell>
          <cell r="Q541">
            <v>0</v>
          </cell>
          <cell r="R541">
            <v>80.91</v>
          </cell>
          <cell r="S541">
            <v>0</v>
          </cell>
          <cell r="T541">
            <v>0</v>
          </cell>
        </row>
        <row r="542">
          <cell r="A542">
            <v>2920</v>
          </cell>
          <cell r="B542">
            <v>49</v>
          </cell>
          <cell r="C542" t="str">
            <v>MILHO VERDE LT PREDILECTA CX\24X170KG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3174.98</v>
          </cell>
          <cell r="K542">
            <v>0.04</v>
          </cell>
          <cell r="L542">
            <v>0</v>
          </cell>
          <cell r="M542">
            <v>0</v>
          </cell>
          <cell r="N542">
            <v>0</v>
          </cell>
          <cell r="O542">
            <v>27</v>
          </cell>
          <cell r="P542">
            <v>0.36</v>
          </cell>
          <cell r="Q542">
            <v>0</v>
          </cell>
          <cell r="R542">
            <v>343</v>
          </cell>
          <cell r="S542">
            <v>0</v>
          </cell>
          <cell r="T542">
            <v>0</v>
          </cell>
        </row>
        <row r="543">
          <cell r="A543">
            <v>2919</v>
          </cell>
          <cell r="B543">
            <v>12</v>
          </cell>
          <cell r="C543" t="str">
            <v>KETCHUP PREDILECTA CX\24X200GR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1157.92</v>
          </cell>
          <cell r="K543">
            <v>0.02</v>
          </cell>
          <cell r="L543">
            <v>0</v>
          </cell>
          <cell r="M543">
            <v>0</v>
          </cell>
          <cell r="N543">
            <v>0</v>
          </cell>
          <cell r="O543">
            <v>12</v>
          </cell>
          <cell r="P543">
            <v>0.16</v>
          </cell>
          <cell r="Q543">
            <v>0</v>
          </cell>
          <cell r="R543">
            <v>57.6</v>
          </cell>
          <cell r="S543">
            <v>0</v>
          </cell>
          <cell r="T543">
            <v>0</v>
          </cell>
        </row>
        <row r="544">
          <cell r="A544">
            <v>291</v>
          </cell>
          <cell r="B544">
            <v>13</v>
          </cell>
          <cell r="C544" t="str">
            <v>ISCAS FRANGO EMPANADA SEARA CX/16X300G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2290.77</v>
          </cell>
          <cell r="K544">
            <v>0.03</v>
          </cell>
          <cell r="L544">
            <v>0</v>
          </cell>
          <cell r="M544">
            <v>0</v>
          </cell>
          <cell r="N544">
            <v>0</v>
          </cell>
          <cell r="O544">
            <v>12</v>
          </cell>
          <cell r="P544">
            <v>0.16</v>
          </cell>
          <cell r="Q544">
            <v>0</v>
          </cell>
          <cell r="R544">
            <v>62.4</v>
          </cell>
          <cell r="S544">
            <v>0</v>
          </cell>
          <cell r="T544">
            <v>0</v>
          </cell>
        </row>
        <row r="545">
          <cell r="A545">
            <v>290</v>
          </cell>
          <cell r="B545">
            <v>1</v>
          </cell>
          <cell r="C545" t="str">
            <v>KIBE SEARA CX/12X500GR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222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1</v>
          </cell>
          <cell r="P545">
            <v>0.01</v>
          </cell>
          <cell r="Q545">
            <v>0</v>
          </cell>
          <cell r="R545">
            <v>6</v>
          </cell>
          <cell r="S545">
            <v>0</v>
          </cell>
          <cell r="T545">
            <v>0</v>
          </cell>
        </row>
        <row r="546">
          <cell r="A546">
            <v>2892</v>
          </cell>
          <cell r="B546">
            <v>10</v>
          </cell>
          <cell r="C546" t="str">
            <v>SOBRECOXA PCT PIF PAF CX.20KG</v>
          </cell>
          <cell r="D546">
            <v>4703.88</v>
          </cell>
          <cell r="E546">
            <v>0.11</v>
          </cell>
          <cell r="F546">
            <v>25</v>
          </cell>
          <cell r="G546">
            <v>0</v>
          </cell>
          <cell r="H546">
            <v>0</v>
          </cell>
          <cell r="I546">
            <v>0</v>
          </cell>
          <cell r="J546">
            <v>2198.6</v>
          </cell>
          <cell r="K546">
            <v>0.03</v>
          </cell>
          <cell r="L546">
            <v>0</v>
          </cell>
          <cell r="M546">
            <v>0</v>
          </cell>
          <cell r="N546">
            <v>0</v>
          </cell>
          <cell r="O546">
            <v>9</v>
          </cell>
          <cell r="P546">
            <v>0.12</v>
          </cell>
          <cell r="Q546">
            <v>500</v>
          </cell>
          <cell r="R546">
            <v>200</v>
          </cell>
          <cell r="S546">
            <v>0</v>
          </cell>
          <cell r="T546">
            <v>0</v>
          </cell>
        </row>
        <row r="547">
          <cell r="A547">
            <v>289</v>
          </cell>
          <cell r="B547">
            <v>2</v>
          </cell>
          <cell r="C547" t="str">
            <v>LASANHA PRESUNTO/QUEIJO SEARA CX\10X600G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238.76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2</v>
          </cell>
          <cell r="P547">
            <v>0.03</v>
          </cell>
          <cell r="Q547">
            <v>0</v>
          </cell>
          <cell r="R547">
            <v>12</v>
          </cell>
          <cell r="S547">
            <v>0</v>
          </cell>
          <cell r="T547">
            <v>0</v>
          </cell>
        </row>
        <row r="548">
          <cell r="A548">
            <v>288</v>
          </cell>
          <cell r="B548">
            <v>0</v>
          </cell>
          <cell r="C548" t="str">
            <v>LEVISSIMO SEARA FATIADO CX/22X180GR</v>
          </cell>
          <cell r="D548">
            <v>151.75</v>
          </cell>
          <cell r="E548">
            <v>0</v>
          </cell>
          <cell r="F548">
            <v>1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1</v>
          </cell>
          <cell r="P548">
            <v>0.01</v>
          </cell>
          <cell r="Q548">
            <v>3.96</v>
          </cell>
          <cell r="R548">
            <v>0</v>
          </cell>
          <cell r="S548">
            <v>0</v>
          </cell>
          <cell r="T548">
            <v>0</v>
          </cell>
        </row>
        <row r="549">
          <cell r="A549">
            <v>2870</v>
          </cell>
          <cell r="B549">
            <v>21</v>
          </cell>
          <cell r="C549" t="str">
            <v>MARGARINA DELICIA S/SAL CX\12X500GR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1654.48</v>
          </cell>
          <cell r="K549">
            <v>0.02</v>
          </cell>
          <cell r="L549">
            <v>0</v>
          </cell>
          <cell r="M549">
            <v>0</v>
          </cell>
          <cell r="N549">
            <v>0</v>
          </cell>
          <cell r="O549">
            <v>10</v>
          </cell>
          <cell r="P549">
            <v>0.13</v>
          </cell>
          <cell r="Q549">
            <v>0</v>
          </cell>
          <cell r="R549">
            <v>126</v>
          </cell>
          <cell r="S549">
            <v>0</v>
          </cell>
          <cell r="T549">
            <v>0</v>
          </cell>
        </row>
        <row r="550">
          <cell r="A550">
            <v>2869</v>
          </cell>
          <cell r="B550">
            <v>1</v>
          </cell>
          <cell r="C550" t="str">
            <v>MARGARINA DELICIA SUPREMO CX12X500GR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95.84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1</v>
          </cell>
          <cell r="P550">
            <v>0.01</v>
          </cell>
          <cell r="Q550">
            <v>0</v>
          </cell>
          <cell r="R550">
            <v>6</v>
          </cell>
          <cell r="S550">
            <v>0</v>
          </cell>
          <cell r="T550">
            <v>0</v>
          </cell>
        </row>
        <row r="551">
          <cell r="A551">
            <v>286</v>
          </cell>
          <cell r="B551">
            <v>684</v>
          </cell>
          <cell r="C551" t="str">
            <v>LING SUINA SEARA CX\4X5KG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48305.91</v>
          </cell>
          <cell r="K551">
            <v>0.63</v>
          </cell>
          <cell r="L551">
            <v>0</v>
          </cell>
          <cell r="M551">
            <v>0</v>
          </cell>
          <cell r="N551">
            <v>0</v>
          </cell>
          <cell r="O551">
            <v>175</v>
          </cell>
          <cell r="P551">
            <v>2.36</v>
          </cell>
          <cell r="Q551">
            <v>0</v>
          </cell>
          <cell r="R551">
            <v>3420</v>
          </cell>
          <cell r="S551">
            <v>0</v>
          </cell>
          <cell r="T551">
            <v>0</v>
          </cell>
        </row>
        <row r="552">
          <cell r="A552">
            <v>285</v>
          </cell>
          <cell r="B552">
            <v>4</v>
          </cell>
          <cell r="C552" t="str">
            <v>LING T.PAIO SEARA CX/24X370GR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968.84</v>
          </cell>
          <cell r="K552">
            <v>0.01</v>
          </cell>
          <cell r="L552">
            <v>0</v>
          </cell>
          <cell r="M552">
            <v>0</v>
          </cell>
          <cell r="N552">
            <v>0</v>
          </cell>
          <cell r="O552">
            <v>4</v>
          </cell>
          <cell r="P552">
            <v>0.05</v>
          </cell>
          <cell r="Q552">
            <v>0</v>
          </cell>
          <cell r="R552">
            <v>35.520000000000003</v>
          </cell>
          <cell r="S552">
            <v>0</v>
          </cell>
          <cell r="T552">
            <v>0</v>
          </cell>
        </row>
        <row r="553">
          <cell r="A553">
            <v>282</v>
          </cell>
          <cell r="B553">
            <v>1</v>
          </cell>
          <cell r="C553" t="str">
            <v>MAC &amp; CHEESE TRADICIONAL SEARA CX/12X300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107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1</v>
          </cell>
          <cell r="P553">
            <v>0.01</v>
          </cell>
          <cell r="Q553">
            <v>0</v>
          </cell>
          <cell r="R553">
            <v>3.6</v>
          </cell>
          <cell r="S553">
            <v>0</v>
          </cell>
          <cell r="T553">
            <v>0</v>
          </cell>
        </row>
        <row r="554">
          <cell r="A554">
            <v>280</v>
          </cell>
          <cell r="B554">
            <v>14</v>
          </cell>
          <cell r="C554" t="str">
            <v>MORTADELA BOLONHA SEARA CX/2X5KG COD 964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723.99</v>
          </cell>
          <cell r="K554">
            <v>0.01</v>
          </cell>
          <cell r="L554">
            <v>170.52</v>
          </cell>
          <cell r="M554">
            <v>0.52</v>
          </cell>
          <cell r="N554">
            <v>3</v>
          </cell>
          <cell r="O554">
            <v>11</v>
          </cell>
          <cell r="P554">
            <v>0.15</v>
          </cell>
          <cell r="Q554">
            <v>0</v>
          </cell>
          <cell r="R554">
            <v>70</v>
          </cell>
          <cell r="S554">
            <v>0</v>
          </cell>
          <cell r="T554">
            <v>15</v>
          </cell>
        </row>
        <row r="555">
          <cell r="A555">
            <v>279</v>
          </cell>
          <cell r="B555">
            <v>5</v>
          </cell>
          <cell r="C555" t="str">
            <v>MORTADELA FATIADA TRADICIONAL SEARA CX/22X180GR</v>
          </cell>
          <cell r="D555">
            <v>412.83</v>
          </cell>
          <cell r="E555">
            <v>0.01</v>
          </cell>
          <cell r="F555">
            <v>5</v>
          </cell>
          <cell r="G555">
            <v>0</v>
          </cell>
          <cell r="H555">
            <v>0</v>
          </cell>
          <cell r="I555">
            <v>0</v>
          </cell>
          <cell r="J555">
            <v>499.8</v>
          </cell>
          <cell r="K555">
            <v>0.01</v>
          </cell>
          <cell r="L555">
            <v>0</v>
          </cell>
          <cell r="M555">
            <v>0</v>
          </cell>
          <cell r="N555">
            <v>0</v>
          </cell>
          <cell r="O555">
            <v>5</v>
          </cell>
          <cell r="P555">
            <v>7.0000000000000007E-2</v>
          </cell>
          <cell r="Q555">
            <v>19.8</v>
          </cell>
          <cell r="R555">
            <v>19.8</v>
          </cell>
          <cell r="S555">
            <v>0</v>
          </cell>
          <cell r="T555">
            <v>0</v>
          </cell>
        </row>
        <row r="556">
          <cell r="A556">
            <v>2784</v>
          </cell>
          <cell r="B556">
            <v>17</v>
          </cell>
          <cell r="C556" t="str">
            <v>COCO ADOÇADO DUCOCO 1KG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500.4</v>
          </cell>
          <cell r="K556">
            <v>0.01</v>
          </cell>
          <cell r="L556">
            <v>0</v>
          </cell>
          <cell r="M556">
            <v>0</v>
          </cell>
          <cell r="N556">
            <v>0</v>
          </cell>
          <cell r="O556">
            <v>4</v>
          </cell>
          <cell r="P556">
            <v>0.05</v>
          </cell>
          <cell r="Q556">
            <v>0</v>
          </cell>
          <cell r="R556">
            <v>17</v>
          </cell>
          <cell r="S556">
            <v>0</v>
          </cell>
          <cell r="T556">
            <v>0</v>
          </cell>
        </row>
        <row r="557">
          <cell r="A557">
            <v>2783</v>
          </cell>
          <cell r="B557">
            <v>11</v>
          </cell>
          <cell r="C557" t="str">
            <v>COCO FLOCOS DUCOCO 1KG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423.54</v>
          </cell>
          <cell r="K557">
            <v>0.01</v>
          </cell>
          <cell r="L557">
            <v>0</v>
          </cell>
          <cell r="M557">
            <v>0</v>
          </cell>
          <cell r="N557">
            <v>0</v>
          </cell>
          <cell r="O557">
            <v>7</v>
          </cell>
          <cell r="P557">
            <v>0.09</v>
          </cell>
          <cell r="Q557">
            <v>0</v>
          </cell>
          <cell r="R557">
            <v>11</v>
          </cell>
          <cell r="S557">
            <v>0</v>
          </cell>
          <cell r="T557">
            <v>0</v>
          </cell>
        </row>
        <row r="558">
          <cell r="A558">
            <v>278</v>
          </cell>
          <cell r="B558">
            <v>14</v>
          </cell>
          <cell r="C558" t="str">
            <v>MORTADELA FRANGO SEARA 12X400GR 9164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952.2</v>
          </cell>
          <cell r="K558">
            <v>0.01</v>
          </cell>
          <cell r="L558">
            <v>0</v>
          </cell>
          <cell r="M558">
            <v>0</v>
          </cell>
          <cell r="N558">
            <v>0</v>
          </cell>
          <cell r="O558">
            <v>13</v>
          </cell>
          <cell r="P558">
            <v>0.18</v>
          </cell>
          <cell r="Q558">
            <v>0</v>
          </cell>
          <cell r="R558">
            <v>67.2</v>
          </cell>
          <cell r="S558">
            <v>0</v>
          </cell>
          <cell r="T558">
            <v>0</v>
          </cell>
        </row>
        <row r="559">
          <cell r="A559">
            <v>272</v>
          </cell>
          <cell r="B559">
            <v>4</v>
          </cell>
          <cell r="C559" t="str">
            <v>PEITO FRANGO DEFUMADO SEARA 2,571KG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282.51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3</v>
          </cell>
          <cell r="P559">
            <v>0.04</v>
          </cell>
          <cell r="Q559">
            <v>0</v>
          </cell>
          <cell r="R559">
            <v>10.4</v>
          </cell>
          <cell r="S559">
            <v>0</v>
          </cell>
          <cell r="T559">
            <v>0</v>
          </cell>
        </row>
        <row r="560">
          <cell r="A560">
            <v>271</v>
          </cell>
          <cell r="B560">
            <v>1</v>
          </cell>
          <cell r="C560" t="str">
            <v>PEITO PERU FATIADO SEARA CX/24X150GR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299.77999999999997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1</v>
          </cell>
          <cell r="P560">
            <v>0.01</v>
          </cell>
          <cell r="Q560">
            <v>0</v>
          </cell>
          <cell r="R560">
            <v>3.6</v>
          </cell>
          <cell r="S560">
            <v>0</v>
          </cell>
          <cell r="T560">
            <v>0</v>
          </cell>
        </row>
        <row r="561">
          <cell r="A561">
            <v>27</v>
          </cell>
          <cell r="B561">
            <v>2</v>
          </cell>
          <cell r="C561" t="str">
            <v>PE DE FRANGO PCT FRANCAP CX\18KG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352.8</v>
          </cell>
          <cell r="K561">
            <v>0</v>
          </cell>
          <cell r="L561">
            <v>176.4</v>
          </cell>
          <cell r="M561">
            <v>0.54</v>
          </cell>
          <cell r="N561">
            <v>1</v>
          </cell>
          <cell r="O561">
            <v>2</v>
          </cell>
          <cell r="P561">
            <v>0.03</v>
          </cell>
          <cell r="Q561">
            <v>0</v>
          </cell>
          <cell r="R561">
            <v>36</v>
          </cell>
          <cell r="S561">
            <v>0</v>
          </cell>
          <cell r="T561">
            <v>18</v>
          </cell>
        </row>
        <row r="562">
          <cell r="A562">
            <v>266</v>
          </cell>
          <cell r="B562">
            <v>3</v>
          </cell>
          <cell r="C562" t="str">
            <v>PIZZA PORTUGUESA SEARA CX12X460GR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428.4</v>
          </cell>
          <cell r="K562">
            <v>0.01</v>
          </cell>
          <cell r="L562">
            <v>0</v>
          </cell>
          <cell r="M562">
            <v>0</v>
          </cell>
          <cell r="N562">
            <v>0</v>
          </cell>
          <cell r="O562">
            <v>3</v>
          </cell>
          <cell r="P562">
            <v>0.04</v>
          </cell>
          <cell r="Q562">
            <v>0</v>
          </cell>
          <cell r="R562">
            <v>16.559999999999999</v>
          </cell>
          <cell r="S562">
            <v>0</v>
          </cell>
          <cell r="T562">
            <v>0</v>
          </cell>
        </row>
        <row r="563">
          <cell r="A563">
            <v>264</v>
          </cell>
          <cell r="B563">
            <v>6</v>
          </cell>
          <cell r="C563" t="str">
            <v>PRESUNTO SEARA FATIADO CX/12X350GR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882</v>
          </cell>
          <cell r="K563">
            <v>0.01</v>
          </cell>
          <cell r="L563">
            <v>0</v>
          </cell>
          <cell r="M563">
            <v>0</v>
          </cell>
          <cell r="N563">
            <v>0</v>
          </cell>
          <cell r="O563">
            <v>6</v>
          </cell>
          <cell r="P563">
            <v>0.08</v>
          </cell>
          <cell r="Q563">
            <v>0</v>
          </cell>
          <cell r="R563">
            <v>25.2</v>
          </cell>
          <cell r="S563">
            <v>0</v>
          </cell>
          <cell r="T563">
            <v>0</v>
          </cell>
        </row>
        <row r="564">
          <cell r="A564">
            <v>2635</v>
          </cell>
          <cell r="B564">
            <v>2</v>
          </cell>
          <cell r="C564" t="str">
            <v>PIPOQUINHA FRANGO NETFLIX SEARA CX\16X275G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361.22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2</v>
          </cell>
          <cell r="P564">
            <v>0.03</v>
          </cell>
          <cell r="Q564">
            <v>0</v>
          </cell>
          <cell r="R564">
            <v>8.4</v>
          </cell>
          <cell r="S564">
            <v>0</v>
          </cell>
          <cell r="T564">
            <v>0</v>
          </cell>
        </row>
        <row r="565">
          <cell r="A565">
            <v>2634</v>
          </cell>
          <cell r="B565">
            <v>1</v>
          </cell>
          <cell r="C565" t="str">
            <v>PAO DE QUEIJO REZENDE CX/12X900GR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138.18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1</v>
          </cell>
          <cell r="P565">
            <v>0.01</v>
          </cell>
          <cell r="Q565">
            <v>0</v>
          </cell>
          <cell r="R565">
            <v>10.8</v>
          </cell>
          <cell r="S565">
            <v>0</v>
          </cell>
          <cell r="T565">
            <v>0</v>
          </cell>
        </row>
        <row r="566">
          <cell r="A566">
            <v>2633</v>
          </cell>
          <cell r="B566">
            <v>3</v>
          </cell>
          <cell r="C566" t="str">
            <v>PAO DE QUEIJO REZENDE CX/32X300GR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467.46</v>
          </cell>
          <cell r="K566">
            <v>0.01</v>
          </cell>
          <cell r="L566">
            <v>0</v>
          </cell>
          <cell r="M566">
            <v>0</v>
          </cell>
          <cell r="N566">
            <v>0</v>
          </cell>
          <cell r="O566">
            <v>3</v>
          </cell>
          <cell r="P566">
            <v>0.04</v>
          </cell>
          <cell r="Q566">
            <v>0</v>
          </cell>
          <cell r="R566">
            <v>28.8</v>
          </cell>
          <cell r="S566">
            <v>0</v>
          </cell>
          <cell r="T566">
            <v>0</v>
          </cell>
        </row>
        <row r="567">
          <cell r="A567">
            <v>263</v>
          </cell>
          <cell r="B567">
            <v>304</v>
          </cell>
          <cell r="C567" t="str">
            <v>PRESUNTO SEARA OVAL 3,4KG</v>
          </cell>
          <cell r="D567">
            <v>18071.62</v>
          </cell>
          <cell r="E567">
            <v>0.42</v>
          </cell>
          <cell r="F567">
            <v>296</v>
          </cell>
          <cell r="G567">
            <v>0</v>
          </cell>
          <cell r="H567">
            <v>0</v>
          </cell>
          <cell r="I567">
            <v>0</v>
          </cell>
          <cell r="J567">
            <v>24148.49</v>
          </cell>
          <cell r="K567">
            <v>0.32</v>
          </cell>
          <cell r="L567">
            <v>0</v>
          </cell>
          <cell r="M567">
            <v>0</v>
          </cell>
          <cell r="N567">
            <v>0</v>
          </cell>
          <cell r="O567">
            <v>91</v>
          </cell>
          <cell r="P567">
            <v>1.23</v>
          </cell>
          <cell r="Q567">
            <v>1006.4</v>
          </cell>
          <cell r="R567">
            <v>1033.5999999999999</v>
          </cell>
          <cell r="S567">
            <v>0</v>
          </cell>
          <cell r="T567">
            <v>0</v>
          </cell>
        </row>
        <row r="568">
          <cell r="A568">
            <v>262</v>
          </cell>
          <cell r="B568">
            <v>223</v>
          </cell>
          <cell r="C568" t="str">
            <v>SALAME FATIADO SEARA GOURMET CX\10X100GR</v>
          </cell>
          <cell r="D568">
            <v>11139</v>
          </cell>
          <cell r="E568">
            <v>0.26</v>
          </cell>
          <cell r="F568">
            <v>150</v>
          </cell>
          <cell r="G568">
            <v>0</v>
          </cell>
          <cell r="H568">
            <v>0</v>
          </cell>
          <cell r="I568">
            <v>0</v>
          </cell>
          <cell r="J568">
            <v>19198.439999999999</v>
          </cell>
          <cell r="K568">
            <v>0.25</v>
          </cell>
          <cell r="L568">
            <v>275.39999999999998</v>
          </cell>
          <cell r="M568">
            <v>0.84</v>
          </cell>
          <cell r="N568">
            <v>4</v>
          </cell>
          <cell r="O568">
            <v>135</v>
          </cell>
          <cell r="P568">
            <v>1.82</v>
          </cell>
          <cell r="Q568">
            <v>150</v>
          </cell>
          <cell r="R568">
            <v>223</v>
          </cell>
          <cell r="S568">
            <v>0</v>
          </cell>
          <cell r="T568">
            <v>4</v>
          </cell>
        </row>
        <row r="569">
          <cell r="A569">
            <v>261</v>
          </cell>
          <cell r="B569">
            <v>66</v>
          </cell>
          <cell r="C569" t="str">
            <v>SALAME ITALIANO PEQUENO SEARA GOURMET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1570</v>
          </cell>
          <cell r="K569">
            <v>0.02</v>
          </cell>
          <cell r="L569">
            <v>0</v>
          </cell>
          <cell r="M569">
            <v>0</v>
          </cell>
          <cell r="N569">
            <v>0</v>
          </cell>
          <cell r="O569">
            <v>10</v>
          </cell>
          <cell r="P569">
            <v>0.13</v>
          </cell>
          <cell r="Q569">
            <v>0</v>
          </cell>
          <cell r="R569">
            <v>26.4</v>
          </cell>
          <cell r="S569">
            <v>0</v>
          </cell>
          <cell r="T569">
            <v>0</v>
          </cell>
        </row>
        <row r="570">
          <cell r="A570">
            <v>260</v>
          </cell>
          <cell r="B570">
            <v>46</v>
          </cell>
          <cell r="C570" t="str">
            <v>SALAME ITALIANO PEQUENO SEARA</v>
          </cell>
          <cell r="D570">
            <v>5475.15</v>
          </cell>
          <cell r="E570">
            <v>0.13</v>
          </cell>
          <cell r="F570">
            <v>460</v>
          </cell>
          <cell r="G570">
            <v>0</v>
          </cell>
          <cell r="H570">
            <v>0</v>
          </cell>
          <cell r="I570">
            <v>0</v>
          </cell>
          <cell r="J570">
            <v>596.14</v>
          </cell>
          <cell r="K570">
            <v>0.01</v>
          </cell>
          <cell r="L570">
            <v>0</v>
          </cell>
          <cell r="M570">
            <v>0</v>
          </cell>
          <cell r="N570">
            <v>0</v>
          </cell>
          <cell r="O570">
            <v>13</v>
          </cell>
          <cell r="P570">
            <v>0.18</v>
          </cell>
          <cell r="Q570">
            <v>82.8</v>
          </cell>
          <cell r="R570">
            <v>8.2799999999999994</v>
          </cell>
          <cell r="S570">
            <v>0</v>
          </cell>
          <cell r="T570">
            <v>0</v>
          </cell>
        </row>
        <row r="571">
          <cell r="A571">
            <v>259</v>
          </cell>
          <cell r="B571">
            <v>2</v>
          </cell>
          <cell r="C571" t="str">
            <v>SALSICHA FRANGO SEARA CX\12X500GR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170.28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2</v>
          </cell>
          <cell r="P571">
            <v>0.03</v>
          </cell>
          <cell r="Q571">
            <v>0</v>
          </cell>
          <cell r="R571">
            <v>12</v>
          </cell>
          <cell r="S571">
            <v>0</v>
          </cell>
          <cell r="T571">
            <v>0</v>
          </cell>
        </row>
        <row r="572">
          <cell r="A572">
            <v>2587</v>
          </cell>
          <cell r="B572">
            <v>49</v>
          </cell>
          <cell r="C572" t="str">
            <v>MAIONESE SACHE SALADA CX\6X3KG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1091.19</v>
          </cell>
          <cell r="K572">
            <v>0.01</v>
          </cell>
          <cell r="L572">
            <v>0</v>
          </cell>
          <cell r="M572">
            <v>0</v>
          </cell>
          <cell r="N572">
            <v>0</v>
          </cell>
          <cell r="O572">
            <v>14</v>
          </cell>
          <cell r="P572">
            <v>0.19</v>
          </cell>
          <cell r="Q572">
            <v>0</v>
          </cell>
          <cell r="R572">
            <v>147</v>
          </cell>
          <cell r="S572">
            <v>0</v>
          </cell>
          <cell r="T572">
            <v>0</v>
          </cell>
        </row>
        <row r="573">
          <cell r="A573">
            <v>256</v>
          </cell>
          <cell r="B573">
            <v>6</v>
          </cell>
          <cell r="C573" t="str">
            <v>SALSICHA SEARA CX/12X500GR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507.4</v>
          </cell>
          <cell r="K573">
            <v>0.01</v>
          </cell>
          <cell r="L573">
            <v>0</v>
          </cell>
          <cell r="M573">
            <v>0</v>
          </cell>
          <cell r="N573">
            <v>0</v>
          </cell>
          <cell r="O573">
            <v>6</v>
          </cell>
          <cell r="P573">
            <v>0.08</v>
          </cell>
          <cell r="Q573">
            <v>0</v>
          </cell>
          <cell r="R573">
            <v>36</v>
          </cell>
          <cell r="S573">
            <v>0</v>
          </cell>
          <cell r="T573">
            <v>0</v>
          </cell>
        </row>
        <row r="574">
          <cell r="A574">
            <v>255</v>
          </cell>
          <cell r="B574">
            <v>942</v>
          </cell>
          <cell r="C574" t="str">
            <v>SALSICHA REZENDE CX\4X5KG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32948.47</v>
          </cell>
          <cell r="K574">
            <v>0.43</v>
          </cell>
          <cell r="L574">
            <v>0</v>
          </cell>
          <cell r="M574">
            <v>0</v>
          </cell>
          <cell r="N574">
            <v>0</v>
          </cell>
          <cell r="O574">
            <v>202</v>
          </cell>
          <cell r="P574">
            <v>2.72</v>
          </cell>
          <cell r="Q574">
            <v>0</v>
          </cell>
          <cell r="R574">
            <v>4710</v>
          </cell>
          <cell r="S574">
            <v>0</v>
          </cell>
          <cell r="T574">
            <v>0</v>
          </cell>
        </row>
        <row r="575">
          <cell r="A575">
            <v>253</v>
          </cell>
          <cell r="B575">
            <v>0</v>
          </cell>
          <cell r="C575" t="str">
            <v>STEAK INCRIVEL EMPANADO SEARA CX/16X300GR</v>
          </cell>
          <cell r="D575">
            <v>367.87</v>
          </cell>
          <cell r="E575">
            <v>0.01</v>
          </cell>
          <cell r="F575">
            <v>2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1</v>
          </cell>
          <cell r="P575">
            <v>0.01</v>
          </cell>
          <cell r="Q575">
            <v>9.6</v>
          </cell>
          <cell r="R575">
            <v>0</v>
          </cell>
          <cell r="S575">
            <v>0</v>
          </cell>
          <cell r="T575">
            <v>0</v>
          </cell>
        </row>
        <row r="576">
          <cell r="A576">
            <v>252</v>
          </cell>
          <cell r="B576">
            <v>211</v>
          </cell>
          <cell r="C576" t="str">
            <v>STEAK TRADICIONAL SEARA 72X100G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25067.88</v>
          </cell>
          <cell r="K576">
            <v>0.33</v>
          </cell>
          <cell r="L576">
            <v>359.64</v>
          </cell>
          <cell r="M576">
            <v>1.0900000000000001</v>
          </cell>
          <cell r="N576">
            <v>3</v>
          </cell>
          <cell r="O576">
            <v>168</v>
          </cell>
          <cell r="P576">
            <v>2.2599999999999998</v>
          </cell>
          <cell r="Q576">
            <v>0</v>
          </cell>
          <cell r="R576">
            <v>1519.2</v>
          </cell>
          <cell r="S576">
            <v>0</v>
          </cell>
          <cell r="T576">
            <v>21.6</v>
          </cell>
        </row>
        <row r="577">
          <cell r="A577">
            <v>2517</v>
          </cell>
          <cell r="B577">
            <v>18</v>
          </cell>
          <cell r="C577" t="str">
            <v>SALSICHA RESFRIADA SEARA CX\4X3KG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435.94</v>
          </cell>
          <cell r="K577">
            <v>0.01</v>
          </cell>
          <cell r="L577">
            <v>0</v>
          </cell>
          <cell r="M577">
            <v>0</v>
          </cell>
          <cell r="N577">
            <v>0</v>
          </cell>
          <cell r="O577">
            <v>11</v>
          </cell>
          <cell r="P577">
            <v>0.15</v>
          </cell>
          <cell r="Q577">
            <v>0</v>
          </cell>
          <cell r="R577">
            <v>54</v>
          </cell>
          <cell r="S577">
            <v>0</v>
          </cell>
          <cell r="T577">
            <v>0</v>
          </cell>
        </row>
        <row r="578">
          <cell r="A578">
            <v>2512</v>
          </cell>
          <cell r="B578">
            <v>150</v>
          </cell>
          <cell r="C578" t="str">
            <v>MASSA PASTEL GRANDE VILA ITALIA  24X500GR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23642.61</v>
          </cell>
          <cell r="K578">
            <v>0.31</v>
          </cell>
          <cell r="L578">
            <v>0</v>
          </cell>
          <cell r="M578">
            <v>0</v>
          </cell>
          <cell r="N578">
            <v>0</v>
          </cell>
          <cell r="O578">
            <v>103</v>
          </cell>
          <cell r="P578">
            <v>1.39</v>
          </cell>
          <cell r="Q578">
            <v>0</v>
          </cell>
          <cell r="R578">
            <v>1800</v>
          </cell>
          <cell r="S578">
            <v>0</v>
          </cell>
          <cell r="T578">
            <v>0</v>
          </cell>
        </row>
        <row r="579">
          <cell r="A579">
            <v>251</v>
          </cell>
          <cell r="B579">
            <v>68</v>
          </cell>
          <cell r="C579" t="str">
            <v>STEAK RECHEADO PRESUNTO\QUEIJO SEARA CX\25X110GR</v>
          </cell>
          <cell r="D579">
            <v>3784</v>
          </cell>
          <cell r="E579">
            <v>0.09</v>
          </cell>
          <cell r="F579">
            <v>50</v>
          </cell>
          <cell r="G579">
            <v>0</v>
          </cell>
          <cell r="H579">
            <v>0</v>
          </cell>
          <cell r="I579">
            <v>0</v>
          </cell>
          <cell r="J579">
            <v>6175.32</v>
          </cell>
          <cell r="K579">
            <v>0.08</v>
          </cell>
          <cell r="L579">
            <v>0</v>
          </cell>
          <cell r="M579">
            <v>0</v>
          </cell>
          <cell r="N579">
            <v>0</v>
          </cell>
          <cell r="O579">
            <v>56</v>
          </cell>
          <cell r="P579">
            <v>0.75</v>
          </cell>
          <cell r="Q579">
            <v>137.5</v>
          </cell>
          <cell r="R579">
            <v>187</v>
          </cell>
          <cell r="S579">
            <v>0</v>
          </cell>
          <cell r="T579">
            <v>0</v>
          </cell>
        </row>
        <row r="580">
          <cell r="A580">
            <v>250</v>
          </cell>
          <cell r="B580">
            <v>16</v>
          </cell>
          <cell r="C580" t="str">
            <v>TEKITOS BIG TRADICIONAL SEARA CX\5X900GR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1542.52</v>
          </cell>
          <cell r="K580">
            <v>0.02</v>
          </cell>
          <cell r="L580">
            <v>0</v>
          </cell>
          <cell r="M580">
            <v>0</v>
          </cell>
          <cell r="N580">
            <v>0</v>
          </cell>
          <cell r="O580">
            <v>13</v>
          </cell>
          <cell r="P580">
            <v>0.18</v>
          </cell>
          <cell r="Q580">
            <v>0</v>
          </cell>
          <cell r="R580">
            <v>72</v>
          </cell>
          <cell r="S580">
            <v>0</v>
          </cell>
          <cell r="T580">
            <v>0</v>
          </cell>
        </row>
        <row r="581">
          <cell r="A581">
            <v>249</v>
          </cell>
          <cell r="B581">
            <v>109</v>
          </cell>
          <cell r="C581" t="str">
            <v>TEKITOS SEARA CX\16X300GR</v>
          </cell>
          <cell r="D581">
            <v>10160.64</v>
          </cell>
          <cell r="E581">
            <v>0.24</v>
          </cell>
          <cell r="F581">
            <v>105</v>
          </cell>
          <cell r="G581">
            <v>0</v>
          </cell>
          <cell r="H581">
            <v>0</v>
          </cell>
          <cell r="I581">
            <v>0</v>
          </cell>
          <cell r="J581">
            <v>12673.8</v>
          </cell>
          <cell r="K581">
            <v>0.17</v>
          </cell>
          <cell r="L581">
            <v>117.4</v>
          </cell>
          <cell r="M581">
            <v>0.36</v>
          </cell>
          <cell r="N581">
            <v>1</v>
          </cell>
          <cell r="O581">
            <v>98</v>
          </cell>
          <cell r="P581">
            <v>1.32</v>
          </cell>
          <cell r="Q581">
            <v>504</v>
          </cell>
          <cell r="R581">
            <v>523.20000000000005</v>
          </cell>
          <cell r="S581">
            <v>0</v>
          </cell>
          <cell r="T581">
            <v>4.8</v>
          </cell>
        </row>
        <row r="582">
          <cell r="A582">
            <v>2488</v>
          </cell>
          <cell r="B582">
            <v>184</v>
          </cell>
          <cell r="C582" t="str">
            <v>MAIONESE BALDE SALADA CX\6X3KG</v>
          </cell>
          <cell r="D582">
            <v>4654.8</v>
          </cell>
          <cell r="E582">
            <v>0.11</v>
          </cell>
          <cell r="F582">
            <v>180</v>
          </cell>
          <cell r="G582">
            <v>0</v>
          </cell>
          <cell r="H582">
            <v>0</v>
          </cell>
          <cell r="I582">
            <v>0</v>
          </cell>
          <cell r="J582">
            <v>5263.5</v>
          </cell>
          <cell r="K582">
            <v>7.0000000000000007E-2</v>
          </cell>
          <cell r="L582">
            <v>0</v>
          </cell>
          <cell r="M582">
            <v>0</v>
          </cell>
          <cell r="N582">
            <v>0</v>
          </cell>
          <cell r="O582">
            <v>59</v>
          </cell>
          <cell r="P582">
            <v>0.79</v>
          </cell>
          <cell r="Q582">
            <v>540</v>
          </cell>
          <cell r="R582">
            <v>552</v>
          </cell>
          <cell r="S582">
            <v>0</v>
          </cell>
          <cell r="T582">
            <v>0</v>
          </cell>
        </row>
        <row r="583">
          <cell r="A583">
            <v>2487</v>
          </cell>
          <cell r="B583">
            <v>45</v>
          </cell>
          <cell r="C583" t="str">
            <v>MAIONESE POTE SALADA CX\12X500G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2526.73</v>
          </cell>
          <cell r="K583">
            <v>0.03</v>
          </cell>
          <cell r="L583">
            <v>0</v>
          </cell>
          <cell r="M583">
            <v>0</v>
          </cell>
          <cell r="N583">
            <v>0</v>
          </cell>
          <cell r="O583">
            <v>33</v>
          </cell>
          <cell r="P583">
            <v>0.44</v>
          </cell>
          <cell r="Q583">
            <v>0</v>
          </cell>
          <cell r="R583">
            <v>270</v>
          </cell>
          <cell r="S583">
            <v>0</v>
          </cell>
          <cell r="T583">
            <v>0</v>
          </cell>
        </row>
        <row r="584">
          <cell r="A584">
            <v>2486</v>
          </cell>
          <cell r="B584">
            <v>28</v>
          </cell>
          <cell r="C584" t="str">
            <v>MAIONESE SACHE SALADA CX\24X200GR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1374.52</v>
          </cell>
          <cell r="K584">
            <v>0.02</v>
          </cell>
          <cell r="L584">
            <v>0</v>
          </cell>
          <cell r="M584">
            <v>0</v>
          </cell>
          <cell r="N584">
            <v>0</v>
          </cell>
          <cell r="O584">
            <v>26</v>
          </cell>
          <cell r="P584">
            <v>0.35</v>
          </cell>
          <cell r="Q584">
            <v>0</v>
          </cell>
          <cell r="R584">
            <v>134.4</v>
          </cell>
          <cell r="S584">
            <v>0</v>
          </cell>
          <cell r="T584">
            <v>0</v>
          </cell>
        </row>
        <row r="585">
          <cell r="A585">
            <v>2485</v>
          </cell>
          <cell r="B585">
            <v>1</v>
          </cell>
          <cell r="C585" t="str">
            <v>MAIONESE SACHE SALADA CX\6X1KG DESATIVADA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57.82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1</v>
          </cell>
          <cell r="P585">
            <v>0.01</v>
          </cell>
          <cell r="Q585">
            <v>0</v>
          </cell>
          <cell r="R585">
            <v>6</v>
          </cell>
          <cell r="S585">
            <v>0</v>
          </cell>
          <cell r="T585">
            <v>0</v>
          </cell>
        </row>
        <row r="586">
          <cell r="A586">
            <v>246</v>
          </cell>
          <cell r="B586">
            <v>155</v>
          </cell>
          <cell r="C586" t="str">
            <v>TEKITOS SEARA CX\5X1KG</v>
          </cell>
          <cell r="D586">
            <v>13770</v>
          </cell>
          <cell r="E586">
            <v>0.32</v>
          </cell>
          <cell r="F586">
            <v>200</v>
          </cell>
          <cell r="G586">
            <v>0</v>
          </cell>
          <cell r="H586">
            <v>0</v>
          </cell>
          <cell r="I586">
            <v>0</v>
          </cell>
          <cell r="J586">
            <v>12585.7</v>
          </cell>
          <cell r="K586">
            <v>0.16</v>
          </cell>
          <cell r="L586">
            <v>0</v>
          </cell>
          <cell r="M586">
            <v>0</v>
          </cell>
          <cell r="N586">
            <v>0</v>
          </cell>
          <cell r="O586">
            <v>91</v>
          </cell>
          <cell r="P586">
            <v>1.23</v>
          </cell>
          <cell r="Q586">
            <v>1000</v>
          </cell>
          <cell r="R586">
            <v>775</v>
          </cell>
          <cell r="S586">
            <v>0</v>
          </cell>
          <cell r="T586">
            <v>0</v>
          </cell>
        </row>
        <row r="587">
          <cell r="A587">
            <v>2453</v>
          </cell>
          <cell r="B587">
            <v>113</v>
          </cell>
          <cell r="C587" t="str">
            <v>COXINHA DA ASA IQF RIVELLI CX 20X800GR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20786.3</v>
          </cell>
          <cell r="K587">
            <v>0.27</v>
          </cell>
          <cell r="L587">
            <v>0</v>
          </cell>
          <cell r="M587">
            <v>0</v>
          </cell>
          <cell r="N587">
            <v>0</v>
          </cell>
          <cell r="O587">
            <v>76</v>
          </cell>
          <cell r="P587">
            <v>1.02</v>
          </cell>
          <cell r="Q587">
            <v>0</v>
          </cell>
          <cell r="R587">
            <v>1808</v>
          </cell>
          <cell r="S587">
            <v>0</v>
          </cell>
          <cell r="T587">
            <v>0</v>
          </cell>
        </row>
        <row r="588">
          <cell r="A588">
            <v>245</v>
          </cell>
          <cell r="B588">
            <v>8</v>
          </cell>
          <cell r="C588" t="str">
            <v>YAKISOBA SEARA CX/6X500GR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664.64</v>
          </cell>
          <cell r="K588">
            <v>0.01</v>
          </cell>
          <cell r="L588">
            <v>0</v>
          </cell>
          <cell r="M588">
            <v>0</v>
          </cell>
          <cell r="N588">
            <v>0</v>
          </cell>
          <cell r="O588">
            <v>6</v>
          </cell>
          <cell r="P588">
            <v>0.08</v>
          </cell>
          <cell r="Q588">
            <v>0</v>
          </cell>
          <cell r="R588">
            <v>48</v>
          </cell>
          <cell r="S588">
            <v>0</v>
          </cell>
          <cell r="T588">
            <v>0</v>
          </cell>
        </row>
        <row r="589">
          <cell r="A589">
            <v>2447</v>
          </cell>
          <cell r="B589">
            <v>0</v>
          </cell>
          <cell r="C589" t="str">
            <v>HAMBURGUER MISTO TEXAS SEARA CX30X112G</v>
          </cell>
          <cell r="D589">
            <v>502.82</v>
          </cell>
          <cell r="E589">
            <v>0.01</v>
          </cell>
          <cell r="F589">
            <v>5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1</v>
          </cell>
          <cell r="P589">
            <v>0.01</v>
          </cell>
          <cell r="Q589">
            <v>16.8</v>
          </cell>
          <cell r="R589">
            <v>0</v>
          </cell>
          <cell r="S589">
            <v>0</v>
          </cell>
          <cell r="T589">
            <v>0</v>
          </cell>
        </row>
        <row r="590">
          <cell r="A590">
            <v>2445</v>
          </cell>
          <cell r="B590">
            <v>3</v>
          </cell>
          <cell r="C590" t="str">
            <v>HAMBURGUER BOVINO AIR FRYER SEARA CX21X150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333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3</v>
          </cell>
          <cell r="P590">
            <v>0.04</v>
          </cell>
          <cell r="Q590">
            <v>0</v>
          </cell>
          <cell r="R590">
            <v>9.4499999999999993</v>
          </cell>
          <cell r="S590">
            <v>0</v>
          </cell>
          <cell r="T590">
            <v>0</v>
          </cell>
        </row>
        <row r="591">
          <cell r="A591">
            <v>244</v>
          </cell>
          <cell r="B591">
            <v>60</v>
          </cell>
          <cell r="C591" t="str">
            <v>HAMBURGUER SEARA TEXAS ENVELOPADO 36X90G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4125.96</v>
          </cell>
          <cell r="K591">
            <v>0.05</v>
          </cell>
          <cell r="L591">
            <v>0</v>
          </cell>
          <cell r="M591">
            <v>0</v>
          </cell>
          <cell r="N591">
            <v>0</v>
          </cell>
          <cell r="O591">
            <v>15</v>
          </cell>
          <cell r="P591">
            <v>0.2</v>
          </cell>
          <cell r="Q591">
            <v>0</v>
          </cell>
          <cell r="R591">
            <v>194.4</v>
          </cell>
          <cell r="S591">
            <v>0</v>
          </cell>
          <cell r="T591">
            <v>0</v>
          </cell>
        </row>
        <row r="592">
          <cell r="A592">
            <v>243</v>
          </cell>
          <cell r="B592">
            <v>181</v>
          </cell>
          <cell r="C592" t="str">
            <v>HAMBURGUER PICANHA GRAFILE CX\24X90GR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13996.06</v>
          </cell>
          <cell r="K592">
            <v>0.18</v>
          </cell>
          <cell r="L592">
            <v>0</v>
          </cell>
          <cell r="M592">
            <v>0</v>
          </cell>
          <cell r="N592">
            <v>0</v>
          </cell>
          <cell r="O592">
            <v>50</v>
          </cell>
          <cell r="P592">
            <v>0.67</v>
          </cell>
          <cell r="Q592">
            <v>0</v>
          </cell>
          <cell r="R592">
            <v>390.96</v>
          </cell>
          <cell r="S592">
            <v>0</v>
          </cell>
          <cell r="T592">
            <v>0</v>
          </cell>
        </row>
        <row r="593">
          <cell r="A593">
            <v>242</v>
          </cell>
          <cell r="B593">
            <v>1059</v>
          </cell>
          <cell r="C593" t="str">
            <v>HAMBURGUER FRISA CX\48UN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53718.29</v>
          </cell>
          <cell r="K593">
            <v>0.7</v>
          </cell>
          <cell r="L593">
            <v>50.47</v>
          </cell>
          <cell r="M593">
            <v>0.15</v>
          </cell>
          <cell r="N593">
            <v>1</v>
          </cell>
          <cell r="O593">
            <v>149</v>
          </cell>
          <cell r="P593">
            <v>2.0099999999999998</v>
          </cell>
          <cell r="Q593">
            <v>0</v>
          </cell>
          <cell r="R593">
            <v>2825.41</v>
          </cell>
          <cell r="S593">
            <v>0</v>
          </cell>
          <cell r="T593">
            <v>2.67</v>
          </cell>
        </row>
        <row r="594">
          <cell r="A594">
            <v>241</v>
          </cell>
          <cell r="B594">
            <v>749</v>
          </cell>
          <cell r="C594" t="str">
            <v>HAMBURGUER ENVELOPADO AURORA CX\36UN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31042.36</v>
          </cell>
          <cell r="K594">
            <v>0.41</v>
          </cell>
          <cell r="L594">
            <v>0</v>
          </cell>
          <cell r="M594">
            <v>0</v>
          </cell>
          <cell r="N594">
            <v>0</v>
          </cell>
          <cell r="O594">
            <v>151</v>
          </cell>
          <cell r="P594">
            <v>2.0299999999999998</v>
          </cell>
          <cell r="Q594">
            <v>0</v>
          </cell>
          <cell r="R594">
            <v>1509.98</v>
          </cell>
          <cell r="S594">
            <v>0</v>
          </cell>
          <cell r="T594">
            <v>0</v>
          </cell>
        </row>
        <row r="595">
          <cell r="A595">
            <v>240</v>
          </cell>
          <cell r="B595">
            <v>112</v>
          </cell>
          <cell r="C595" t="str">
            <v>LING SUINA PIF PAF CX\12X1KG</v>
          </cell>
          <cell r="D595">
            <v>8727.81</v>
          </cell>
          <cell r="E595">
            <v>0.2</v>
          </cell>
          <cell r="F595">
            <v>50</v>
          </cell>
          <cell r="G595">
            <v>0</v>
          </cell>
          <cell r="H595">
            <v>0</v>
          </cell>
          <cell r="I595">
            <v>0</v>
          </cell>
          <cell r="J595">
            <v>24232.6</v>
          </cell>
          <cell r="K595">
            <v>0.32</v>
          </cell>
          <cell r="L595">
            <v>220.3</v>
          </cell>
          <cell r="M595">
            <v>0.67</v>
          </cell>
          <cell r="N595">
            <v>1</v>
          </cell>
          <cell r="O595">
            <v>84</v>
          </cell>
          <cell r="P595">
            <v>1.1299999999999999</v>
          </cell>
          <cell r="Q595">
            <v>600</v>
          </cell>
          <cell r="R595">
            <v>1344</v>
          </cell>
          <cell r="S595">
            <v>0</v>
          </cell>
          <cell r="T595">
            <v>12</v>
          </cell>
        </row>
        <row r="596">
          <cell r="A596">
            <v>24</v>
          </cell>
          <cell r="B596">
            <v>77</v>
          </cell>
          <cell r="C596" t="str">
            <v>COXA SOBRECOXA PCT FRANCAP CX 20KG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11399.69</v>
          </cell>
          <cell r="K596">
            <v>0.15</v>
          </cell>
          <cell r="L596">
            <v>145.87</v>
          </cell>
          <cell r="M596">
            <v>0.44</v>
          </cell>
          <cell r="N596">
            <v>1</v>
          </cell>
          <cell r="O596">
            <v>49</v>
          </cell>
          <cell r="P596">
            <v>0.66</v>
          </cell>
          <cell r="Q596">
            <v>0</v>
          </cell>
          <cell r="R596">
            <v>1540</v>
          </cell>
          <cell r="S596">
            <v>0</v>
          </cell>
          <cell r="T596">
            <v>20</v>
          </cell>
        </row>
        <row r="597">
          <cell r="A597">
            <v>237</v>
          </cell>
          <cell r="B597">
            <v>101</v>
          </cell>
          <cell r="C597" t="str">
            <v>LING TOSCANA SEARA  5KG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6705.24</v>
          </cell>
          <cell r="K597">
            <v>0.09</v>
          </cell>
          <cell r="L597">
            <v>0</v>
          </cell>
          <cell r="M597">
            <v>0</v>
          </cell>
          <cell r="N597">
            <v>0</v>
          </cell>
          <cell r="O597">
            <v>20</v>
          </cell>
          <cell r="P597">
            <v>0.27</v>
          </cell>
          <cell r="Q597">
            <v>0</v>
          </cell>
          <cell r="R597">
            <v>505</v>
          </cell>
          <cell r="S597">
            <v>0</v>
          </cell>
          <cell r="T597">
            <v>0</v>
          </cell>
        </row>
        <row r="598">
          <cell r="A598">
            <v>2363</v>
          </cell>
          <cell r="B598">
            <v>46</v>
          </cell>
          <cell r="C598" t="str">
            <v>FILE PEITO BANDEJA PIF PAF CX/12X1KG</v>
          </cell>
          <cell r="D598">
            <v>9306.7099999999991</v>
          </cell>
          <cell r="E598">
            <v>0.22</v>
          </cell>
          <cell r="F598">
            <v>50</v>
          </cell>
          <cell r="G598">
            <v>0</v>
          </cell>
          <cell r="H598">
            <v>0</v>
          </cell>
          <cell r="I598">
            <v>0</v>
          </cell>
          <cell r="J598">
            <v>9935.35</v>
          </cell>
          <cell r="K598">
            <v>0.13</v>
          </cell>
          <cell r="L598">
            <v>0</v>
          </cell>
          <cell r="M598">
            <v>0</v>
          </cell>
          <cell r="N598">
            <v>0</v>
          </cell>
          <cell r="O598">
            <v>29</v>
          </cell>
          <cell r="P598">
            <v>0.39</v>
          </cell>
          <cell r="Q598">
            <v>600</v>
          </cell>
          <cell r="R598">
            <v>552</v>
          </cell>
          <cell r="S598">
            <v>0</v>
          </cell>
          <cell r="T598">
            <v>0</v>
          </cell>
        </row>
        <row r="599">
          <cell r="A599">
            <v>236</v>
          </cell>
          <cell r="B599">
            <v>371</v>
          </cell>
          <cell r="C599" t="str">
            <v>LING T.CALABRESA RETA SEARA CX\6X2,5KG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19073.43</v>
          </cell>
          <cell r="K599">
            <v>0.25</v>
          </cell>
          <cell r="L599">
            <v>0</v>
          </cell>
          <cell r="M599">
            <v>0</v>
          </cell>
          <cell r="N599">
            <v>0</v>
          </cell>
          <cell r="O599">
            <v>74</v>
          </cell>
          <cell r="P599">
            <v>1</v>
          </cell>
          <cell r="Q599">
            <v>0</v>
          </cell>
          <cell r="R599">
            <v>927.5</v>
          </cell>
          <cell r="S599">
            <v>0</v>
          </cell>
          <cell r="T599">
            <v>0</v>
          </cell>
        </row>
        <row r="600">
          <cell r="A600">
            <v>235</v>
          </cell>
          <cell r="B600">
            <v>465</v>
          </cell>
          <cell r="C600" t="str">
            <v>LING T.CALABRESA ADEEL 2,5KG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20732.330000000002</v>
          </cell>
          <cell r="K600">
            <v>0.27</v>
          </cell>
          <cell r="L600">
            <v>44.48</v>
          </cell>
          <cell r="M600">
            <v>0.14000000000000001</v>
          </cell>
          <cell r="N600">
            <v>1</v>
          </cell>
          <cell r="O600">
            <v>112</v>
          </cell>
          <cell r="P600">
            <v>1.51</v>
          </cell>
          <cell r="Q600">
            <v>0</v>
          </cell>
          <cell r="R600">
            <v>1162.5</v>
          </cell>
          <cell r="S600">
            <v>0</v>
          </cell>
          <cell r="T600">
            <v>2.5</v>
          </cell>
        </row>
        <row r="601">
          <cell r="A601">
            <v>2349</v>
          </cell>
          <cell r="B601">
            <v>230</v>
          </cell>
          <cell r="C601" t="str">
            <v>QUEIJO PARMESAO RALADO SCALA 100GR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1376.43</v>
          </cell>
          <cell r="K601">
            <v>0.02</v>
          </cell>
          <cell r="L601">
            <v>0.63</v>
          </cell>
          <cell r="M601">
            <v>0</v>
          </cell>
          <cell r="N601">
            <v>70</v>
          </cell>
          <cell r="O601">
            <v>16</v>
          </cell>
          <cell r="P601">
            <v>0.22</v>
          </cell>
          <cell r="Q601">
            <v>0</v>
          </cell>
          <cell r="R601">
            <v>23</v>
          </cell>
          <cell r="S601">
            <v>0</v>
          </cell>
          <cell r="T601">
            <v>7</v>
          </cell>
        </row>
        <row r="602">
          <cell r="A602">
            <v>234</v>
          </cell>
          <cell r="B602">
            <v>956</v>
          </cell>
          <cell r="C602" t="str">
            <v>LING SUINA AURORA CX\5X5KG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79007.47</v>
          </cell>
          <cell r="K602">
            <v>1.03</v>
          </cell>
          <cell r="L602">
            <v>0</v>
          </cell>
          <cell r="M602">
            <v>0</v>
          </cell>
          <cell r="N602">
            <v>0</v>
          </cell>
          <cell r="O602">
            <v>188</v>
          </cell>
          <cell r="P602">
            <v>2.5299999999999998</v>
          </cell>
          <cell r="Q602">
            <v>0</v>
          </cell>
          <cell r="R602">
            <v>4780</v>
          </cell>
          <cell r="S602">
            <v>0</v>
          </cell>
          <cell r="T602">
            <v>0</v>
          </cell>
        </row>
        <row r="603">
          <cell r="A603">
            <v>2335</v>
          </cell>
          <cell r="B603">
            <v>1</v>
          </cell>
          <cell r="C603" t="str">
            <v>LASANHA BOLONHESA LEBON 10X600GR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110.54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1</v>
          </cell>
          <cell r="P603">
            <v>0.01</v>
          </cell>
          <cell r="Q603">
            <v>0</v>
          </cell>
          <cell r="R603">
            <v>6</v>
          </cell>
          <cell r="S603">
            <v>0</v>
          </cell>
          <cell r="T603">
            <v>0</v>
          </cell>
        </row>
        <row r="604">
          <cell r="A604">
            <v>233</v>
          </cell>
          <cell r="B604">
            <v>158</v>
          </cell>
          <cell r="C604" t="str">
            <v>LING MC TROPEIRA CX\25X400GR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34542.74</v>
          </cell>
          <cell r="K604">
            <v>0.45</v>
          </cell>
          <cell r="L604">
            <v>0</v>
          </cell>
          <cell r="M604">
            <v>0</v>
          </cell>
          <cell r="N604">
            <v>0</v>
          </cell>
          <cell r="O604">
            <v>99</v>
          </cell>
          <cell r="P604">
            <v>1.33</v>
          </cell>
          <cell r="Q604">
            <v>0</v>
          </cell>
          <cell r="R604">
            <v>1580</v>
          </cell>
          <cell r="S604">
            <v>0</v>
          </cell>
          <cell r="T604">
            <v>0</v>
          </cell>
        </row>
        <row r="605">
          <cell r="A605">
            <v>2329</v>
          </cell>
          <cell r="B605">
            <v>86</v>
          </cell>
          <cell r="C605" t="str">
            <v>BATATA P.FRITA PIF PAF CX/5X2KG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9067.52</v>
          </cell>
          <cell r="K605">
            <v>0.12</v>
          </cell>
          <cell r="L605">
            <v>0</v>
          </cell>
          <cell r="M605">
            <v>0</v>
          </cell>
          <cell r="N605">
            <v>0</v>
          </cell>
          <cell r="O605">
            <v>58</v>
          </cell>
          <cell r="P605">
            <v>0.78</v>
          </cell>
          <cell r="Q605">
            <v>0</v>
          </cell>
          <cell r="R605">
            <v>860</v>
          </cell>
          <cell r="S605">
            <v>0</v>
          </cell>
          <cell r="T605">
            <v>0</v>
          </cell>
        </row>
        <row r="606">
          <cell r="A606">
            <v>231</v>
          </cell>
          <cell r="B606">
            <v>1491</v>
          </cell>
          <cell r="C606" t="str">
            <v>LING DEF.PIMENTINHA MISTA CX\25UN</v>
          </cell>
          <cell r="D606">
            <v>15942.63</v>
          </cell>
          <cell r="E606">
            <v>0.37</v>
          </cell>
          <cell r="F606">
            <v>2250</v>
          </cell>
          <cell r="G606">
            <v>0</v>
          </cell>
          <cell r="H606">
            <v>0</v>
          </cell>
          <cell r="I606">
            <v>0</v>
          </cell>
          <cell r="J606">
            <v>13196.16</v>
          </cell>
          <cell r="K606">
            <v>0.17</v>
          </cell>
          <cell r="L606">
            <v>0</v>
          </cell>
          <cell r="M606">
            <v>0</v>
          </cell>
          <cell r="N606">
            <v>0</v>
          </cell>
          <cell r="O606">
            <v>107</v>
          </cell>
          <cell r="P606">
            <v>1.44</v>
          </cell>
          <cell r="Q606">
            <v>900</v>
          </cell>
          <cell r="R606">
            <v>596.4</v>
          </cell>
          <cell r="S606">
            <v>0</v>
          </cell>
          <cell r="T606">
            <v>0</v>
          </cell>
        </row>
        <row r="607">
          <cell r="A607">
            <v>230</v>
          </cell>
          <cell r="B607">
            <v>437</v>
          </cell>
          <cell r="C607" t="str">
            <v>LING DEF.FINA ADEEL CX7X2,5KG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18632.400000000001</v>
          </cell>
          <cell r="K607">
            <v>0.24</v>
          </cell>
          <cell r="L607">
            <v>0</v>
          </cell>
          <cell r="M607">
            <v>0</v>
          </cell>
          <cell r="N607">
            <v>0</v>
          </cell>
          <cell r="O607">
            <v>91</v>
          </cell>
          <cell r="P607">
            <v>1.23</v>
          </cell>
          <cell r="Q607">
            <v>0</v>
          </cell>
          <cell r="R607">
            <v>1092.5</v>
          </cell>
          <cell r="S607">
            <v>0</v>
          </cell>
          <cell r="T607">
            <v>0</v>
          </cell>
        </row>
        <row r="608">
          <cell r="A608">
            <v>229</v>
          </cell>
          <cell r="B608">
            <v>5</v>
          </cell>
          <cell r="C608" t="str">
            <v>LING CHURRASCO RIVELLI CX\20X1KG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1339.2</v>
          </cell>
          <cell r="K608">
            <v>0.02</v>
          </cell>
          <cell r="L608">
            <v>0</v>
          </cell>
          <cell r="M608">
            <v>0</v>
          </cell>
          <cell r="N608">
            <v>0</v>
          </cell>
          <cell r="O608">
            <v>2</v>
          </cell>
          <cell r="P608">
            <v>0.03</v>
          </cell>
          <cell r="Q608">
            <v>0</v>
          </cell>
          <cell r="R608">
            <v>100</v>
          </cell>
          <cell r="S608">
            <v>0</v>
          </cell>
          <cell r="T608">
            <v>0</v>
          </cell>
        </row>
        <row r="609">
          <cell r="A609">
            <v>2275</v>
          </cell>
          <cell r="B609">
            <v>27</v>
          </cell>
          <cell r="C609" t="str">
            <v>CARNE BOVINA MOIDA FRIGODIAS 12X1KG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7130.96</v>
          </cell>
          <cell r="K609">
            <v>0.09</v>
          </cell>
          <cell r="L609">
            <v>0</v>
          </cell>
          <cell r="M609">
            <v>0</v>
          </cell>
          <cell r="N609">
            <v>0</v>
          </cell>
          <cell r="O609">
            <v>19</v>
          </cell>
          <cell r="P609">
            <v>0.26</v>
          </cell>
          <cell r="Q609">
            <v>0</v>
          </cell>
          <cell r="R609">
            <v>324</v>
          </cell>
          <cell r="S609">
            <v>0</v>
          </cell>
          <cell r="T609">
            <v>0</v>
          </cell>
        </row>
        <row r="610">
          <cell r="A610">
            <v>227</v>
          </cell>
          <cell r="B610">
            <v>4</v>
          </cell>
          <cell r="C610" t="str">
            <v>AMEIXA S/CAROÇO TOZZI CX\10KG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1239.68</v>
          </cell>
          <cell r="K610">
            <v>0.02</v>
          </cell>
          <cell r="L610">
            <v>0</v>
          </cell>
          <cell r="M610">
            <v>0</v>
          </cell>
          <cell r="N610">
            <v>0</v>
          </cell>
          <cell r="O610">
            <v>4</v>
          </cell>
          <cell r="P610">
            <v>0.05</v>
          </cell>
          <cell r="Q610">
            <v>0</v>
          </cell>
          <cell r="R610">
            <v>40</v>
          </cell>
          <cell r="S610">
            <v>0</v>
          </cell>
          <cell r="T610">
            <v>0</v>
          </cell>
        </row>
        <row r="611">
          <cell r="A611">
            <v>226</v>
          </cell>
          <cell r="B611">
            <v>5</v>
          </cell>
          <cell r="C611" t="str">
            <v>AMEIXA S/CAROCO SACHE TOZZI 24X70GR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396.81</v>
          </cell>
          <cell r="K611">
            <v>0.01</v>
          </cell>
          <cell r="L611">
            <v>0</v>
          </cell>
          <cell r="M611">
            <v>0</v>
          </cell>
          <cell r="N611">
            <v>0</v>
          </cell>
          <cell r="O611">
            <v>5</v>
          </cell>
          <cell r="P611">
            <v>7.0000000000000007E-2</v>
          </cell>
          <cell r="Q611">
            <v>0</v>
          </cell>
          <cell r="R611">
            <v>10</v>
          </cell>
          <cell r="S611">
            <v>0</v>
          </cell>
          <cell r="T611">
            <v>0</v>
          </cell>
        </row>
        <row r="612">
          <cell r="A612">
            <v>225</v>
          </cell>
          <cell r="B612">
            <v>7</v>
          </cell>
          <cell r="C612" t="str">
            <v>AMEIXA S/CAROCO POTE TOZZI 12X200GR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614.36</v>
          </cell>
          <cell r="K612">
            <v>0.01</v>
          </cell>
          <cell r="L612">
            <v>0</v>
          </cell>
          <cell r="M612">
            <v>0</v>
          </cell>
          <cell r="N612">
            <v>0</v>
          </cell>
          <cell r="O612">
            <v>7</v>
          </cell>
          <cell r="P612">
            <v>0.09</v>
          </cell>
          <cell r="Q612">
            <v>0</v>
          </cell>
          <cell r="R612">
            <v>21</v>
          </cell>
          <cell r="S612">
            <v>0</v>
          </cell>
          <cell r="T612">
            <v>0</v>
          </cell>
        </row>
        <row r="613">
          <cell r="A613">
            <v>223</v>
          </cell>
          <cell r="B613">
            <v>18</v>
          </cell>
          <cell r="C613" t="str">
            <v>UVA PASSA S/SEMENTE SACHE TOZZI  24X70GR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951.3</v>
          </cell>
          <cell r="K613">
            <v>0.01</v>
          </cell>
          <cell r="L613">
            <v>0</v>
          </cell>
          <cell r="M613">
            <v>0</v>
          </cell>
          <cell r="N613">
            <v>0</v>
          </cell>
          <cell r="O613">
            <v>18</v>
          </cell>
          <cell r="P613">
            <v>0.24</v>
          </cell>
          <cell r="Q613">
            <v>0</v>
          </cell>
          <cell r="R613">
            <v>36</v>
          </cell>
          <cell r="S613">
            <v>0</v>
          </cell>
          <cell r="T613">
            <v>0</v>
          </cell>
        </row>
        <row r="614">
          <cell r="A614">
            <v>222</v>
          </cell>
          <cell r="B614">
            <v>9</v>
          </cell>
          <cell r="C614" t="str">
            <v>UVA PASSA S/SEMENTE TOZZI  10KG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1528.35</v>
          </cell>
          <cell r="K614">
            <v>0.02</v>
          </cell>
          <cell r="L614">
            <v>0</v>
          </cell>
          <cell r="M614">
            <v>0</v>
          </cell>
          <cell r="N614">
            <v>0</v>
          </cell>
          <cell r="O614">
            <v>8</v>
          </cell>
          <cell r="P614">
            <v>0.11</v>
          </cell>
          <cell r="Q614">
            <v>0</v>
          </cell>
          <cell r="R614">
            <v>90</v>
          </cell>
          <cell r="S614">
            <v>0</v>
          </cell>
          <cell r="T614">
            <v>0</v>
          </cell>
        </row>
        <row r="615">
          <cell r="A615">
            <v>220</v>
          </cell>
          <cell r="B615">
            <v>12</v>
          </cell>
          <cell r="C615" t="str">
            <v>GOIABADA STELLA D´ORO CX\16X1,01KG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2058</v>
          </cell>
          <cell r="K615">
            <v>0.03</v>
          </cell>
          <cell r="L615">
            <v>0</v>
          </cell>
          <cell r="M615">
            <v>0</v>
          </cell>
          <cell r="N615">
            <v>0</v>
          </cell>
          <cell r="O615">
            <v>10</v>
          </cell>
          <cell r="P615">
            <v>0.13</v>
          </cell>
          <cell r="Q615">
            <v>0</v>
          </cell>
          <cell r="R615">
            <v>193.92</v>
          </cell>
          <cell r="S615">
            <v>0</v>
          </cell>
          <cell r="T615">
            <v>0</v>
          </cell>
        </row>
        <row r="616">
          <cell r="A616">
            <v>2190</v>
          </cell>
          <cell r="B616">
            <v>13</v>
          </cell>
          <cell r="C616" t="str">
            <v>FILE COXA/SOBRECOXA PCT RIVELLI 18X1KG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3102.05</v>
          </cell>
          <cell r="K616">
            <v>0.04</v>
          </cell>
          <cell r="L616">
            <v>0</v>
          </cell>
          <cell r="M616">
            <v>0</v>
          </cell>
          <cell r="N616">
            <v>0</v>
          </cell>
          <cell r="O616">
            <v>9</v>
          </cell>
          <cell r="P616">
            <v>0.12</v>
          </cell>
          <cell r="Q616">
            <v>0</v>
          </cell>
          <cell r="R616">
            <v>234</v>
          </cell>
          <cell r="S616">
            <v>0</v>
          </cell>
          <cell r="T616">
            <v>0</v>
          </cell>
        </row>
        <row r="617">
          <cell r="A617">
            <v>219</v>
          </cell>
          <cell r="B617">
            <v>49</v>
          </cell>
          <cell r="C617" t="str">
            <v>DOCE DE LEITE TRIANGULO MINEIRO 12X400G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3528.25</v>
          </cell>
          <cell r="K617">
            <v>0.05</v>
          </cell>
          <cell r="L617">
            <v>0</v>
          </cell>
          <cell r="M617">
            <v>0</v>
          </cell>
          <cell r="N617">
            <v>0</v>
          </cell>
          <cell r="O617">
            <v>42</v>
          </cell>
          <cell r="P617">
            <v>0.56999999999999995</v>
          </cell>
          <cell r="Q617">
            <v>0</v>
          </cell>
          <cell r="R617">
            <v>235.2</v>
          </cell>
          <cell r="S617">
            <v>0</v>
          </cell>
          <cell r="T617">
            <v>0</v>
          </cell>
        </row>
        <row r="618">
          <cell r="A618">
            <v>2161</v>
          </cell>
          <cell r="B618">
            <v>12</v>
          </cell>
          <cell r="C618" t="str">
            <v>BEB.FARINHA LACTEA IBITURANA CX\27X200ML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341.52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11</v>
          </cell>
          <cell r="P618">
            <v>0.15</v>
          </cell>
          <cell r="Q618">
            <v>0</v>
          </cell>
          <cell r="R618">
            <v>64.8</v>
          </cell>
          <cell r="S618">
            <v>0</v>
          </cell>
          <cell r="T618">
            <v>0</v>
          </cell>
        </row>
        <row r="619">
          <cell r="A619">
            <v>216</v>
          </cell>
          <cell r="B619">
            <v>439.89</v>
          </cell>
          <cell r="C619" t="str">
            <v>BACON PERNIL ADEEL KG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10404.530000000001</v>
          </cell>
          <cell r="K619">
            <v>0.14000000000000001</v>
          </cell>
          <cell r="L619">
            <v>0</v>
          </cell>
          <cell r="M619">
            <v>0</v>
          </cell>
          <cell r="N619">
            <v>0</v>
          </cell>
          <cell r="O619">
            <v>18</v>
          </cell>
          <cell r="P619">
            <v>0.24</v>
          </cell>
          <cell r="Q619">
            <v>0</v>
          </cell>
          <cell r="R619">
            <v>439.89</v>
          </cell>
          <cell r="S619">
            <v>0</v>
          </cell>
          <cell r="T619">
            <v>0</v>
          </cell>
        </row>
        <row r="620">
          <cell r="A620">
            <v>215</v>
          </cell>
          <cell r="B620">
            <v>39</v>
          </cell>
          <cell r="C620" t="str">
            <v>BACON CUBOS REZENDE CX/12X700GR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11292.6</v>
          </cell>
          <cell r="K620">
            <v>0.15</v>
          </cell>
          <cell r="L620">
            <v>0</v>
          </cell>
          <cell r="M620">
            <v>0</v>
          </cell>
          <cell r="N620">
            <v>0</v>
          </cell>
          <cell r="O620">
            <v>14</v>
          </cell>
          <cell r="P620">
            <v>0.19</v>
          </cell>
          <cell r="Q620">
            <v>0</v>
          </cell>
          <cell r="R620">
            <v>327.60000000000002</v>
          </cell>
          <cell r="S620">
            <v>0</v>
          </cell>
          <cell r="T620">
            <v>0</v>
          </cell>
        </row>
        <row r="621">
          <cell r="A621">
            <v>213</v>
          </cell>
          <cell r="B621">
            <v>3728.73</v>
          </cell>
          <cell r="C621" t="str">
            <v>BACON PALETA ADEEL KG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86269.46</v>
          </cell>
          <cell r="K621">
            <v>1.1299999999999999</v>
          </cell>
          <cell r="L621">
            <v>117.48</v>
          </cell>
          <cell r="M621">
            <v>0.36</v>
          </cell>
          <cell r="N621">
            <v>5.15</v>
          </cell>
          <cell r="O621">
            <v>243</v>
          </cell>
          <cell r="P621">
            <v>3.27</v>
          </cell>
          <cell r="Q621">
            <v>0</v>
          </cell>
          <cell r="R621">
            <v>3728.73</v>
          </cell>
          <cell r="S621">
            <v>0</v>
          </cell>
          <cell r="T621">
            <v>5.15</v>
          </cell>
        </row>
        <row r="622">
          <cell r="A622">
            <v>212</v>
          </cell>
          <cell r="B622">
            <v>4</v>
          </cell>
          <cell r="C622" t="str">
            <v>BANHA UAI DAS GERAIS POTE CX12X800G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780.08</v>
          </cell>
          <cell r="K622">
            <v>0.01</v>
          </cell>
          <cell r="L622">
            <v>0</v>
          </cell>
          <cell r="M622">
            <v>0</v>
          </cell>
          <cell r="N622">
            <v>0</v>
          </cell>
          <cell r="O622">
            <v>4</v>
          </cell>
          <cell r="P622">
            <v>0.05</v>
          </cell>
          <cell r="Q622">
            <v>0</v>
          </cell>
          <cell r="R622">
            <v>38.4</v>
          </cell>
          <cell r="S622">
            <v>0</v>
          </cell>
          <cell r="T622">
            <v>0</v>
          </cell>
        </row>
        <row r="623">
          <cell r="A623">
            <v>210</v>
          </cell>
          <cell r="B623">
            <v>2</v>
          </cell>
          <cell r="C623" t="str">
            <v>BANHA UAI DAS GERAIS POTE CX/24X400GR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326.14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2</v>
          </cell>
          <cell r="P623">
            <v>0.03</v>
          </cell>
          <cell r="Q623">
            <v>0</v>
          </cell>
          <cell r="R623">
            <v>19.2</v>
          </cell>
          <cell r="S623">
            <v>0</v>
          </cell>
          <cell r="T623">
            <v>0</v>
          </cell>
        </row>
        <row r="624">
          <cell r="A624">
            <v>209</v>
          </cell>
          <cell r="B624">
            <v>283</v>
          </cell>
          <cell r="C624" t="str">
            <v>BANHA SEARA CX\18KG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65300.77</v>
          </cell>
          <cell r="K624">
            <v>0.85</v>
          </cell>
          <cell r="L624">
            <v>0</v>
          </cell>
          <cell r="M624">
            <v>0</v>
          </cell>
          <cell r="N624">
            <v>0</v>
          </cell>
          <cell r="O624">
            <v>190</v>
          </cell>
          <cell r="P624">
            <v>2.56</v>
          </cell>
          <cell r="Q624">
            <v>0</v>
          </cell>
          <cell r="R624">
            <v>5094</v>
          </cell>
          <cell r="S624">
            <v>0</v>
          </cell>
          <cell r="T624">
            <v>0</v>
          </cell>
        </row>
        <row r="625">
          <cell r="A625">
            <v>2089</v>
          </cell>
          <cell r="B625">
            <v>8</v>
          </cell>
          <cell r="C625" t="str">
            <v>BATATA PALHA OURO MINAS 40X120G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705.6</v>
          </cell>
          <cell r="K625">
            <v>0.01</v>
          </cell>
          <cell r="L625">
            <v>0</v>
          </cell>
          <cell r="M625">
            <v>0</v>
          </cell>
          <cell r="N625">
            <v>0</v>
          </cell>
          <cell r="O625">
            <v>8</v>
          </cell>
          <cell r="P625">
            <v>0.11</v>
          </cell>
          <cell r="Q625">
            <v>0</v>
          </cell>
          <cell r="R625">
            <v>38.4</v>
          </cell>
          <cell r="S625">
            <v>0</v>
          </cell>
          <cell r="T625">
            <v>0</v>
          </cell>
        </row>
        <row r="626">
          <cell r="A626">
            <v>207</v>
          </cell>
          <cell r="B626">
            <v>68</v>
          </cell>
          <cell r="C626" t="str">
            <v>BANHA ALIBEM CX\18KG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15612.48</v>
          </cell>
          <cell r="K626">
            <v>0.2</v>
          </cell>
          <cell r="L626">
            <v>0</v>
          </cell>
          <cell r="M626">
            <v>0</v>
          </cell>
          <cell r="N626">
            <v>0</v>
          </cell>
          <cell r="O626">
            <v>39</v>
          </cell>
          <cell r="P626">
            <v>0.53</v>
          </cell>
          <cell r="Q626">
            <v>0</v>
          </cell>
          <cell r="R626">
            <v>1224</v>
          </cell>
          <cell r="S626">
            <v>0</v>
          </cell>
          <cell r="T626">
            <v>0</v>
          </cell>
        </row>
        <row r="627">
          <cell r="A627">
            <v>206</v>
          </cell>
          <cell r="B627">
            <v>1527</v>
          </cell>
          <cell r="C627" t="str">
            <v>BATATA PALHA EXTRA FINA OURO MINAS 400GR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7650.33</v>
          </cell>
          <cell r="K627">
            <v>0.1</v>
          </cell>
          <cell r="L627">
            <v>0</v>
          </cell>
          <cell r="M627">
            <v>0</v>
          </cell>
          <cell r="N627">
            <v>0</v>
          </cell>
          <cell r="O627">
            <v>102</v>
          </cell>
          <cell r="P627">
            <v>1.37</v>
          </cell>
          <cell r="Q627">
            <v>0</v>
          </cell>
          <cell r="R627">
            <v>610.79999999999995</v>
          </cell>
          <cell r="S627">
            <v>0</v>
          </cell>
          <cell r="T627">
            <v>0</v>
          </cell>
        </row>
        <row r="628">
          <cell r="A628">
            <v>203</v>
          </cell>
          <cell r="B628">
            <v>126</v>
          </cell>
          <cell r="C628" t="str">
            <v>BATATA P.FRITA QUALITY FRIES CX\25X400GR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17269.240000000002</v>
          </cell>
          <cell r="K628">
            <v>0.23</v>
          </cell>
          <cell r="L628">
            <v>136.22</v>
          </cell>
          <cell r="M628">
            <v>0.41</v>
          </cell>
          <cell r="N628">
            <v>1</v>
          </cell>
          <cell r="O628">
            <v>112</v>
          </cell>
          <cell r="P628">
            <v>1.51</v>
          </cell>
          <cell r="Q628">
            <v>0</v>
          </cell>
          <cell r="R628">
            <v>1260</v>
          </cell>
          <cell r="S628">
            <v>0</v>
          </cell>
          <cell r="T628">
            <v>10</v>
          </cell>
        </row>
        <row r="629">
          <cell r="A629">
            <v>202</v>
          </cell>
          <cell r="B629">
            <v>175</v>
          </cell>
          <cell r="C629" t="str">
            <v>BATATA P.FRITA QUALITY FRIES CX\6X2KG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21154.55</v>
          </cell>
          <cell r="K629">
            <v>0.28000000000000003</v>
          </cell>
          <cell r="L629">
            <v>251.86</v>
          </cell>
          <cell r="M629">
            <v>0.77</v>
          </cell>
          <cell r="N629">
            <v>2</v>
          </cell>
          <cell r="O629">
            <v>67</v>
          </cell>
          <cell r="P629">
            <v>0.9</v>
          </cell>
          <cell r="Q629">
            <v>0</v>
          </cell>
          <cell r="R629">
            <v>2100</v>
          </cell>
          <cell r="S629">
            <v>0</v>
          </cell>
          <cell r="T629">
            <v>24</v>
          </cell>
        </row>
        <row r="630">
          <cell r="A630">
            <v>2006</v>
          </cell>
          <cell r="B630">
            <v>90.75</v>
          </cell>
          <cell r="C630" t="str">
            <v>PATINHO BOVINO FRIGODIAS KG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3541.78</v>
          </cell>
          <cell r="K630">
            <v>0.05</v>
          </cell>
          <cell r="L630">
            <v>0</v>
          </cell>
          <cell r="M630">
            <v>0</v>
          </cell>
          <cell r="N630">
            <v>0</v>
          </cell>
          <cell r="O630">
            <v>3</v>
          </cell>
          <cell r="P630">
            <v>0.04</v>
          </cell>
          <cell r="Q630">
            <v>0</v>
          </cell>
          <cell r="R630">
            <v>90.75</v>
          </cell>
          <cell r="S630">
            <v>0</v>
          </cell>
          <cell r="T630">
            <v>0</v>
          </cell>
        </row>
        <row r="631">
          <cell r="A631">
            <v>2004</v>
          </cell>
          <cell r="B631">
            <v>23</v>
          </cell>
          <cell r="C631" t="str">
            <v>LING T.PAIO SEARA CX/6X2,5KG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1010.14</v>
          </cell>
          <cell r="K631">
            <v>0.01</v>
          </cell>
          <cell r="L631">
            <v>0</v>
          </cell>
          <cell r="M631">
            <v>0</v>
          </cell>
          <cell r="N631">
            <v>0</v>
          </cell>
          <cell r="O631">
            <v>11</v>
          </cell>
          <cell r="P631">
            <v>0.15</v>
          </cell>
          <cell r="Q631">
            <v>0</v>
          </cell>
          <cell r="R631">
            <v>57.5</v>
          </cell>
          <cell r="S631">
            <v>0</v>
          </cell>
          <cell r="T631">
            <v>0</v>
          </cell>
        </row>
        <row r="632">
          <cell r="A632">
            <v>2001</v>
          </cell>
          <cell r="B632">
            <v>2</v>
          </cell>
          <cell r="C632" t="str">
            <v>CORACAO FRANGO TEMP LAR CX\26X700G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1128.18</v>
          </cell>
          <cell r="K632">
            <v>0.01</v>
          </cell>
          <cell r="L632">
            <v>0</v>
          </cell>
          <cell r="M632">
            <v>0</v>
          </cell>
          <cell r="N632">
            <v>0</v>
          </cell>
          <cell r="O632">
            <v>2</v>
          </cell>
          <cell r="P632">
            <v>0.03</v>
          </cell>
          <cell r="Q632">
            <v>0</v>
          </cell>
          <cell r="R632">
            <v>36.4</v>
          </cell>
          <cell r="S632">
            <v>0</v>
          </cell>
          <cell r="T632">
            <v>0</v>
          </cell>
        </row>
        <row r="633">
          <cell r="A633">
            <v>2000</v>
          </cell>
          <cell r="B633">
            <v>41</v>
          </cell>
          <cell r="C633" t="str">
            <v>COXINHA DA ASA TEMP IQF LAR CX\20X700GR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7376.7</v>
          </cell>
          <cell r="K633">
            <v>0.1</v>
          </cell>
          <cell r="L633">
            <v>0</v>
          </cell>
          <cell r="M633">
            <v>0</v>
          </cell>
          <cell r="N633">
            <v>0</v>
          </cell>
          <cell r="O633">
            <v>33</v>
          </cell>
          <cell r="P633">
            <v>0.44</v>
          </cell>
          <cell r="Q633">
            <v>0</v>
          </cell>
          <cell r="R633">
            <v>574</v>
          </cell>
          <cell r="S633">
            <v>0</v>
          </cell>
          <cell r="T633">
            <v>0</v>
          </cell>
        </row>
        <row r="634">
          <cell r="A634">
            <v>200</v>
          </cell>
          <cell r="B634">
            <v>461</v>
          </cell>
          <cell r="C634" t="str">
            <v>BATATA PALHA EXTRA FINA OURO MINAS 900GR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8374.6200000000008</v>
          </cell>
          <cell r="K634">
            <v>0.11</v>
          </cell>
          <cell r="L634">
            <v>36.700000000000003</v>
          </cell>
          <cell r="M634">
            <v>0.11</v>
          </cell>
          <cell r="N634">
            <v>2</v>
          </cell>
          <cell r="O634">
            <v>77</v>
          </cell>
          <cell r="P634">
            <v>1.04</v>
          </cell>
          <cell r="Q634">
            <v>0</v>
          </cell>
          <cell r="R634">
            <v>414.9</v>
          </cell>
          <cell r="S634">
            <v>0</v>
          </cell>
          <cell r="T634">
            <v>1.8</v>
          </cell>
        </row>
        <row r="635">
          <cell r="A635">
            <v>1998</v>
          </cell>
          <cell r="B635">
            <v>195</v>
          </cell>
          <cell r="C635" t="str">
            <v>ASA FRANGO ENVELOPADA LAR CX\18KG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42459.7</v>
          </cell>
          <cell r="K635">
            <v>0.56000000000000005</v>
          </cell>
          <cell r="L635">
            <v>0</v>
          </cell>
          <cell r="M635">
            <v>0</v>
          </cell>
          <cell r="N635">
            <v>0</v>
          </cell>
          <cell r="O635">
            <v>81</v>
          </cell>
          <cell r="P635">
            <v>1.0900000000000001</v>
          </cell>
          <cell r="Q635">
            <v>0</v>
          </cell>
          <cell r="R635">
            <v>3510</v>
          </cell>
          <cell r="S635">
            <v>0</v>
          </cell>
          <cell r="T635">
            <v>0</v>
          </cell>
        </row>
        <row r="636">
          <cell r="A636">
            <v>1979</v>
          </cell>
          <cell r="B636">
            <v>6</v>
          </cell>
          <cell r="C636" t="str">
            <v>SUCO NECTAR LARANJA TIAL CX\12X1LT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410.55</v>
          </cell>
          <cell r="K636">
            <v>0.01</v>
          </cell>
          <cell r="L636">
            <v>0</v>
          </cell>
          <cell r="M636">
            <v>0</v>
          </cell>
          <cell r="N636">
            <v>0</v>
          </cell>
          <cell r="O636">
            <v>6</v>
          </cell>
          <cell r="P636">
            <v>0.08</v>
          </cell>
          <cell r="Q636">
            <v>0</v>
          </cell>
          <cell r="R636">
            <v>72</v>
          </cell>
          <cell r="S636">
            <v>0</v>
          </cell>
          <cell r="T636">
            <v>0</v>
          </cell>
        </row>
        <row r="637">
          <cell r="A637">
            <v>197</v>
          </cell>
          <cell r="B637">
            <v>156</v>
          </cell>
          <cell r="C637" t="str">
            <v>BATATA PALHA CHEF 400GR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1925.25</v>
          </cell>
          <cell r="K637">
            <v>0.03</v>
          </cell>
          <cell r="L637">
            <v>0</v>
          </cell>
          <cell r="M637">
            <v>0</v>
          </cell>
          <cell r="N637">
            <v>0</v>
          </cell>
          <cell r="O637">
            <v>18</v>
          </cell>
          <cell r="P637">
            <v>0.24</v>
          </cell>
          <cell r="Q637">
            <v>0</v>
          </cell>
          <cell r="R637">
            <v>62.4</v>
          </cell>
          <cell r="S637">
            <v>0</v>
          </cell>
          <cell r="T637">
            <v>0</v>
          </cell>
        </row>
        <row r="638">
          <cell r="A638">
            <v>1965</v>
          </cell>
          <cell r="B638">
            <v>30</v>
          </cell>
          <cell r="C638" t="str">
            <v>CHICKEN CROC CROCANT LEBON 5X1KG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1970.78</v>
          </cell>
          <cell r="K638">
            <v>0.03</v>
          </cell>
          <cell r="L638">
            <v>0</v>
          </cell>
          <cell r="M638">
            <v>0</v>
          </cell>
          <cell r="N638">
            <v>0</v>
          </cell>
          <cell r="O638">
            <v>8</v>
          </cell>
          <cell r="P638">
            <v>0.11</v>
          </cell>
          <cell r="Q638">
            <v>0</v>
          </cell>
          <cell r="R638">
            <v>150</v>
          </cell>
          <cell r="S638">
            <v>0</v>
          </cell>
          <cell r="T638">
            <v>0</v>
          </cell>
        </row>
        <row r="639">
          <cell r="A639">
            <v>193</v>
          </cell>
          <cell r="B639">
            <v>23</v>
          </cell>
          <cell r="C639" t="str">
            <v>COCO RALADO MENINA CX/24X100GR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1693.5</v>
          </cell>
          <cell r="K639">
            <v>0.02</v>
          </cell>
          <cell r="L639">
            <v>0</v>
          </cell>
          <cell r="M639">
            <v>0</v>
          </cell>
          <cell r="N639">
            <v>0</v>
          </cell>
          <cell r="O639">
            <v>21</v>
          </cell>
          <cell r="P639">
            <v>0.28000000000000003</v>
          </cell>
          <cell r="Q639">
            <v>0</v>
          </cell>
          <cell r="R639">
            <v>57.5</v>
          </cell>
          <cell r="S639">
            <v>0</v>
          </cell>
          <cell r="T639">
            <v>0</v>
          </cell>
        </row>
        <row r="640">
          <cell r="A640">
            <v>1928</v>
          </cell>
          <cell r="B640">
            <v>15</v>
          </cell>
          <cell r="C640" t="str">
            <v>ASA FRANGO INTERFOLHADA FREDINI CX\20KG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3554.34</v>
          </cell>
          <cell r="K640">
            <v>0.05</v>
          </cell>
          <cell r="L640">
            <v>235</v>
          </cell>
          <cell r="M640">
            <v>0.71</v>
          </cell>
          <cell r="N640">
            <v>1</v>
          </cell>
          <cell r="O640">
            <v>6</v>
          </cell>
          <cell r="P640">
            <v>0.08</v>
          </cell>
          <cell r="Q640">
            <v>0</v>
          </cell>
          <cell r="R640">
            <v>300</v>
          </cell>
          <cell r="S640">
            <v>0</v>
          </cell>
          <cell r="T640">
            <v>20</v>
          </cell>
        </row>
        <row r="641">
          <cell r="A641">
            <v>192</v>
          </cell>
          <cell r="B641">
            <v>38</v>
          </cell>
          <cell r="C641" t="str">
            <v>COCO FLOCOS UMIDO ADOC. MENINA CX\24X100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3740</v>
          </cell>
          <cell r="K641">
            <v>0.05</v>
          </cell>
          <cell r="L641">
            <v>0</v>
          </cell>
          <cell r="M641">
            <v>0</v>
          </cell>
          <cell r="N641">
            <v>0</v>
          </cell>
          <cell r="O641">
            <v>34</v>
          </cell>
          <cell r="P641">
            <v>0.46</v>
          </cell>
          <cell r="Q641">
            <v>0</v>
          </cell>
          <cell r="R641">
            <v>95</v>
          </cell>
          <cell r="S641">
            <v>0</v>
          </cell>
          <cell r="T641">
            <v>0</v>
          </cell>
        </row>
        <row r="642">
          <cell r="A642">
            <v>191</v>
          </cell>
          <cell r="B642">
            <v>27</v>
          </cell>
          <cell r="C642" t="str">
            <v>LEITE DE COCO MENINA CX/24X200ML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2045.89</v>
          </cell>
          <cell r="K642">
            <v>0.03</v>
          </cell>
          <cell r="L642">
            <v>75.459999999999994</v>
          </cell>
          <cell r="M642">
            <v>0.23</v>
          </cell>
          <cell r="N642">
            <v>1</v>
          </cell>
          <cell r="O642">
            <v>27</v>
          </cell>
          <cell r="P642">
            <v>0.36</v>
          </cell>
          <cell r="Q642">
            <v>0</v>
          </cell>
          <cell r="R642">
            <v>135</v>
          </cell>
          <cell r="S642">
            <v>0</v>
          </cell>
          <cell r="T642">
            <v>5</v>
          </cell>
        </row>
        <row r="643">
          <cell r="A643">
            <v>1905</v>
          </cell>
          <cell r="B643">
            <v>3</v>
          </cell>
          <cell r="C643" t="str">
            <v>PANELINHA FRICASSE FRANGO SEARA 12X300GR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287.27999999999997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1</v>
          </cell>
          <cell r="P643">
            <v>0.01</v>
          </cell>
          <cell r="Q643">
            <v>0</v>
          </cell>
          <cell r="R643">
            <v>10.8</v>
          </cell>
          <cell r="S643">
            <v>0</v>
          </cell>
          <cell r="T643">
            <v>0</v>
          </cell>
        </row>
        <row r="644">
          <cell r="A644">
            <v>1903</v>
          </cell>
          <cell r="B644">
            <v>0</v>
          </cell>
          <cell r="C644" t="str">
            <v>PANELINHA CALDO FEIJAO C/BACON  12X300GR</v>
          </cell>
          <cell r="D644">
            <v>254.23</v>
          </cell>
          <cell r="E644">
            <v>0.01</v>
          </cell>
          <cell r="F644">
            <v>2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1</v>
          </cell>
          <cell r="P644">
            <v>0.01</v>
          </cell>
          <cell r="Q644">
            <v>7.2</v>
          </cell>
          <cell r="R644">
            <v>0</v>
          </cell>
          <cell r="S644">
            <v>0</v>
          </cell>
          <cell r="T644">
            <v>0</v>
          </cell>
        </row>
        <row r="645">
          <cell r="A645">
            <v>1901</v>
          </cell>
          <cell r="B645">
            <v>1</v>
          </cell>
          <cell r="C645" t="str">
            <v>PANELINHA ARROZ CARRETEIRO SEARA 12X300G</v>
          </cell>
          <cell r="D645">
            <v>491.83</v>
          </cell>
          <cell r="E645">
            <v>0.01</v>
          </cell>
          <cell r="F645">
            <v>3</v>
          </cell>
          <cell r="G645">
            <v>0</v>
          </cell>
          <cell r="H645">
            <v>0</v>
          </cell>
          <cell r="I645">
            <v>0</v>
          </cell>
          <cell r="J645">
            <v>154.80000000000001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2</v>
          </cell>
          <cell r="P645">
            <v>0.03</v>
          </cell>
          <cell r="Q645">
            <v>10.8</v>
          </cell>
          <cell r="R645">
            <v>3.6</v>
          </cell>
          <cell r="S645">
            <v>0</v>
          </cell>
          <cell r="T645">
            <v>0</v>
          </cell>
        </row>
        <row r="646">
          <cell r="A646">
            <v>190</v>
          </cell>
          <cell r="B646">
            <v>153</v>
          </cell>
          <cell r="C646" t="str">
            <v>EXTRATO TOMATE COPO OLE CX\12X190G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5113.6000000000004</v>
          </cell>
          <cell r="K646">
            <v>7.0000000000000007E-2</v>
          </cell>
          <cell r="L646">
            <v>33.32</v>
          </cell>
          <cell r="M646">
            <v>0.1</v>
          </cell>
          <cell r="N646">
            <v>1</v>
          </cell>
          <cell r="O646">
            <v>68</v>
          </cell>
          <cell r="P646">
            <v>0.92</v>
          </cell>
          <cell r="Q646">
            <v>0</v>
          </cell>
          <cell r="R646">
            <v>535.5</v>
          </cell>
          <cell r="S646">
            <v>0</v>
          </cell>
          <cell r="T646">
            <v>3.5</v>
          </cell>
        </row>
        <row r="647">
          <cell r="A647">
            <v>1894</v>
          </cell>
          <cell r="B647">
            <v>0</v>
          </cell>
          <cell r="C647" t="str">
            <v>PANELINHA ESCONDIDINHO CARNE MOIDA SEARA 12X300GR</v>
          </cell>
          <cell r="D647">
            <v>327.89</v>
          </cell>
          <cell r="E647">
            <v>0.01</v>
          </cell>
          <cell r="F647">
            <v>2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1</v>
          </cell>
          <cell r="P647">
            <v>0.01</v>
          </cell>
          <cell r="Q647">
            <v>7.2</v>
          </cell>
          <cell r="R647">
            <v>0</v>
          </cell>
          <cell r="S647">
            <v>0</v>
          </cell>
          <cell r="T647">
            <v>0</v>
          </cell>
        </row>
        <row r="648">
          <cell r="A648">
            <v>189</v>
          </cell>
          <cell r="B648">
            <v>60</v>
          </cell>
          <cell r="C648" t="str">
            <v>EXTRATO TOMATE COPO OLE CX/12X260G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2377.5</v>
          </cell>
          <cell r="K648">
            <v>0.03</v>
          </cell>
          <cell r="L648">
            <v>0</v>
          </cell>
          <cell r="M648">
            <v>0</v>
          </cell>
          <cell r="N648">
            <v>0</v>
          </cell>
          <cell r="O648">
            <v>29</v>
          </cell>
          <cell r="P648">
            <v>0.39</v>
          </cell>
          <cell r="Q648">
            <v>0</v>
          </cell>
          <cell r="R648">
            <v>270</v>
          </cell>
          <cell r="S648">
            <v>0</v>
          </cell>
          <cell r="T648">
            <v>0</v>
          </cell>
        </row>
        <row r="649">
          <cell r="A649">
            <v>188</v>
          </cell>
          <cell r="B649">
            <v>21</v>
          </cell>
          <cell r="C649" t="str">
            <v>MOLHO TOMATE PIZZA STELLA DORO SACHE CX/8X1,7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206.1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5</v>
          </cell>
          <cell r="P649">
            <v>7.0000000000000007E-2</v>
          </cell>
          <cell r="Q649">
            <v>0</v>
          </cell>
          <cell r="R649">
            <v>35.700000000000003</v>
          </cell>
          <cell r="S649">
            <v>0</v>
          </cell>
          <cell r="T649">
            <v>0</v>
          </cell>
        </row>
        <row r="650">
          <cell r="A650">
            <v>187</v>
          </cell>
          <cell r="B650">
            <v>174</v>
          </cell>
          <cell r="C650" t="str">
            <v>MOLHO TOMATE SACHE STELLA CX\32X300G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7158.96</v>
          </cell>
          <cell r="K650">
            <v>0.09</v>
          </cell>
          <cell r="L650">
            <v>0</v>
          </cell>
          <cell r="M650">
            <v>0</v>
          </cell>
          <cell r="N650">
            <v>0</v>
          </cell>
          <cell r="O650">
            <v>128</v>
          </cell>
          <cell r="P650">
            <v>1.72</v>
          </cell>
          <cell r="Q650">
            <v>0</v>
          </cell>
          <cell r="R650">
            <v>1670.4</v>
          </cell>
          <cell r="S650">
            <v>0</v>
          </cell>
          <cell r="T650">
            <v>0</v>
          </cell>
        </row>
        <row r="651">
          <cell r="A651">
            <v>186</v>
          </cell>
          <cell r="B651">
            <v>441</v>
          </cell>
          <cell r="C651" t="str">
            <v>MOLHO TOMATE SALSARETTI SACHE CX6X1,7KG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4275.2</v>
          </cell>
          <cell r="K651">
            <v>0.06</v>
          </cell>
          <cell r="L651">
            <v>58.8</v>
          </cell>
          <cell r="M651">
            <v>0.18</v>
          </cell>
          <cell r="N651">
            <v>6</v>
          </cell>
          <cell r="O651">
            <v>55</v>
          </cell>
          <cell r="P651">
            <v>0.74</v>
          </cell>
          <cell r="Q651">
            <v>0</v>
          </cell>
          <cell r="R651">
            <v>749.7</v>
          </cell>
          <cell r="S651">
            <v>0</v>
          </cell>
          <cell r="T651">
            <v>10.199999999999999</v>
          </cell>
        </row>
        <row r="652">
          <cell r="A652">
            <v>183</v>
          </cell>
          <cell r="B652">
            <v>80</v>
          </cell>
          <cell r="C652" t="str">
            <v>MOLHO BARBECUE GALAO DAJUDA 3,6KG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2052.6999999999998</v>
          </cell>
          <cell r="K652">
            <v>0.03</v>
          </cell>
          <cell r="L652">
            <v>0</v>
          </cell>
          <cell r="M652">
            <v>0</v>
          </cell>
          <cell r="N652">
            <v>0</v>
          </cell>
          <cell r="O652">
            <v>23</v>
          </cell>
          <cell r="P652">
            <v>0.31</v>
          </cell>
          <cell r="Q652">
            <v>0</v>
          </cell>
          <cell r="R652">
            <v>288</v>
          </cell>
          <cell r="S652">
            <v>0</v>
          </cell>
          <cell r="T652">
            <v>0</v>
          </cell>
        </row>
        <row r="653">
          <cell r="A653">
            <v>178</v>
          </cell>
          <cell r="B653">
            <v>1082</v>
          </cell>
          <cell r="C653" t="str">
            <v>KETCHUP GALÃO LANCHERO  3KG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12828</v>
          </cell>
          <cell r="K653">
            <v>0.17</v>
          </cell>
          <cell r="L653">
            <v>72</v>
          </cell>
          <cell r="M653">
            <v>0.22</v>
          </cell>
          <cell r="N653">
            <v>6</v>
          </cell>
          <cell r="O653">
            <v>210</v>
          </cell>
          <cell r="P653">
            <v>2.83</v>
          </cell>
          <cell r="Q653">
            <v>0</v>
          </cell>
          <cell r="R653">
            <v>3246</v>
          </cell>
          <cell r="S653">
            <v>0</v>
          </cell>
          <cell r="T653">
            <v>18</v>
          </cell>
        </row>
        <row r="654">
          <cell r="A654">
            <v>1776</v>
          </cell>
          <cell r="B654">
            <v>3</v>
          </cell>
          <cell r="C654" t="str">
            <v>ASA FRANGO ENVELOPADA ATALAIA CX\20KG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754.8</v>
          </cell>
          <cell r="K654">
            <v>0.01</v>
          </cell>
          <cell r="L654">
            <v>0</v>
          </cell>
          <cell r="M654">
            <v>0</v>
          </cell>
          <cell r="N654">
            <v>0</v>
          </cell>
          <cell r="O654">
            <v>3</v>
          </cell>
          <cell r="P654">
            <v>0.04</v>
          </cell>
          <cell r="Q654">
            <v>0</v>
          </cell>
          <cell r="R654">
            <v>60</v>
          </cell>
          <cell r="S654">
            <v>0</v>
          </cell>
          <cell r="T654">
            <v>0</v>
          </cell>
        </row>
        <row r="655">
          <cell r="A655">
            <v>1748</v>
          </cell>
          <cell r="B655">
            <v>38</v>
          </cell>
          <cell r="C655" t="str">
            <v>SAMBIQUIRA FRANGO ATALAIA CX/20KG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2994.8</v>
          </cell>
          <cell r="K655">
            <v>0.04</v>
          </cell>
          <cell r="L655">
            <v>235.2</v>
          </cell>
          <cell r="M655">
            <v>0.71</v>
          </cell>
          <cell r="N655">
            <v>3</v>
          </cell>
          <cell r="O655">
            <v>26</v>
          </cell>
          <cell r="P655">
            <v>0.35</v>
          </cell>
          <cell r="Q655">
            <v>0</v>
          </cell>
          <cell r="R655">
            <v>760</v>
          </cell>
          <cell r="S655">
            <v>0</v>
          </cell>
          <cell r="T655">
            <v>60</v>
          </cell>
        </row>
        <row r="656">
          <cell r="A656">
            <v>171</v>
          </cell>
          <cell r="B656">
            <v>74</v>
          </cell>
          <cell r="C656" t="str">
            <v>MAIONESE HELLMANNS CX\12X500G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8261.6</v>
          </cell>
          <cell r="K656">
            <v>0.11</v>
          </cell>
          <cell r="L656">
            <v>0</v>
          </cell>
          <cell r="M656">
            <v>0</v>
          </cell>
          <cell r="N656">
            <v>0</v>
          </cell>
          <cell r="O656">
            <v>65</v>
          </cell>
          <cell r="P656">
            <v>0.88</v>
          </cell>
          <cell r="Q656">
            <v>0</v>
          </cell>
          <cell r="R656">
            <v>444</v>
          </cell>
          <cell r="S656">
            <v>0</v>
          </cell>
          <cell r="T656">
            <v>0</v>
          </cell>
        </row>
        <row r="657">
          <cell r="A657">
            <v>170</v>
          </cell>
          <cell r="B657">
            <v>2</v>
          </cell>
          <cell r="C657" t="str">
            <v>MAIONESE BOX DAJUDA 3KG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55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2</v>
          </cell>
          <cell r="P657">
            <v>0.03</v>
          </cell>
          <cell r="Q657">
            <v>0</v>
          </cell>
          <cell r="R657">
            <v>6</v>
          </cell>
          <cell r="S657">
            <v>0</v>
          </cell>
          <cell r="T657">
            <v>0</v>
          </cell>
        </row>
        <row r="658">
          <cell r="A658">
            <v>17</v>
          </cell>
          <cell r="B658">
            <v>103</v>
          </cell>
          <cell r="C658" t="str">
            <v>BEB.LACTEA BLACK CEMIL CX\27X200ML</v>
          </cell>
          <cell r="D658">
            <v>6004.1</v>
          </cell>
          <cell r="E658">
            <v>0.14000000000000001</v>
          </cell>
          <cell r="F658">
            <v>165</v>
          </cell>
          <cell r="G658">
            <v>0</v>
          </cell>
          <cell r="H658">
            <v>0</v>
          </cell>
          <cell r="I658">
            <v>0</v>
          </cell>
          <cell r="J658">
            <v>4456.1400000000003</v>
          </cell>
          <cell r="K658">
            <v>0.06</v>
          </cell>
          <cell r="L658">
            <v>0</v>
          </cell>
          <cell r="M658">
            <v>0</v>
          </cell>
          <cell r="N658">
            <v>0</v>
          </cell>
          <cell r="O658">
            <v>64</v>
          </cell>
          <cell r="P658">
            <v>0.86</v>
          </cell>
          <cell r="Q658">
            <v>990</v>
          </cell>
          <cell r="R658">
            <v>618</v>
          </cell>
          <cell r="S658">
            <v>0</v>
          </cell>
          <cell r="T658">
            <v>0</v>
          </cell>
        </row>
        <row r="659">
          <cell r="A659">
            <v>1677</v>
          </cell>
          <cell r="B659">
            <v>129</v>
          </cell>
          <cell r="C659" t="str">
            <v>ASA FRANGO PCT FREDINI CX\20KG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30974.04</v>
          </cell>
          <cell r="K659">
            <v>0.41</v>
          </cell>
          <cell r="L659">
            <v>717.06</v>
          </cell>
          <cell r="M659">
            <v>2.1800000000000002</v>
          </cell>
          <cell r="N659">
            <v>3</v>
          </cell>
          <cell r="O659">
            <v>90</v>
          </cell>
          <cell r="P659">
            <v>1.21</v>
          </cell>
          <cell r="Q659">
            <v>0</v>
          </cell>
          <cell r="R659">
            <v>2580</v>
          </cell>
          <cell r="S659">
            <v>0</v>
          </cell>
          <cell r="T659">
            <v>60</v>
          </cell>
        </row>
        <row r="660">
          <cell r="A660">
            <v>1676</v>
          </cell>
          <cell r="B660">
            <v>28.44</v>
          </cell>
          <cell r="C660" t="str">
            <v>BARRIGA SUINA TEMP. SEALI CX/KG</v>
          </cell>
          <cell r="D660">
            <v>3644.87</v>
          </cell>
          <cell r="E660">
            <v>0.09</v>
          </cell>
          <cell r="F660">
            <v>200.5</v>
          </cell>
          <cell r="G660">
            <v>0</v>
          </cell>
          <cell r="H660">
            <v>0</v>
          </cell>
          <cell r="I660">
            <v>0</v>
          </cell>
          <cell r="J660">
            <v>636.76</v>
          </cell>
          <cell r="K660">
            <v>0.01</v>
          </cell>
          <cell r="L660">
            <v>0</v>
          </cell>
          <cell r="M660">
            <v>0</v>
          </cell>
          <cell r="N660">
            <v>0</v>
          </cell>
          <cell r="O660">
            <v>3</v>
          </cell>
          <cell r="P660">
            <v>0.04</v>
          </cell>
          <cell r="Q660">
            <v>200.5</v>
          </cell>
          <cell r="R660">
            <v>28.44</v>
          </cell>
          <cell r="S660">
            <v>0</v>
          </cell>
          <cell r="T660">
            <v>0</v>
          </cell>
        </row>
        <row r="661">
          <cell r="A661">
            <v>166</v>
          </cell>
          <cell r="B661">
            <v>87</v>
          </cell>
          <cell r="C661" t="str">
            <v>SARDINHA NAUTIQUE OLEO CX/25X125GR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9587.2000000000007</v>
          </cell>
          <cell r="K661">
            <v>0.13</v>
          </cell>
          <cell r="L661">
            <v>0</v>
          </cell>
          <cell r="M661">
            <v>0</v>
          </cell>
          <cell r="N661">
            <v>0</v>
          </cell>
          <cell r="O661">
            <v>74</v>
          </cell>
          <cell r="P661">
            <v>1</v>
          </cell>
          <cell r="Q661">
            <v>0</v>
          </cell>
          <cell r="R661">
            <v>565.5</v>
          </cell>
          <cell r="S661">
            <v>0</v>
          </cell>
          <cell r="T661">
            <v>0</v>
          </cell>
        </row>
        <row r="662">
          <cell r="A662">
            <v>165</v>
          </cell>
          <cell r="B662">
            <v>54</v>
          </cell>
          <cell r="C662" t="str">
            <v>SARDINHA NAUTIQUE MOLHO CX/25X125GR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5829.99</v>
          </cell>
          <cell r="K662">
            <v>0.08</v>
          </cell>
          <cell r="L662">
            <v>0</v>
          </cell>
          <cell r="M662">
            <v>0</v>
          </cell>
          <cell r="N662">
            <v>0</v>
          </cell>
          <cell r="O662">
            <v>49</v>
          </cell>
          <cell r="P662">
            <v>0.66</v>
          </cell>
          <cell r="Q662">
            <v>0</v>
          </cell>
          <cell r="R662">
            <v>351</v>
          </cell>
          <cell r="S662">
            <v>0</v>
          </cell>
          <cell r="T662">
            <v>0</v>
          </cell>
        </row>
        <row r="663">
          <cell r="A663">
            <v>1648</v>
          </cell>
          <cell r="B663">
            <v>8</v>
          </cell>
          <cell r="C663" t="str">
            <v>FILEZINHO SASSAMI IQF SEARA CX\12KG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1679.3</v>
          </cell>
          <cell r="K663">
            <v>0.02</v>
          </cell>
          <cell r="L663">
            <v>0</v>
          </cell>
          <cell r="M663">
            <v>0</v>
          </cell>
          <cell r="N663">
            <v>0</v>
          </cell>
          <cell r="O663">
            <v>4</v>
          </cell>
          <cell r="P663">
            <v>0.05</v>
          </cell>
          <cell r="Q663">
            <v>0</v>
          </cell>
          <cell r="R663">
            <v>96</v>
          </cell>
          <cell r="S663">
            <v>0</v>
          </cell>
          <cell r="T663">
            <v>0</v>
          </cell>
        </row>
        <row r="664">
          <cell r="A664">
            <v>1640</v>
          </cell>
          <cell r="B664">
            <v>1</v>
          </cell>
          <cell r="C664" t="str">
            <v>PEIXE DOURADA POSTA PEIXE&amp;CIA CX\20X1KG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607.6</v>
          </cell>
          <cell r="K664">
            <v>0.01</v>
          </cell>
          <cell r="L664">
            <v>0</v>
          </cell>
          <cell r="M664">
            <v>0</v>
          </cell>
          <cell r="N664">
            <v>0</v>
          </cell>
          <cell r="O664">
            <v>1</v>
          </cell>
          <cell r="P664">
            <v>0.01</v>
          </cell>
          <cell r="Q664">
            <v>0</v>
          </cell>
          <cell r="R664">
            <v>20</v>
          </cell>
          <cell r="S664">
            <v>0</v>
          </cell>
          <cell r="T664">
            <v>0</v>
          </cell>
        </row>
        <row r="665">
          <cell r="A665">
            <v>1632</v>
          </cell>
          <cell r="B665">
            <v>20</v>
          </cell>
          <cell r="C665" t="str">
            <v>COXA SOBRECOXA ENVEL  FREDINI CX 20KG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2938.26</v>
          </cell>
          <cell r="K665">
            <v>0.04</v>
          </cell>
          <cell r="L665">
            <v>0</v>
          </cell>
          <cell r="M665">
            <v>0</v>
          </cell>
          <cell r="N665">
            <v>0</v>
          </cell>
          <cell r="O665">
            <v>13</v>
          </cell>
          <cell r="P665">
            <v>0.18</v>
          </cell>
          <cell r="Q665">
            <v>0</v>
          </cell>
          <cell r="R665">
            <v>400</v>
          </cell>
          <cell r="S665">
            <v>0</v>
          </cell>
          <cell r="T665">
            <v>0</v>
          </cell>
        </row>
        <row r="666">
          <cell r="A666">
            <v>1628</v>
          </cell>
          <cell r="B666">
            <v>57.26</v>
          </cell>
          <cell r="C666" t="str">
            <v>FRANGO CONG.S\MIUDOS DAGRANJA KG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655.95</v>
          </cell>
          <cell r="K666">
            <v>0.01</v>
          </cell>
          <cell r="L666">
            <v>0</v>
          </cell>
          <cell r="M666">
            <v>0</v>
          </cell>
          <cell r="N666">
            <v>0</v>
          </cell>
          <cell r="O666">
            <v>2</v>
          </cell>
          <cell r="P666">
            <v>0.03</v>
          </cell>
          <cell r="Q666">
            <v>0</v>
          </cell>
          <cell r="R666">
            <v>57.26</v>
          </cell>
          <cell r="S666">
            <v>0</v>
          </cell>
          <cell r="T666">
            <v>0</v>
          </cell>
        </row>
        <row r="667">
          <cell r="A667">
            <v>162</v>
          </cell>
          <cell r="B667">
            <v>1032</v>
          </cell>
          <cell r="C667" t="str">
            <v>SALSICHA SEARA CX\4X5KG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39272.6</v>
          </cell>
          <cell r="K667">
            <v>0.51</v>
          </cell>
          <cell r="L667">
            <v>114.66</v>
          </cell>
          <cell r="M667">
            <v>0.35</v>
          </cell>
          <cell r="N667">
            <v>3</v>
          </cell>
          <cell r="O667">
            <v>289</v>
          </cell>
          <cell r="P667">
            <v>3.89</v>
          </cell>
          <cell r="Q667">
            <v>0</v>
          </cell>
          <cell r="R667">
            <v>5160</v>
          </cell>
          <cell r="S667">
            <v>0</v>
          </cell>
          <cell r="T667">
            <v>15</v>
          </cell>
        </row>
        <row r="668">
          <cell r="A668">
            <v>161</v>
          </cell>
          <cell r="B668">
            <v>951</v>
          </cell>
          <cell r="C668" t="str">
            <v>SALSICHA PIF PAF CX\4X3,3KG</v>
          </cell>
          <cell r="D668">
            <v>9999.4699999999993</v>
          </cell>
          <cell r="E668">
            <v>0.23</v>
          </cell>
          <cell r="F668">
            <v>400</v>
          </cell>
          <cell r="G668">
            <v>0</v>
          </cell>
          <cell r="H668">
            <v>0</v>
          </cell>
          <cell r="I668">
            <v>0</v>
          </cell>
          <cell r="J668">
            <v>27148.7</v>
          </cell>
          <cell r="K668">
            <v>0.36</v>
          </cell>
          <cell r="L668">
            <v>0</v>
          </cell>
          <cell r="M668">
            <v>0</v>
          </cell>
          <cell r="N668">
            <v>0</v>
          </cell>
          <cell r="O668">
            <v>199</v>
          </cell>
          <cell r="P668">
            <v>2.68</v>
          </cell>
          <cell r="Q668">
            <v>1320</v>
          </cell>
          <cell r="R668">
            <v>3138.3</v>
          </cell>
          <cell r="S668">
            <v>0</v>
          </cell>
          <cell r="T668">
            <v>0</v>
          </cell>
        </row>
        <row r="669">
          <cell r="A669">
            <v>1608</v>
          </cell>
          <cell r="B669">
            <v>17</v>
          </cell>
          <cell r="C669" t="str">
            <v>STEAK RECHEADO CHEDDER\BACON SEARA CX\25X110GR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1551.38</v>
          </cell>
          <cell r="K669">
            <v>0.02</v>
          </cell>
          <cell r="L669">
            <v>0</v>
          </cell>
          <cell r="M669">
            <v>0</v>
          </cell>
          <cell r="N669">
            <v>0</v>
          </cell>
          <cell r="O669">
            <v>17</v>
          </cell>
          <cell r="P669">
            <v>0.23</v>
          </cell>
          <cell r="Q669">
            <v>0</v>
          </cell>
          <cell r="R669">
            <v>46.75</v>
          </cell>
          <cell r="S669">
            <v>0</v>
          </cell>
          <cell r="T669">
            <v>0</v>
          </cell>
        </row>
        <row r="670">
          <cell r="A670">
            <v>1607</v>
          </cell>
          <cell r="B670">
            <v>247.47</v>
          </cell>
          <cell r="C670" t="str">
            <v>BACON MANTA SEARA KG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7469.21</v>
          </cell>
          <cell r="K670">
            <v>0.1</v>
          </cell>
          <cell r="L670">
            <v>0</v>
          </cell>
          <cell r="M670">
            <v>0</v>
          </cell>
          <cell r="N670">
            <v>0</v>
          </cell>
          <cell r="O670">
            <v>11</v>
          </cell>
          <cell r="P670">
            <v>0.15</v>
          </cell>
          <cell r="Q670">
            <v>0</v>
          </cell>
          <cell r="R670">
            <v>247.47</v>
          </cell>
          <cell r="S670">
            <v>0</v>
          </cell>
          <cell r="T670">
            <v>0</v>
          </cell>
        </row>
        <row r="671">
          <cell r="A671">
            <v>1606</v>
          </cell>
          <cell r="B671">
            <v>48</v>
          </cell>
          <cell r="C671" t="str">
            <v>GALO GORDO NOROESTE CX/18KG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5481.81</v>
          </cell>
          <cell r="K671">
            <v>7.0000000000000007E-2</v>
          </cell>
          <cell r="L671">
            <v>0</v>
          </cell>
          <cell r="M671">
            <v>0</v>
          </cell>
          <cell r="N671">
            <v>0</v>
          </cell>
          <cell r="O671">
            <v>32</v>
          </cell>
          <cell r="P671">
            <v>0.43</v>
          </cell>
          <cell r="Q671">
            <v>0</v>
          </cell>
          <cell r="R671">
            <v>864</v>
          </cell>
          <cell r="S671">
            <v>0</v>
          </cell>
          <cell r="T671">
            <v>0</v>
          </cell>
        </row>
        <row r="672">
          <cell r="A672">
            <v>1605</v>
          </cell>
          <cell r="B672">
            <v>78</v>
          </cell>
          <cell r="C672" t="str">
            <v>GALO GORDO NOROESTE CX/20KG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9886.24</v>
          </cell>
          <cell r="K672">
            <v>0.13</v>
          </cell>
          <cell r="L672">
            <v>0</v>
          </cell>
          <cell r="M672">
            <v>0</v>
          </cell>
          <cell r="N672">
            <v>0</v>
          </cell>
          <cell r="O672">
            <v>55</v>
          </cell>
          <cell r="P672">
            <v>0.74</v>
          </cell>
          <cell r="Q672">
            <v>0</v>
          </cell>
          <cell r="R672">
            <v>1560</v>
          </cell>
          <cell r="S672">
            <v>0</v>
          </cell>
          <cell r="T672">
            <v>0</v>
          </cell>
        </row>
        <row r="673">
          <cell r="A673">
            <v>1604</v>
          </cell>
          <cell r="B673">
            <v>87</v>
          </cell>
          <cell r="C673" t="str">
            <v>GALINHA GORDA NOROESTE CX/20KG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14982.51</v>
          </cell>
          <cell r="K673">
            <v>0.2</v>
          </cell>
          <cell r="L673">
            <v>0</v>
          </cell>
          <cell r="M673">
            <v>0</v>
          </cell>
          <cell r="N673">
            <v>0</v>
          </cell>
          <cell r="O673">
            <v>67</v>
          </cell>
          <cell r="P673">
            <v>0.9</v>
          </cell>
          <cell r="Q673">
            <v>0</v>
          </cell>
          <cell r="R673">
            <v>1740</v>
          </cell>
          <cell r="S673">
            <v>0</v>
          </cell>
          <cell r="T673">
            <v>0</v>
          </cell>
        </row>
        <row r="674">
          <cell r="A674">
            <v>1603</v>
          </cell>
          <cell r="B674">
            <v>0</v>
          </cell>
          <cell r="C674" t="str">
            <v>PATE FRANGO LEBON CX/30X100GR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63.7</v>
          </cell>
          <cell r="M674">
            <v>0.19</v>
          </cell>
          <cell r="N674">
            <v>1</v>
          </cell>
          <cell r="O674">
            <v>1</v>
          </cell>
          <cell r="P674">
            <v>0.01</v>
          </cell>
          <cell r="Q674">
            <v>0</v>
          </cell>
          <cell r="R674">
            <v>0</v>
          </cell>
          <cell r="S674">
            <v>0</v>
          </cell>
          <cell r="T674">
            <v>3</v>
          </cell>
        </row>
        <row r="675">
          <cell r="A675">
            <v>1600</v>
          </cell>
          <cell r="B675">
            <v>11</v>
          </cell>
          <cell r="C675" t="str">
            <v>PEIXE TRAIRA DESOSSADA CX\20KG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6737.5</v>
          </cell>
          <cell r="K675">
            <v>0.09</v>
          </cell>
          <cell r="L675">
            <v>612.5</v>
          </cell>
          <cell r="M675">
            <v>1.86</v>
          </cell>
          <cell r="N675">
            <v>1</v>
          </cell>
          <cell r="O675">
            <v>9</v>
          </cell>
          <cell r="P675">
            <v>0.12</v>
          </cell>
          <cell r="Q675">
            <v>0</v>
          </cell>
          <cell r="R675">
            <v>220</v>
          </cell>
          <cell r="S675">
            <v>0</v>
          </cell>
          <cell r="T675">
            <v>20</v>
          </cell>
        </row>
        <row r="676">
          <cell r="A676">
            <v>160</v>
          </cell>
          <cell r="B676">
            <v>38</v>
          </cell>
          <cell r="C676" t="str">
            <v>SALSICHA T.VIENA LT FRISA CX\24X180GR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3368.23</v>
          </cell>
          <cell r="K676">
            <v>0.04</v>
          </cell>
          <cell r="L676">
            <v>0</v>
          </cell>
          <cell r="M676">
            <v>0</v>
          </cell>
          <cell r="N676">
            <v>0</v>
          </cell>
          <cell r="O676">
            <v>22</v>
          </cell>
          <cell r="P676">
            <v>0.3</v>
          </cell>
          <cell r="Q676">
            <v>0</v>
          </cell>
          <cell r="R676">
            <v>247</v>
          </cell>
          <cell r="S676">
            <v>0</v>
          </cell>
          <cell r="T676">
            <v>0</v>
          </cell>
        </row>
        <row r="677">
          <cell r="A677">
            <v>16</v>
          </cell>
          <cell r="B677">
            <v>295</v>
          </cell>
          <cell r="C677" t="str">
            <v>BEB.LACTEA CHOCOLATE CEMIL CX\27/200ML</v>
          </cell>
          <cell r="D677">
            <v>4048.21</v>
          </cell>
          <cell r="E677">
            <v>0.09</v>
          </cell>
          <cell r="F677">
            <v>165</v>
          </cell>
          <cell r="G677">
            <v>0</v>
          </cell>
          <cell r="H677">
            <v>0</v>
          </cell>
          <cell r="I677">
            <v>0</v>
          </cell>
          <cell r="J677">
            <v>8820.39</v>
          </cell>
          <cell r="K677">
            <v>0.12</v>
          </cell>
          <cell r="L677">
            <v>30.4</v>
          </cell>
          <cell r="M677">
            <v>0.09</v>
          </cell>
          <cell r="N677">
            <v>1</v>
          </cell>
          <cell r="O677">
            <v>134</v>
          </cell>
          <cell r="P677">
            <v>1.8</v>
          </cell>
          <cell r="Q677">
            <v>990</v>
          </cell>
          <cell r="R677">
            <v>1770</v>
          </cell>
          <cell r="S677">
            <v>0</v>
          </cell>
          <cell r="T677">
            <v>6</v>
          </cell>
        </row>
        <row r="678">
          <cell r="A678">
            <v>1561</v>
          </cell>
          <cell r="B678">
            <v>4</v>
          </cell>
          <cell r="C678" t="str">
            <v>FRANGO CONG.FREDINI CX/20KG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636</v>
          </cell>
          <cell r="K678">
            <v>0.01</v>
          </cell>
          <cell r="L678">
            <v>0</v>
          </cell>
          <cell r="M678">
            <v>0</v>
          </cell>
          <cell r="N678">
            <v>0</v>
          </cell>
          <cell r="O678">
            <v>3</v>
          </cell>
          <cell r="P678">
            <v>0.04</v>
          </cell>
          <cell r="Q678">
            <v>0</v>
          </cell>
          <cell r="R678">
            <v>80</v>
          </cell>
          <cell r="S678">
            <v>0</v>
          </cell>
          <cell r="T678">
            <v>0</v>
          </cell>
        </row>
        <row r="679">
          <cell r="A679">
            <v>1522</v>
          </cell>
          <cell r="B679">
            <v>314.04000000000002</v>
          </cell>
          <cell r="C679" t="str">
            <v>BACON PALETA SEM PELE UAI KG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7399.45</v>
          </cell>
          <cell r="K679">
            <v>0.1</v>
          </cell>
          <cell r="L679">
            <v>0</v>
          </cell>
          <cell r="M679">
            <v>0</v>
          </cell>
          <cell r="N679">
            <v>0</v>
          </cell>
          <cell r="O679">
            <v>10</v>
          </cell>
          <cell r="P679">
            <v>0.13</v>
          </cell>
          <cell r="Q679">
            <v>0</v>
          </cell>
          <cell r="R679">
            <v>314.04000000000002</v>
          </cell>
          <cell r="S679">
            <v>0</v>
          </cell>
          <cell r="T679">
            <v>0</v>
          </cell>
        </row>
        <row r="680">
          <cell r="A680">
            <v>152</v>
          </cell>
          <cell r="B680">
            <v>22</v>
          </cell>
          <cell r="C680" t="str">
            <v>AZEITE COCINEIRO EXTRA VIRGEM 6X500ML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3437.58</v>
          </cell>
          <cell r="K680">
            <v>0.05</v>
          </cell>
          <cell r="L680">
            <v>0</v>
          </cell>
          <cell r="M680">
            <v>0</v>
          </cell>
          <cell r="N680">
            <v>0</v>
          </cell>
          <cell r="O680">
            <v>17</v>
          </cell>
          <cell r="P680">
            <v>0.23</v>
          </cell>
          <cell r="Q680">
            <v>0</v>
          </cell>
          <cell r="R680">
            <v>66</v>
          </cell>
          <cell r="S680">
            <v>0</v>
          </cell>
          <cell r="T680">
            <v>0</v>
          </cell>
        </row>
        <row r="681">
          <cell r="A681">
            <v>15</v>
          </cell>
          <cell r="B681">
            <v>112</v>
          </cell>
          <cell r="C681" t="str">
            <v>BEB.LACTEA CAPPUCCINO CEMIL CX\27X190ML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4966.2</v>
          </cell>
          <cell r="K681">
            <v>7.0000000000000007E-2</v>
          </cell>
          <cell r="L681">
            <v>0</v>
          </cell>
          <cell r="M681">
            <v>0</v>
          </cell>
          <cell r="N681">
            <v>0</v>
          </cell>
          <cell r="O681">
            <v>75</v>
          </cell>
          <cell r="P681">
            <v>1.01</v>
          </cell>
          <cell r="Q681">
            <v>0</v>
          </cell>
          <cell r="R681">
            <v>672</v>
          </cell>
          <cell r="S681">
            <v>0</v>
          </cell>
          <cell r="T681">
            <v>0</v>
          </cell>
        </row>
        <row r="682">
          <cell r="A682">
            <v>1486</v>
          </cell>
          <cell r="B682">
            <v>86</v>
          </cell>
          <cell r="C682" t="str">
            <v>MAIONESE SACHE LANCHEIRO 150X5GR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764.82</v>
          </cell>
          <cell r="K682">
            <v>0.01</v>
          </cell>
          <cell r="L682">
            <v>0</v>
          </cell>
          <cell r="M682">
            <v>0</v>
          </cell>
          <cell r="N682">
            <v>0</v>
          </cell>
          <cell r="O682">
            <v>14</v>
          </cell>
          <cell r="P682">
            <v>0.19</v>
          </cell>
          <cell r="Q682">
            <v>0</v>
          </cell>
          <cell r="R682">
            <v>129</v>
          </cell>
          <cell r="S682">
            <v>0</v>
          </cell>
          <cell r="T682">
            <v>0</v>
          </cell>
        </row>
        <row r="683">
          <cell r="A683">
            <v>1485</v>
          </cell>
          <cell r="B683">
            <v>158</v>
          </cell>
          <cell r="C683" t="str">
            <v>MAIONESE SACHÊ LACHEIRO 600X5GR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4472.43</v>
          </cell>
          <cell r="K683">
            <v>0.06</v>
          </cell>
          <cell r="L683">
            <v>0</v>
          </cell>
          <cell r="M683">
            <v>0</v>
          </cell>
          <cell r="N683">
            <v>0</v>
          </cell>
          <cell r="O683">
            <v>69</v>
          </cell>
          <cell r="P683">
            <v>0.93</v>
          </cell>
          <cell r="Q683">
            <v>0</v>
          </cell>
          <cell r="R683">
            <v>505.6</v>
          </cell>
          <cell r="S683">
            <v>0</v>
          </cell>
          <cell r="T683">
            <v>0</v>
          </cell>
        </row>
        <row r="684">
          <cell r="A684">
            <v>1484</v>
          </cell>
          <cell r="B684">
            <v>404</v>
          </cell>
          <cell r="C684" t="str">
            <v>KETCHUP SACHÊ LANCHEIRO 600X5GR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10824.06</v>
          </cell>
          <cell r="K684">
            <v>0.14000000000000001</v>
          </cell>
          <cell r="L684">
            <v>0</v>
          </cell>
          <cell r="M684">
            <v>0</v>
          </cell>
          <cell r="N684">
            <v>0</v>
          </cell>
          <cell r="O684">
            <v>140</v>
          </cell>
          <cell r="P684">
            <v>1.89</v>
          </cell>
          <cell r="Q684">
            <v>0</v>
          </cell>
          <cell r="R684">
            <v>1212</v>
          </cell>
          <cell r="S684">
            <v>0</v>
          </cell>
          <cell r="T684">
            <v>0</v>
          </cell>
        </row>
        <row r="685">
          <cell r="A685">
            <v>1483</v>
          </cell>
          <cell r="B685">
            <v>177</v>
          </cell>
          <cell r="C685" t="str">
            <v>KETCHUP SACHÊ LANCHEIRO 150X5GR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1464.89</v>
          </cell>
          <cell r="K685">
            <v>0.02</v>
          </cell>
          <cell r="L685">
            <v>0</v>
          </cell>
          <cell r="M685">
            <v>0</v>
          </cell>
          <cell r="N685">
            <v>0</v>
          </cell>
          <cell r="O685">
            <v>30</v>
          </cell>
          <cell r="P685">
            <v>0.4</v>
          </cell>
          <cell r="Q685">
            <v>0</v>
          </cell>
          <cell r="R685">
            <v>354</v>
          </cell>
          <cell r="S685">
            <v>0</v>
          </cell>
          <cell r="T685">
            <v>0</v>
          </cell>
        </row>
        <row r="686">
          <cell r="A686">
            <v>1480</v>
          </cell>
          <cell r="B686">
            <v>56</v>
          </cell>
          <cell r="C686" t="str">
            <v>FILE TILAPIA  INTER. PESCA NOBRE CX/5KG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12791.7</v>
          </cell>
          <cell r="K686">
            <v>0.17</v>
          </cell>
          <cell r="L686">
            <v>0</v>
          </cell>
          <cell r="M686">
            <v>0</v>
          </cell>
          <cell r="N686">
            <v>0</v>
          </cell>
          <cell r="O686">
            <v>24</v>
          </cell>
          <cell r="P686">
            <v>0.32</v>
          </cell>
          <cell r="Q686">
            <v>0</v>
          </cell>
          <cell r="R686">
            <v>280</v>
          </cell>
          <cell r="S686">
            <v>0</v>
          </cell>
          <cell r="T686">
            <v>0</v>
          </cell>
        </row>
        <row r="687">
          <cell r="A687">
            <v>1479</v>
          </cell>
          <cell r="B687">
            <v>189.66</v>
          </cell>
          <cell r="C687" t="str">
            <v>PICANHA  A BOVINA MATOSO KG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11770.43</v>
          </cell>
          <cell r="K687">
            <v>0.15</v>
          </cell>
          <cell r="L687">
            <v>0</v>
          </cell>
          <cell r="M687">
            <v>0</v>
          </cell>
          <cell r="N687">
            <v>0</v>
          </cell>
          <cell r="O687">
            <v>13</v>
          </cell>
          <cell r="P687">
            <v>0.18</v>
          </cell>
          <cell r="Q687">
            <v>0</v>
          </cell>
          <cell r="R687">
            <v>189.66</v>
          </cell>
          <cell r="S687">
            <v>0</v>
          </cell>
          <cell r="T687">
            <v>0</v>
          </cell>
        </row>
        <row r="688">
          <cell r="A688">
            <v>1475</v>
          </cell>
          <cell r="B688">
            <v>0</v>
          </cell>
          <cell r="C688" t="str">
            <v>HAMBURGUER INCRIVEL SEARA CX\40X60GR</v>
          </cell>
          <cell r="D688">
            <v>166.66</v>
          </cell>
          <cell r="E688">
            <v>0</v>
          </cell>
          <cell r="F688">
            <v>2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1</v>
          </cell>
          <cell r="P688">
            <v>0.01</v>
          </cell>
          <cell r="Q688">
            <v>5.42</v>
          </cell>
          <cell r="R688">
            <v>0</v>
          </cell>
          <cell r="S688">
            <v>0</v>
          </cell>
          <cell r="T688">
            <v>0</v>
          </cell>
        </row>
        <row r="689">
          <cell r="A689">
            <v>145</v>
          </cell>
          <cell r="B689">
            <v>4</v>
          </cell>
          <cell r="C689" t="str">
            <v>GOIABADA CASCAO PREDILECTA CX\24X350G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442.96</v>
          </cell>
          <cell r="K689">
            <v>0.01</v>
          </cell>
          <cell r="L689">
            <v>0</v>
          </cell>
          <cell r="M689">
            <v>0</v>
          </cell>
          <cell r="N689">
            <v>0</v>
          </cell>
          <cell r="O689">
            <v>4</v>
          </cell>
          <cell r="P689">
            <v>0.05</v>
          </cell>
          <cell r="Q689">
            <v>0</v>
          </cell>
          <cell r="R689">
            <v>33.6</v>
          </cell>
          <cell r="S689">
            <v>0</v>
          </cell>
          <cell r="T689">
            <v>0</v>
          </cell>
        </row>
        <row r="690">
          <cell r="A690">
            <v>1419</v>
          </cell>
          <cell r="B690">
            <v>17</v>
          </cell>
          <cell r="C690" t="str">
            <v>LING CHURRASCO LEBON CX\4X5KG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1302.5999999999999</v>
          </cell>
          <cell r="K690">
            <v>0.02</v>
          </cell>
          <cell r="L690">
            <v>0</v>
          </cell>
          <cell r="M690">
            <v>0</v>
          </cell>
          <cell r="N690">
            <v>0</v>
          </cell>
          <cell r="O690">
            <v>4</v>
          </cell>
          <cell r="P690">
            <v>0.05</v>
          </cell>
          <cell r="Q690">
            <v>0</v>
          </cell>
          <cell r="R690">
            <v>85</v>
          </cell>
          <cell r="S690">
            <v>0</v>
          </cell>
          <cell r="T690">
            <v>0</v>
          </cell>
        </row>
        <row r="691">
          <cell r="A691">
            <v>1416</v>
          </cell>
          <cell r="B691">
            <v>42</v>
          </cell>
          <cell r="C691" t="str">
            <v>AZEITE COCINEIRO EXTRA VIRGEM 6X250ML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3659.86</v>
          </cell>
          <cell r="K691">
            <v>0.05</v>
          </cell>
          <cell r="L691">
            <v>0</v>
          </cell>
          <cell r="M691">
            <v>0</v>
          </cell>
          <cell r="N691">
            <v>0</v>
          </cell>
          <cell r="O691">
            <v>37</v>
          </cell>
          <cell r="P691">
            <v>0.5</v>
          </cell>
          <cell r="Q691">
            <v>0</v>
          </cell>
          <cell r="R691">
            <v>63</v>
          </cell>
          <cell r="S691">
            <v>0</v>
          </cell>
          <cell r="T691">
            <v>0</v>
          </cell>
        </row>
        <row r="692">
          <cell r="A692">
            <v>1415</v>
          </cell>
          <cell r="B692">
            <v>7</v>
          </cell>
          <cell r="C692" t="str">
            <v>LING PERNIL SEARA CX\4X5KG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596.48</v>
          </cell>
          <cell r="K692">
            <v>0.01</v>
          </cell>
          <cell r="L692">
            <v>0</v>
          </cell>
          <cell r="M692">
            <v>0</v>
          </cell>
          <cell r="N692">
            <v>0</v>
          </cell>
          <cell r="O692">
            <v>5</v>
          </cell>
          <cell r="P692">
            <v>7.0000000000000007E-2</v>
          </cell>
          <cell r="Q692">
            <v>0</v>
          </cell>
          <cell r="R692">
            <v>35</v>
          </cell>
          <cell r="S692">
            <v>0</v>
          </cell>
          <cell r="T692">
            <v>0</v>
          </cell>
        </row>
        <row r="693">
          <cell r="A693">
            <v>1414</v>
          </cell>
          <cell r="B693">
            <v>18</v>
          </cell>
          <cell r="C693" t="str">
            <v>FILE FRANGO MILANESA  SEARA CX/28X100GR</v>
          </cell>
          <cell r="D693">
            <v>1386.56</v>
          </cell>
          <cell r="E693">
            <v>0.03</v>
          </cell>
          <cell r="F693">
            <v>20</v>
          </cell>
          <cell r="G693">
            <v>0</v>
          </cell>
          <cell r="H693">
            <v>0</v>
          </cell>
          <cell r="I693">
            <v>0</v>
          </cell>
          <cell r="J693">
            <v>862.6</v>
          </cell>
          <cell r="K693">
            <v>0.01</v>
          </cell>
          <cell r="L693">
            <v>0</v>
          </cell>
          <cell r="M693">
            <v>0</v>
          </cell>
          <cell r="N693">
            <v>0</v>
          </cell>
          <cell r="O693">
            <v>9</v>
          </cell>
          <cell r="P693">
            <v>0.12</v>
          </cell>
          <cell r="Q693">
            <v>56</v>
          </cell>
          <cell r="R693">
            <v>50.4</v>
          </cell>
          <cell r="S693">
            <v>0</v>
          </cell>
          <cell r="T693">
            <v>0</v>
          </cell>
        </row>
        <row r="694">
          <cell r="A694">
            <v>1412</v>
          </cell>
          <cell r="B694">
            <v>1</v>
          </cell>
          <cell r="C694" t="str">
            <v>FILE PEITO FRANGO PCT FREDINI CX/20KG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279.89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1</v>
          </cell>
          <cell r="P694">
            <v>0.01</v>
          </cell>
          <cell r="Q694">
            <v>0</v>
          </cell>
          <cell r="R694">
            <v>20</v>
          </cell>
          <cell r="S694">
            <v>0</v>
          </cell>
          <cell r="T694">
            <v>0</v>
          </cell>
        </row>
        <row r="695">
          <cell r="A695">
            <v>1410</v>
          </cell>
          <cell r="B695">
            <v>27</v>
          </cell>
          <cell r="C695" t="str">
            <v>SOBRECOXA SEARA IQF CX\12KG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4057.56</v>
          </cell>
          <cell r="K695">
            <v>0.05</v>
          </cell>
          <cell r="L695">
            <v>0</v>
          </cell>
          <cell r="M695">
            <v>0</v>
          </cell>
          <cell r="N695">
            <v>0</v>
          </cell>
          <cell r="O695">
            <v>10</v>
          </cell>
          <cell r="P695">
            <v>0.13</v>
          </cell>
          <cell r="Q695">
            <v>0</v>
          </cell>
          <cell r="R695">
            <v>324</v>
          </cell>
          <cell r="S695">
            <v>0</v>
          </cell>
          <cell r="T695">
            <v>0</v>
          </cell>
        </row>
        <row r="696">
          <cell r="A696">
            <v>137</v>
          </cell>
          <cell r="B696">
            <v>2</v>
          </cell>
          <cell r="C696" t="str">
            <v>FILE TAMBAQUI PEDACO ZALTANA 24X400GR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740.88</v>
          </cell>
          <cell r="K696">
            <v>0.01</v>
          </cell>
          <cell r="L696">
            <v>0</v>
          </cell>
          <cell r="M696">
            <v>0</v>
          </cell>
          <cell r="N696">
            <v>0</v>
          </cell>
          <cell r="O696">
            <v>2</v>
          </cell>
          <cell r="P696">
            <v>0.03</v>
          </cell>
          <cell r="Q696">
            <v>0</v>
          </cell>
          <cell r="R696">
            <v>19.2</v>
          </cell>
          <cell r="S696">
            <v>0</v>
          </cell>
          <cell r="T696">
            <v>0</v>
          </cell>
        </row>
        <row r="697">
          <cell r="A697">
            <v>135</v>
          </cell>
          <cell r="B697">
            <v>15</v>
          </cell>
          <cell r="C697" t="str">
            <v>FILE MERLUZA INTERF ARGENTINA CX\21KG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9499.11</v>
          </cell>
          <cell r="K697">
            <v>0.12</v>
          </cell>
          <cell r="L697">
            <v>0</v>
          </cell>
          <cell r="M697">
            <v>0</v>
          </cell>
          <cell r="N697">
            <v>0</v>
          </cell>
          <cell r="O697">
            <v>12</v>
          </cell>
          <cell r="P697">
            <v>0.16</v>
          </cell>
          <cell r="Q697">
            <v>0</v>
          </cell>
          <cell r="R697">
            <v>315</v>
          </cell>
          <cell r="S697">
            <v>0</v>
          </cell>
          <cell r="T697">
            <v>0</v>
          </cell>
        </row>
        <row r="698">
          <cell r="A698">
            <v>1347</v>
          </cell>
          <cell r="B698">
            <v>3</v>
          </cell>
          <cell r="C698" t="str">
            <v>BATATA P.FRITA SEARA CX/24X400GR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693.84</v>
          </cell>
          <cell r="K698">
            <v>0.01</v>
          </cell>
          <cell r="L698">
            <v>0</v>
          </cell>
          <cell r="M698">
            <v>0</v>
          </cell>
          <cell r="N698">
            <v>0</v>
          </cell>
          <cell r="O698">
            <v>3</v>
          </cell>
          <cell r="P698">
            <v>0.04</v>
          </cell>
          <cell r="Q698">
            <v>0</v>
          </cell>
          <cell r="R698">
            <v>28.8</v>
          </cell>
          <cell r="S698">
            <v>0</v>
          </cell>
          <cell r="T698">
            <v>0</v>
          </cell>
        </row>
        <row r="699">
          <cell r="A699">
            <v>1340</v>
          </cell>
          <cell r="B699">
            <v>5</v>
          </cell>
          <cell r="C699" t="str">
            <v>CHICKEN SUPREME 2MOLHOS CX\12X220GR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664.2</v>
          </cell>
          <cell r="K699">
            <v>0.01</v>
          </cell>
          <cell r="L699">
            <v>0</v>
          </cell>
          <cell r="M699">
            <v>0</v>
          </cell>
          <cell r="N699">
            <v>0</v>
          </cell>
          <cell r="O699">
            <v>5</v>
          </cell>
          <cell r="P699">
            <v>7.0000000000000007E-2</v>
          </cell>
          <cell r="Q699">
            <v>0</v>
          </cell>
          <cell r="R699">
            <v>16.149999999999999</v>
          </cell>
          <cell r="S699">
            <v>0</v>
          </cell>
          <cell r="T699">
            <v>0</v>
          </cell>
        </row>
        <row r="700">
          <cell r="A700">
            <v>134</v>
          </cell>
          <cell r="B700">
            <v>14</v>
          </cell>
          <cell r="C700" t="str">
            <v>PEIXE TAMBAQUI POSTAS ZALTANA CX\12X800G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4905.18</v>
          </cell>
          <cell r="K700">
            <v>0.06</v>
          </cell>
          <cell r="L700">
            <v>0</v>
          </cell>
          <cell r="M700">
            <v>0</v>
          </cell>
          <cell r="N700">
            <v>0</v>
          </cell>
          <cell r="O700">
            <v>13</v>
          </cell>
          <cell r="P700">
            <v>0.18</v>
          </cell>
          <cell r="Q700">
            <v>0</v>
          </cell>
          <cell r="R700">
            <v>134.4</v>
          </cell>
          <cell r="S700">
            <v>0</v>
          </cell>
          <cell r="T700">
            <v>0</v>
          </cell>
        </row>
        <row r="701">
          <cell r="A701">
            <v>1333</v>
          </cell>
          <cell r="B701">
            <v>3</v>
          </cell>
          <cell r="C701" t="str">
            <v>LING TOSCANA MINI SEARA 6X2,5KG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122.01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2</v>
          </cell>
          <cell r="P701">
            <v>0.03</v>
          </cell>
          <cell r="Q701">
            <v>0</v>
          </cell>
          <cell r="R701">
            <v>7.5</v>
          </cell>
          <cell r="S701">
            <v>0</v>
          </cell>
          <cell r="T701">
            <v>0</v>
          </cell>
        </row>
        <row r="702">
          <cell r="A702">
            <v>129</v>
          </cell>
          <cell r="B702">
            <v>18</v>
          </cell>
          <cell r="C702" t="str">
            <v>PEIXE CURIMBA EVISCERADO CX/20KG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8105.94</v>
          </cell>
          <cell r="K702">
            <v>0.11</v>
          </cell>
          <cell r="L702">
            <v>0</v>
          </cell>
          <cell r="M702">
            <v>0</v>
          </cell>
          <cell r="N702">
            <v>0</v>
          </cell>
          <cell r="O702">
            <v>17</v>
          </cell>
          <cell r="P702">
            <v>0.23</v>
          </cell>
          <cell r="Q702">
            <v>0</v>
          </cell>
          <cell r="R702">
            <v>360</v>
          </cell>
          <cell r="S702">
            <v>0</v>
          </cell>
          <cell r="T702">
            <v>0</v>
          </cell>
        </row>
        <row r="703">
          <cell r="A703">
            <v>128</v>
          </cell>
          <cell r="B703">
            <v>17</v>
          </cell>
          <cell r="C703" t="str">
            <v>PEIXE TRAIRA ARGENTINA CX\20KG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7472.64</v>
          </cell>
          <cell r="K703">
            <v>0.1</v>
          </cell>
          <cell r="L703">
            <v>0</v>
          </cell>
          <cell r="M703">
            <v>0</v>
          </cell>
          <cell r="N703">
            <v>0</v>
          </cell>
          <cell r="O703">
            <v>14</v>
          </cell>
          <cell r="P703">
            <v>0.19</v>
          </cell>
          <cell r="Q703">
            <v>0</v>
          </cell>
          <cell r="R703">
            <v>340</v>
          </cell>
          <cell r="S703">
            <v>0</v>
          </cell>
          <cell r="T703">
            <v>0</v>
          </cell>
        </row>
        <row r="704">
          <cell r="A704">
            <v>126</v>
          </cell>
          <cell r="B704">
            <v>259.44</v>
          </cell>
          <cell r="C704" t="str">
            <v>PALETA SUINA FRIGODIAS KG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3392.63</v>
          </cell>
          <cell r="K704">
            <v>0.04</v>
          </cell>
          <cell r="L704">
            <v>0</v>
          </cell>
          <cell r="M704">
            <v>0</v>
          </cell>
          <cell r="N704">
            <v>0</v>
          </cell>
          <cell r="O704">
            <v>7</v>
          </cell>
          <cell r="P704">
            <v>0.09</v>
          </cell>
          <cell r="Q704">
            <v>0</v>
          </cell>
          <cell r="R704">
            <v>259.44</v>
          </cell>
          <cell r="S704">
            <v>0</v>
          </cell>
          <cell r="T704">
            <v>0</v>
          </cell>
        </row>
        <row r="705">
          <cell r="A705">
            <v>125</v>
          </cell>
          <cell r="B705">
            <v>1866.22</v>
          </cell>
          <cell r="C705" t="str">
            <v>PALETA SUINA DICASA  KG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24278.2</v>
          </cell>
          <cell r="K705">
            <v>0.32</v>
          </cell>
          <cell r="L705">
            <v>0</v>
          </cell>
          <cell r="M705">
            <v>0</v>
          </cell>
          <cell r="N705">
            <v>0</v>
          </cell>
          <cell r="O705">
            <v>36</v>
          </cell>
          <cell r="P705">
            <v>0.48</v>
          </cell>
          <cell r="Q705">
            <v>0</v>
          </cell>
          <cell r="R705">
            <v>1866.22</v>
          </cell>
          <cell r="S705">
            <v>0</v>
          </cell>
          <cell r="T705">
            <v>0</v>
          </cell>
        </row>
        <row r="706">
          <cell r="A706">
            <v>1230</v>
          </cell>
          <cell r="B706">
            <v>1</v>
          </cell>
          <cell r="C706" t="str">
            <v>LING DEF.FINA REZENDE CX\24X215GR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117.6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1</v>
          </cell>
          <cell r="P706">
            <v>0.01</v>
          </cell>
          <cell r="Q706">
            <v>0</v>
          </cell>
          <cell r="R706">
            <v>5.16</v>
          </cell>
          <cell r="S706">
            <v>0</v>
          </cell>
          <cell r="T706">
            <v>0</v>
          </cell>
        </row>
        <row r="707">
          <cell r="A707">
            <v>12</v>
          </cell>
          <cell r="B707">
            <v>58</v>
          </cell>
          <cell r="C707" t="str">
            <v>LEITE UHT DESNATADO PIRACANJUBA CX\12 LT</v>
          </cell>
          <cell r="D707">
            <v>5089.8</v>
          </cell>
          <cell r="E707">
            <v>0.12</v>
          </cell>
          <cell r="F707">
            <v>85</v>
          </cell>
          <cell r="G707">
            <v>0</v>
          </cell>
          <cell r="H707">
            <v>0</v>
          </cell>
          <cell r="I707">
            <v>0</v>
          </cell>
          <cell r="J707">
            <v>4171.95</v>
          </cell>
          <cell r="K707">
            <v>0.05</v>
          </cell>
          <cell r="L707">
            <v>73.400000000000006</v>
          </cell>
          <cell r="M707">
            <v>0.22</v>
          </cell>
          <cell r="N707">
            <v>1</v>
          </cell>
          <cell r="O707">
            <v>35</v>
          </cell>
          <cell r="P707">
            <v>0.47</v>
          </cell>
          <cell r="Q707">
            <v>1020</v>
          </cell>
          <cell r="R707">
            <v>696</v>
          </cell>
          <cell r="S707">
            <v>0</v>
          </cell>
          <cell r="T707">
            <v>12</v>
          </cell>
        </row>
        <row r="708">
          <cell r="A708">
            <v>1181</v>
          </cell>
          <cell r="B708">
            <v>179</v>
          </cell>
          <cell r="C708" t="str">
            <v>MAIONESE SACHE SALSARETTI 144X7GR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2221.5</v>
          </cell>
          <cell r="K708">
            <v>0.03</v>
          </cell>
          <cell r="L708">
            <v>0</v>
          </cell>
          <cell r="M708">
            <v>0</v>
          </cell>
          <cell r="N708">
            <v>0</v>
          </cell>
          <cell r="O708">
            <v>34</v>
          </cell>
          <cell r="P708">
            <v>0.46</v>
          </cell>
          <cell r="Q708">
            <v>0</v>
          </cell>
          <cell r="R708">
            <v>268.5</v>
          </cell>
          <cell r="S708">
            <v>0</v>
          </cell>
          <cell r="T708">
            <v>0</v>
          </cell>
        </row>
        <row r="709">
          <cell r="A709">
            <v>1163</v>
          </cell>
          <cell r="B709">
            <v>12</v>
          </cell>
          <cell r="C709" t="str">
            <v>MOLHO TOMATE SACHE SALSARETTI 36X300GR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805.56</v>
          </cell>
          <cell r="K709">
            <v>0.01</v>
          </cell>
          <cell r="L709">
            <v>0</v>
          </cell>
          <cell r="M709">
            <v>0</v>
          </cell>
          <cell r="N709">
            <v>0</v>
          </cell>
          <cell r="O709">
            <v>11</v>
          </cell>
          <cell r="P709">
            <v>0.15</v>
          </cell>
          <cell r="Q709">
            <v>0</v>
          </cell>
          <cell r="R709">
            <v>63</v>
          </cell>
          <cell r="S709">
            <v>0</v>
          </cell>
          <cell r="T709">
            <v>0</v>
          </cell>
        </row>
        <row r="710">
          <cell r="A710">
            <v>1162</v>
          </cell>
          <cell r="B710">
            <v>10</v>
          </cell>
          <cell r="C710" t="str">
            <v>EXTRATO SACHE SALSARETTI  32X300GR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913.9</v>
          </cell>
          <cell r="K710">
            <v>0.01</v>
          </cell>
          <cell r="L710">
            <v>0</v>
          </cell>
          <cell r="M710">
            <v>0</v>
          </cell>
          <cell r="N710">
            <v>0</v>
          </cell>
          <cell r="O710">
            <v>9</v>
          </cell>
          <cell r="P710">
            <v>0.12</v>
          </cell>
          <cell r="Q710">
            <v>0</v>
          </cell>
          <cell r="R710">
            <v>96</v>
          </cell>
          <cell r="S710">
            <v>0</v>
          </cell>
          <cell r="T710">
            <v>0</v>
          </cell>
        </row>
        <row r="711">
          <cell r="A711">
            <v>1161</v>
          </cell>
          <cell r="B711">
            <v>5</v>
          </cell>
          <cell r="C711" t="str">
            <v>MAIONESE TOP DOWN SALSARETTI 15X350GR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480.2</v>
          </cell>
          <cell r="K711">
            <v>0.01</v>
          </cell>
          <cell r="L711">
            <v>0</v>
          </cell>
          <cell r="M711">
            <v>0</v>
          </cell>
          <cell r="N711">
            <v>0</v>
          </cell>
          <cell r="O711">
            <v>2</v>
          </cell>
          <cell r="P711">
            <v>0.03</v>
          </cell>
          <cell r="Q711">
            <v>0</v>
          </cell>
          <cell r="R711">
            <v>26.25</v>
          </cell>
          <cell r="S711">
            <v>0</v>
          </cell>
          <cell r="T711">
            <v>0</v>
          </cell>
        </row>
        <row r="712">
          <cell r="A712">
            <v>1160</v>
          </cell>
          <cell r="B712">
            <v>4</v>
          </cell>
          <cell r="C712" t="str">
            <v>KETCHUP TRADICIONAL SALSARETTI  15X380GR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423.36</v>
          </cell>
          <cell r="K712">
            <v>0.01</v>
          </cell>
          <cell r="L712">
            <v>0</v>
          </cell>
          <cell r="M712">
            <v>0</v>
          </cell>
          <cell r="N712">
            <v>0</v>
          </cell>
          <cell r="O712">
            <v>4</v>
          </cell>
          <cell r="P712">
            <v>0.05</v>
          </cell>
          <cell r="Q712">
            <v>0</v>
          </cell>
          <cell r="R712">
            <v>22.8</v>
          </cell>
          <cell r="S712">
            <v>0</v>
          </cell>
          <cell r="T712">
            <v>0</v>
          </cell>
        </row>
        <row r="713">
          <cell r="A713">
            <v>1159</v>
          </cell>
          <cell r="B713">
            <v>7</v>
          </cell>
          <cell r="C713" t="str">
            <v>MOLHO PIZZA SACHE SALSARETTI 32X300GR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512.08000000000004</v>
          </cell>
          <cell r="K713">
            <v>0.01</v>
          </cell>
          <cell r="L713">
            <v>0</v>
          </cell>
          <cell r="M713">
            <v>0</v>
          </cell>
          <cell r="N713">
            <v>0</v>
          </cell>
          <cell r="O713">
            <v>7</v>
          </cell>
          <cell r="P713">
            <v>0.09</v>
          </cell>
          <cell r="Q713">
            <v>0</v>
          </cell>
          <cell r="R713">
            <v>67.2</v>
          </cell>
          <cell r="S713">
            <v>0</v>
          </cell>
          <cell r="T713">
            <v>0</v>
          </cell>
        </row>
        <row r="714">
          <cell r="A714">
            <v>1158</v>
          </cell>
          <cell r="B714">
            <v>2</v>
          </cell>
          <cell r="C714" t="str">
            <v>MOLHO AZEITONA SACHE SALSARETTI 32X300GR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202.86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2</v>
          </cell>
          <cell r="P714">
            <v>0.03</v>
          </cell>
          <cell r="Q714">
            <v>0</v>
          </cell>
          <cell r="R714">
            <v>19.2</v>
          </cell>
          <cell r="S714">
            <v>0</v>
          </cell>
          <cell r="T714">
            <v>0</v>
          </cell>
        </row>
        <row r="715">
          <cell r="A715">
            <v>1157</v>
          </cell>
          <cell r="B715">
            <v>5</v>
          </cell>
          <cell r="C715" t="str">
            <v>MOLHO MANJERICAO SACHE SALSARETTI 32X300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362.08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5</v>
          </cell>
          <cell r="P715">
            <v>7.0000000000000007E-2</v>
          </cell>
          <cell r="Q715">
            <v>0</v>
          </cell>
          <cell r="R715">
            <v>48</v>
          </cell>
          <cell r="S715">
            <v>0</v>
          </cell>
          <cell r="T715">
            <v>0</v>
          </cell>
        </row>
        <row r="716">
          <cell r="A716">
            <v>1156</v>
          </cell>
          <cell r="B716">
            <v>1</v>
          </cell>
          <cell r="C716" t="str">
            <v>MOLHO BOLONHESA SACHE SALSARETTI 32X300G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87.61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1</v>
          </cell>
          <cell r="P716">
            <v>0.01</v>
          </cell>
          <cell r="Q716">
            <v>0</v>
          </cell>
          <cell r="R716">
            <v>9.6</v>
          </cell>
          <cell r="S716">
            <v>0</v>
          </cell>
          <cell r="T716">
            <v>0</v>
          </cell>
        </row>
        <row r="717">
          <cell r="A717">
            <v>1155</v>
          </cell>
          <cell r="B717">
            <v>2</v>
          </cell>
          <cell r="C717" t="str">
            <v>MOSTARDA SACHÊ SALSARETTI 144X5GR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22.4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1</v>
          </cell>
          <cell r="P717">
            <v>0.01</v>
          </cell>
          <cell r="Q717">
            <v>0</v>
          </cell>
          <cell r="R717">
            <v>4</v>
          </cell>
          <cell r="S717">
            <v>0</v>
          </cell>
          <cell r="T717">
            <v>0</v>
          </cell>
        </row>
        <row r="718">
          <cell r="A718">
            <v>1154</v>
          </cell>
          <cell r="B718">
            <v>15</v>
          </cell>
          <cell r="C718" t="str">
            <v>MOLHO BARBECUE SACHE SALSARETTI 144X7GR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209.16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3</v>
          </cell>
          <cell r="P718">
            <v>0.04</v>
          </cell>
          <cell r="Q718">
            <v>0</v>
          </cell>
          <cell r="R718">
            <v>30</v>
          </cell>
          <cell r="S718">
            <v>0</v>
          </cell>
          <cell r="T718">
            <v>0</v>
          </cell>
        </row>
        <row r="719">
          <cell r="A719">
            <v>1153</v>
          </cell>
          <cell r="B719">
            <v>290</v>
          </cell>
          <cell r="C719" t="str">
            <v>KETCHUP SACHÊ SALSARETTI 144X7GR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3602.97</v>
          </cell>
          <cell r="K719">
            <v>0.05</v>
          </cell>
          <cell r="L719">
            <v>0</v>
          </cell>
          <cell r="M719">
            <v>0</v>
          </cell>
          <cell r="N719">
            <v>0</v>
          </cell>
          <cell r="O719">
            <v>54</v>
          </cell>
          <cell r="P719">
            <v>0.73</v>
          </cell>
          <cell r="Q719">
            <v>0</v>
          </cell>
          <cell r="R719">
            <v>580</v>
          </cell>
          <cell r="S719">
            <v>0</v>
          </cell>
          <cell r="T719">
            <v>0</v>
          </cell>
        </row>
        <row r="720">
          <cell r="A720">
            <v>1102</v>
          </cell>
          <cell r="B720">
            <v>2</v>
          </cell>
          <cell r="C720" t="str">
            <v>CRISPY BURGER QUEIJO SEARA CX/2X1,3KG</v>
          </cell>
          <cell r="D720">
            <v>976.56</v>
          </cell>
          <cell r="E720">
            <v>0.02</v>
          </cell>
          <cell r="F720">
            <v>10</v>
          </cell>
          <cell r="G720">
            <v>0</v>
          </cell>
          <cell r="H720">
            <v>0</v>
          </cell>
          <cell r="I720">
            <v>0</v>
          </cell>
          <cell r="J720">
            <v>240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2</v>
          </cell>
          <cell r="P720">
            <v>0.03</v>
          </cell>
          <cell r="Q720">
            <v>26</v>
          </cell>
          <cell r="R720">
            <v>5.2</v>
          </cell>
          <cell r="S720">
            <v>0</v>
          </cell>
          <cell r="T720">
            <v>0</v>
          </cell>
        </row>
        <row r="721">
          <cell r="A721">
            <v>1098</v>
          </cell>
          <cell r="B721">
            <v>3</v>
          </cell>
          <cell r="C721" t="str">
            <v>SALAME FATIADO PEPPERONI SEARA GOURMET  800G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135.24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2</v>
          </cell>
          <cell r="P721">
            <v>0.03</v>
          </cell>
          <cell r="Q721">
            <v>0</v>
          </cell>
          <cell r="R721">
            <v>2.4</v>
          </cell>
          <cell r="S721">
            <v>0</v>
          </cell>
          <cell r="T721">
            <v>0</v>
          </cell>
        </row>
        <row r="722">
          <cell r="A722">
            <v>108</v>
          </cell>
          <cell r="B722">
            <v>45.47</v>
          </cell>
          <cell r="C722" t="str">
            <v>FIGADO BOVINO FRIGOMATOSO KG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640.99</v>
          </cell>
          <cell r="K722">
            <v>0.01</v>
          </cell>
          <cell r="L722">
            <v>0</v>
          </cell>
          <cell r="M722">
            <v>0</v>
          </cell>
          <cell r="N722">
            <v>0</v>
          </cell>
          <cell r="O722">
            <v>3</v>
          </cell>
          <cell r="P722">
            <v>0.04</v>
          </cell>
          <cell r="Q722">
            <v>0</v>
          </cell>
          <cell r="R722">
            <v>45.47</v>
          </cell>
          <cell r="S722">
            <v>0</v>
          </cell>
          <cell r="T722">
            <v>0</v>
          </cell>
        </row>
        <row r="723">
          <cell r="A723">
            <v>1058</v>
          </cell>
          <cell r="B723">
            <v>95</v>
          </cell>
          <cell r="C723" t="str">
            <v>LING T.CALABRESA RETA REZENDE FS 6X2,5KG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4590.5600000000004</v>
          </cell>
          <cell r="K723">
            <v>0.06</v>
          </cell>
          <cell r="L723">
            <v>0</v>
          </cell>
          <cell r="M723">
            <v>0</v>
          </cell>
          <cell r="N723">
            <v>0</v>
          </cell>
          <cell r="O723">
            <v>31</v>
          </cell>
          <cell r="P723">
            <v>0.42</v>
          </cell>
          <cell r="Q723">
            <v>0</v>
          </cell>
          <cell r="R723">
            <v>237.5</v>
          </cell>
          <cell r="S723">
            <v>0</v>
          </cell>
          <cell r="T723">
            <v>0</v>
          </cell>
        </row>
        <row r="724">
          <cell r="A724">
            <v>1055</v>
          </cell>
          <cell r="B724">
            <v>58</v>
          </cell>
          <cell r="C724" t="str">
            <v>AGUA COCO DUCOCO CX/12X1LT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5652.76</v>
          </cell>
          <cell r="K724">
            <v>7.0000000000000007E-2</v>
          </cell>
          <cell r="L724">
            <v>0</v>
          </cell>
          <cell r="M724">
            <v>0</v>
          </cell>
          <cell r="N724">
            <v>0</v>
          </cell>
          <cell r="O724">
            <v>49</v>
          </cell>
          <cell r="P724">
            <v>0.66</v>
          </cell>
          <cell r="Q724">
            <v>0</v>
          </cell>
          <cell r="R724">
            <v>696</v>
          </cell>
          <cell r="S724">
            <v>0</v>
          </cell>
          <cell r="T724">
            <v>0</v>
          </cell>
        </row>
        <row r="725">
          <cell r="A725">
            <v>1054</v>
          </cell>
          <cell r="B725">
            <v>103</v>
          </cell>
          <cell r="C725" t="str">
            <v>AGUA COCO DUCOCO CX/27X200ML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6003.18</v>
          </cell>
          <cell r="K725">
            <v>0.08</v>
          </cell>
          <cell r="L725">
            <v>58.11</v>
          </cell>
          <cell r="M725">
            <v>0.18</v>
          </cell>
          <cell r="N725">
            <v>1</v>
          </cell>
          <cell r="O725">
            <v>79</v>
          </cell>
          <cell r="P725">
            <v>1.06</v>
          </cell>
          <cell r="Q725">
            <v>0</v>
          </cell>
          <cell r="R725">
            <v>494.4</v>
          </cell>
          <cell r="S725">
            <v>0</v>
          </cell>
          <cell r="T725">
            <v>4.8</v>
          </cell>
        </row>
        <row r="726">
          <cell r="A726">
            <v>1051</v>
          </cell>
          <cell r="B726">
            <v>8</v>
          </cell>
          <cell r="C726" t="str">
            <v>BACON FATIAS 2,4MM GOURMET SEARA 2,5KG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980.26</v>
          </cell>
          <cell r="K726">
            <v>0.01</v>
          </cell>
          <cell r="L726">
            <v>0</v>
          </cell>
          <cell r="M726">
            <v>0</v>
          </cell>
          <cell r="N726">
            <v>0</v>
          </cell>
          <cell r="O726">
            <v>3</v>
          </cell>
          <cell r="P726">
            <v>0.04</v>
          </cell>
          <cell r="Q726">
            <v>0</v>
          </cell>
          <cell r="R726">
            <v>20</v>
          </cell>
          <cell r="S726">
            <v>0</v>
          </cell>
          <cell r="T726">
            <v>0</v>
          </cell>
        </row>
        <row r="727">
          <cell r="A727">
            <v>1049</v>
          </cell>
          <cell r="B727">
            <v>9</v>
          </cell>
          <cell r="C727" t="str">
            <v>SALAME ITALIANO ALHO NEGRO GOURMET SEARA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123.48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2</v>
          </cell>
          <cell r="P727">
            <v>0.03</v>
          </cell>
          <cell r="Q727">
            <v>0</v>
          </cell>
          <cell r="R727">
            <v>1.44</v>
          </cell>
          <cell r="S727">
            <v>0</v>
          </cell>
          <cell r="T727">
            <v>0</v>
          </cell>
        </row>
        <row r="728">
          <cell r="A728">
            <v>104</v>
          </cell>
          <cell r="B728">
            <v>0</v>
          </cell>
          <cell r="C728" t="str">
            <v>ALMONDEGA CARNE BOVINA SEARA CX\12X500G</v>
          </cell>
          <cell r="D728">
            <v>405.12</v>
          </cell>
          <cell r="E728">
            <v>0.01</v>
          </cell>
          <cell r="F728">
            <v>2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1</v>
          </cell>
          <cell r="P728">
            <v>0.01</v>
          </cell>
          <cell r="Q728">
            <v>12</v>
          </cell>
          <cell r="R728">
            <v>0</v>
          </cell>
          <cell r="S728">
            <v>0</v>
          </cell>
          <cell r="T728">
            <v>0</v>
          </cell>
        </row>
        <row r="729">
          <cell r="A729">
            <v>1039</v>
          </cell>
          <cell r="B729">
            <v>11</v>
          </cell>
          <cell r="C729" t="str">
            <v>PEITO PERU DEFUMADO REZENDE CX\2X2,5KG</v>
          </cell>
          <cell r="D729">
            <v>2697.06</v>
          </cell>
          <cell r="E729">
            <v>0.06</v>
          </cell>
          <cell r="F729">
            <v>30</v>
          </cell>
          <cell r="G729">
            <v>0</v>
          </cell>
          <cell r="H729">
            <v>0</v>
          </cell>
          <cell r="I729">
            <v>0</v>
          </cell>
          <cell r="J729">
            <v>1185.8</v>
          </cell>
          <cell r="K729">
            <v>0.02</v>
          </cell>
          <cell r="L729">
            <v>0</v>
          </cell>
          <cell r="M729">
            <v>0</v>
          </cell>
          <cell r="N729">
            <v>0</v>
          </cell>
          <cell r="O729">
            <v>8</v>
          </cell>
          <cell r="P729">
            <v>0.11</v>
          </cell>
          <cell r="Q729">
            <v>75</v>
          </cell>
          <cell r="R729">
            <v>27.5</v>
          </cell>
          <cell r="S729">
            <v>0</v>
          </cell>
          <cell r="T729">
            <v>0</v>
          </cell>
        </row>
        <row r="730">
          <cell r="A730">
            <v>1037</v>
          </cell>
          <cell r="B730">
            <v>16</v>
          </cell>
          <cell r="C730" t="str">
            <v>HAMBURGUER FRANGO TEXAS BURGER  36X56GR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701.14</v>
          </cell>
          <cell r="K730">
            <v>0.01</v>
          </cell>
          <cell r="L730">
            <v>0</v>
          </cell>
          <cell r="M730">
            <v>0</v>
          </cell>
          <cell r="N730">
            <v>0</v>
          </cell>
          <cell r="O730">
            <v>11</v>
          </cell>
          <cell r="P730">
            <v>0.15</v>
          </cell>
          <cell r="Q730">
            <v>0</v>
          </cell>
          <cell r="R730">
            <v>128.63999999999999</v>
          </cell>
          <cell r="S730">
            <v>0</v>
          </cell>
          <cell r="T730">
            <v>0</v>
          </cell>
        </row>
        <row r="731">
          <cell r="A731">
            <v>1020</v>
          </cell>
          <cell r="B731">
            <v>529.4</v>
          </cell>
          <cell r="C731" t="str">
            <v>PALETA BOVINA MATOSO KG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17306.099999999999</v>
          </cell>
          <cell r="K731">
            <v>0.23</v>
          </cell>
          <cell r="L731">
            <v>0</v>
          </cell>
          <cell r="M731">
            <v>0</v>
          </cell>
          <cell r="N731">
            <v>0</v>
          </cell>
          <cell r="O731">
            <v>16</v>
          </cell>
          <cell r="P731">
            <v>0.22</v>
          </cell>
          <cell r="Q731">
            <v>0</v>
          </cell>
          <cell r="R731">
            <v>529.4</v>
          </cell>
          <cell r="S731">
            <v>0</v>
          </cell>
          <cell r="T731">
            <v>0</v>
          </cell>
        </row>
        <row r="732">
          <cell r="A732">
            <v>100</v>
          </cell>
          <cell r="B732">
            <v>846.64</v>
          </cell>
          <cell r="C732" t="str">
            <v>COXAO MOLE BOVINO FRIGODIAS  KG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31330.720000000001</v>
          </cell>
          <cell r="K732">
            <v>0.41</v>
          </cell>
          <cell r="L732">
            <v>0</v>
          </cell>
          <cell r="M732">
            <v>0</v>
          </cell>
          <cell r="N732">
            <v>0</v>
          </cell>
          <cell r="O732">
            <v>27</v>
          </cell>
          <cell r="P732">
            <v>0.36</v>
          </cell>
          <cell r="Q732">
            <v>0</v>
          </cell>
          <cell r="R732">
            <v>846.64</v>
          </cell>
          <cell r="S732">
            <v>0</v>
          </cell>
          <cell r="T732">
            <v>0</v>
          </cell>
        </row>
        <row r="733">
          <cell r="B733">
            <v>124172.69999999997</v>
          </cell>
          <cell r="D733">
            <v>4267699.9699999969</v>
          </cell>
          <cell r="E733">
            <v>99.980000000000075</v>
          </cell>
          <cell r="F733">
            <v>67649.080000000016</v>
          </cell>
          <cell r="G733">
            <v>16348.62</v>
          </cell>
          <cell r="H733">
            <v>100</v>
          </cell>
          <cell r="I733">
            <v>268.08</v>
          </cell>
          <cell r="J733">
            <v>7638026.0699999854</v>
          </cell>
          <cell r="K733">
            <v>99.870000000000161</v>
          </cell>
          <cell r="L733">
            <v>32918.270000000011</v>
          </cell>
          <cell r="M733">
            <v>100.00999999999999</v>
          </cell>
          <cell r="N733">
            <v>506.69000000000005</v>
          </cell>
          <cell r="P733">
            <v>388.08999999999941</v>
          </cell>
          <cell r="Q733">
            <v>400189.18000000011</v>
          </cell>
          <cell r="R733">
            <v>625710.60000000044</v>
          </cell>
          <cell r="S733">
            <v>882.89</v>
          </cell>
          <cell r="T733">
            <v>2887.3500000000008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53"/>
  <sheetViews>
    <sheetView tabSelected="1" zoomScale="60" zoomScaleNormal="60" workbookViewId="0">
      <pane ySplit="1" topLeftCell="A1789" activePane="bottomLeft" state="frozen"/>
      <selection pane="bottomLeft" activeCell="J1799" sqref="J1799"/>
    </sheetView>
  </sheetViews>
  <sheetFormatPr defaultColWidth="14.85546875" defaultRowHeight="24" customHeight="1"/>
  <cols>
    <col min="1" max="1" width="34.140625" style="9" customWidth="1"/>
    <col min="2" max="2" width="29.140625" style="9" customWidth="1"/>
    <col min="3" max="3" width="66" style="21" customWidth="1"/>
    <col min="4" max="4" width="27.28515625" style="21" customWidth="1"/>
    <col min="5" max="5" width="26.5703125" style="1" customWidth="1"/>
    <col min="6" max="6" width="24.140625" style="1" customWidth="1"/>
    <col min="7" max="7" width="32.140625" style="1" customWidth="1"/>
    <col min="8" max="8" width="38.7109375" style="1" customWidth="1"/>
    <col min="9" max="16384" width="14.85546875" style="1"/>
  </cols>
  <sheetData>
    <row r="1" spans="1:8" s="15" customFormat="1" ht="21" customHeight="1">
      <c r="A1" s="18" t="s">
        <v>1915</v>
      </c>
      <c r="B1" s="18" t="s">
        <v>0</v>
      </c>
      <c r="C1" s="18" t="s">
        <v>1</v>
      </c>
      <c r="D1" s="31" t="s">
        <v>1946</v>
      </c>
      <c r="E1" s="22" t="s">
        <v>2</v>
      </c>
      <c r="F1" s="12" t="s">
        <v>3</v>
      </c>
      <c r="G1" s="13" t="s">
        <v>1606</v>
      </c>
      <c r="H1" s="14" t="s">
        <v>4</v>
      </c>
    </row>
    <row r="2" spans="1:8" ht="24" customHeight="1">
      <c r="A2" s="24">
        <v>1495</v>
      </c>
      <c r="B2" s="24">
        <v>4019</v>
      </c>
      <c r="C2" s="25" t="s">
        <v>1916</v>
      </c>
      <c r="D2" s="25" t="s">
        <v>1934</v>
      </c>
      <c r="E2" s="2">
        <f>IFERROR(VLOOKUP(B2,'[1]new sheet'!$A$1:$IV$65536,5,FALSE),0)</f>
        <v>0</v>
      </c>
      <c r="F2" s="3">
        <f>IFERROR(VLOOKUP(B2,'[1]new sheet'!$A$1:$IV$65536,4,FALSE),0)</f>
        <v>0</v>
      </c>
      <c r="G2" s="4">
        <f>IFERROR(VLOOKUP(B2,'[2]new sheet'!$A$1:$IV$65536,2,0),0)</f>
        <v>12</v>
      </c>
      <c r="H2" s="5">
        <f>IFERROR(VLOOKUP(B2,'[3]new sheet'!$A$1:$IV$65536,2,0),0)</f>
        <v>3</v>
      </c>
    </row>
    <row r="3" spans="1:8" ht="24" customHeight="1">
      <c r="A3" s="7">
        <v>11763</v>
      </c>
      <c r="B3" s="7">
        <v>4147</v>
      </c>
      <c r="C3" s="8" t="s">
        <v>1781</v>
      </c>
      <c r="D3" s="8" t="s">
        <v>1935</v>
      </c>
      <c r="E3" s="2">
        <f>IFERROR(VLOOKUP(B3,'[1]new sheet'!$A$1:$IV$65536,5,FALSE),0)</f>
        <v>806.06</v>
      </c>
      <c r="F3" s="3">
        <f>IFERROR(VLOOKUP(B3,'[1]new sheet'!$A$1:$IV$65536,4,FALSE),0)</f>
        <v>0</v>
      </c>
      <c r="G3" s="4">
        <f>IFERROR(VLOOKUP(B3,'[2]new sheet'!$A$1:$IV$65536,2,0),0)</f>
        <v>114.5</v>
      </c>
      <c r="H3" s="5">
        <f>IFERROR(VLOOKUP(B3,'[3]new sheet'!$A$1:$IV$65536,2,0),0)</f>
        <v>65.08</v>
      </c>
    </row>
    <row r="4" spans="1:8" ht="24" customHeight="1">
      <c r="A4" s="7">
        <v>0</v>
      </c>
      <c r="B4" s="7">
        <v>1212</v>
      </c>
      <c r="C4" s="8" t="s">
        <v>5</v>
      </c>
      <c r="D4" s="8" t="s">
        <v>1935</v>
      </c>
      <c r="E4" s="2">
        <f>IFERROR(VLOOKUP(B4,'[1]new sheet'!$A$1:$IV$65536,5,FALSE),0)</f>
        <v>0</v>
      </c>
      <c r="F4" s="3">
        <f>IFERROR(VLOOKUP(B4,'[1]new sheet'!$A$1:$IV$65536,4,FALSE),0)</f>
        <v>0</v>
      </c>
      <c r="G4" s="4">
        <f>IFERROR(VLOOKUP(B4,'[2]new sheet'!$A$1:$IV$65536,2,0),0)</f>
        <v>0</v>
      </c>
      <c r="H4" s="5">
        <f>IFERROR(VLOOKUP(B4,'[3]new sheet'!$A$1:$IV$65536,2,0),0)</f>
        <v>0</v>
      </c>
    </row>
    <row r="5" spans="1:8" ht="24" customHeight="1">
      <c r="A5" s="7">
        <v>458</v>
      </c>
      <c r="B5" s="7">
        <v>4007</v>
      </c>
      <c r="C5" s="8" t="s">
        <v>1782</v>
      </c>
      <c r="D5" s="8" t="s">
        <v>1935</v>
      </c>
      <c r="E5" s="2">
        <f>IFERROR(VLOOKUP(B5,'[1]new sheet'!$A$1:$IV$65536,5,FALSE),0)</f>
        <v>0</v>
      </c>
      <c r="F5" s="3">
        <f>IFERROR(VLOOKUP(B5,'[1]new sheet'!$A$1:$IV$65536,4,FALSE),0)</f>
        <v>0</v>
      </c>
      <c r="G5" s="4">
        <f>IFERROR(VLOOKUP(B5,'[2]new sheet'!$A$1:$IV$65536,2,0),0)</f>
        <v>0</v>
      </c>
      <c r="H5" s="5">
        <f>IFERROR(VLOOKUP(B5,'[3]new sheet'!$A$1:$IV$65536,2,0),0)</f>
        <v>0</v>
      </c>
    </row>
    <row r="6" spans="1:8" ht="24" customHeight="1">
      <c r="A6" s="7"/>
      <c r="B6" s="7">
        <v>416</v>
      </c>
      <c r="C6" s="8" t="s">
        <v>6</v>
      </c>
      <c r="D6" s="8" t="s">
        <v>1935</v>
      </c>
      <c r="E6" s="2">
        <f>IFERROR(VLOOKUP(B6,'[1]new sheet'!$A$1:$IV$65536,5,FALSE),0)</f>
        <v>0</v>
      </c>
      <c r="F6" s="3">
        <f>IFERROR(VLOOKUP(B6,'[1]new sheet'!$A$1:$IV$65536,4,FALSE),0)</f>
        <v>0</v>
      </c>
      <c r="G6" s="4">
        <f>IFERROR(VLOOKUP(B6,'[2]new sheet'!$A$1:$IV$65536,2,0),0)</f>
        <v>0</v>
      </c>
      <c r="H6" s="5">
        <f>IFERROR(VLOOKUP(B6,'[3]new sheet'!$A$1:$IV$65536,2,0),0)</f>
        <v>0</v>
      </c>
    </row>
    <row r="7" spans="1:8" ht="24" customHeight="1">
      <c r="A7" s="7">
        <v>114111</v>
      </c>
      <c r="B7" s="7">
        <v>2714</v>
      </c>
      <c r="C7" s="8" t="s">
        <v>7</v>
      </c>
      <c r="D7" s="8" t="s">
        <v>1935</v>
      </c>
      <c r="E7" s="2">
        <f>IFERROR(VLOOKUP(B7,'[1]new sheet'!$A$1:$IV$65536,5,FALSE),0)</f>
        <v>0</v>
      </c>
      <c r="F7" s="3">
        <f>IFERROR(VLOOKUP(B7,'[1]new sheet'!$A$1:$IV$65536,4,FALSE),0)</f>
        <v>0</v>
      </c>
      <c r="G7" s="4">
        <f>IFERROR(VLOOKUP(B7,'[2]new sheet'!$A$1:$IV$65536,2,0),0)</f>
        <v>0</v>
      </c>
      <c r="H7" s="5">
        <f>IFERROR(VLOOKUP(B7,'[3]new sheet'!$A$1:$IV$65536,2,0),0)</f>
        <v>0</v>
      </c>
    </row>
    <row r="8" spans="1:8" ht="24" customHeight="1">
      <c r="A8" s="7" t="s">
        <v>8</v>
      </c>
      <c r="B8" s="7">
        <v>774</v>
      </c>
      <c r="C8" s="8" t="s">
        <v>9</v>
      </c>
      <c r="D8" s="8" t="s">
        <v>1935</v>
      </c>
      <c r="E8" s="2">
        <f>IFERROR(VLOOKUP(B8,'[1]new sheet'!$A$1:$IV$65536,5,FALSE),0)</f>
        <v>0</v>
      </c>
      <c r="F8" s="3">
        <f>IFERROR(VLOOKUP(B8,'[1]new sheet'!$A$1:$IV$65536,4,FALSE),0)</f>
        <v>0</v>
      </c>
      <c r="G8" s="4">
        <f>IFERROR(VLOOKUP(B8,'[2]new sheet'!$A$1:$IV$65536,2,0),0)</f>
        <v>0</v>
      </c>
      <c r="H8" s="5">
        <f>IFERROR(VLOOKUP(B8,'[3]new sheet'!$A$1:$IV$65536,2,0),0)</f>
        <v>0</v>
      </c>
    </row>
    <row r="9" spans="1:8" ht="24" customHeight="1">
      <c r="A9" s="7">
        <v>10190</v>
      </c>
      <c r="B9" s="7">
        <v>62</v>
      </c>
      <c r="C9" s="8" t="s">
        <v>10</v>
      </c>
      <c r="D9" s="8" t="s">
        <v>1935</v>
      </c>
      <c r="E9" s="2">
        <f>IFERROR(VLOOKUP(B9,'[1]new sheet'!$A$1:$IV$65536,5,FALSE),0)</f>
        <v>0</v>
      </c>
      <c r="F9" s="3">
        <f>IFERROR(VLOOKUP(B9,'[1]new sheet'!$A$1:$IV$65536,4,FALSE),0)</f>
        <v>0</v>
      </c>
      <c r="G9" s="4">
        <f>IFERROR(VLOOKUP(B9,'[2]new sheet'!$A$1:$IV$65536,2,0),0)</f>
        <v>0</v>
      </c>
      <c r="H9" s="5">
        <f>IFERROR(VLOOKUP(B9,'[3]new sheet'!$A$1:$IV$65536,2,0),0)</f>
        <v>0</v>
      </c>
    </row>
    <row r="10" spans="1:8" ht="24" customHeight="1">
      <c r="A10" s="7"/>
      <c r="B10" s="7">
        <v>415</v>
      </c>
      <c r="C10" s="8" t="s">
        <v>11</v>
      </c>
      <c r="D10" s="8" t="s">
        <v>1935</v>
      </c>
      <c r="E10" s="2">
        <f>IFERROR(VLOOKUP(B10,'[1]new sheet'!$A$1:$IV$65536,5,FALSE),0)</f>
        <v>0</v>
      </c>
      <c r="F10" s="3">
        <f>IFERROR(VLOOKUP(B10,'[1]new sheet'!$A$1:$IV$65536,4,FALSE),0)</f>
        <v>0</v>
      </c>
      <c r="G10" s="4">
        <f>IFERROR(VLOOKUP(B10,'[2]new sheet'!$A$1:$IV$65536,2,0),0)</f>
        <v>0</v>
      </c>
      <c r="H10" s="5">
        <f>IFERROR(VLOOKUP(B10,'[3]new sheet'!$A$1:$IV$65536,2,0),0)</f>
        <v>0</v>
      </c>
    </row>
    <row r="11" spans="1:8" ht="24" customHeight="1">
      <c r="A11" s="7">
        <v>0</v>
      </c>
      <c r="B11" s="7">
        <v>64</v>
      </c>
      <c r="C11" s="8" t="s">
        <v>1775</v>
      </c>
      <c r="D11" s="8" t="s">
        <v>1935</v>
      </c>
      <c r="E11" s="2">
        <f>IFERROR(VLOOKUP(B11,'[1]new sheet'!$A$1:$IV$65536,5,FALSE),0)</f>
        <v>0</v>
      </c>
      <c r="F11" s="3">
        <f>IFERROR(VLOOKUP(B11,'[1]new sheet'!$A$1:$IV$65536,4,FALSE),0)</f>
        <v>0</v>
      </c>
      <c r="G11" s="4">
        <f>IFERROR(VLOOKUP(B11,'[2]new sheet'!$A$1:$IV$65536,2,0),0)</f>
        <v>1255.25</v>
      </c>
      <c r="H11" s="5">
        <f>IFERROR(VLOOKUP(B11,'[3]new sheet'!$A$1:$IV$65536,2,0),0)</f>
        <v>0</v>
      </c>
    </row>
    <row r="12" spans="1:8" ht="24" customHeight="1">
      <c r="A12" s="7">
        <v>2250004</v>
      </c>
      <c r="B12" s="7">
        <v>3925</v>
      </c>
      <c r="C12" s="8" t="s">
        <v>1607</v>
      </c>
      <c r="D12" s="8" t="s">
        <v>1934</v>
      </c>
      <c r="E12" s="2">
        <f>IFERROR(VLOOKUP(B12,'[1]new sheet'!$A$1:$IV$65536,5,FALSE),0)</f>
        <v>174</v>
      </c>
      <c r="F12" s="3">
        <f>IFERROR(VLOOKUP(B12,'[1]new sheet'!$A$1:$IV$65536,4,FALSE),0)</f>
        <v>0</v>
      </c>
      <c r="G12" s="4">
        <f>IFERROR(VLOOKUP(B12,'[2]new sheet'!$A$1:$IV$65536,2,0),0)</f>
        <v>4</v>
      </c>
      <c r="H12" s="5">
        <f>IFERROR(VLOOKUP(B12,'[3]new sheet'!$A$1:$IV$65536,2,0),0)</f>
        <v>3</v>
      </c>
    </row>
    <row r="13" spans="1:8" ht="24" customHeight="1">
      <c r="A13" s="7">
        <v>1343</v>
      </c>
      <c r="B13" s="7">
        <v>4201</v>
      </c>
      <c r="C13" s="8" t="s">
        <v>1828</v>
      </c>
      <c r="D13" s="8" t="s">
        <v>1934</v>
      </c>
      <c r="E13" s="2">
        <f>IFERROR(VLOOKUP(B13,'[1]new sheet'!$A$1:$IV$65536,5,FALSE),0)</f>
        <v>204</v>
      </c>
      <c r="F13" s="3">
        <f>IFERROR(VLOOKUP(B13,'[1]new sheet'!$A$1:$IV$65536,4,FALSE),0)</f>
        <v>0</v>
      </c>
      <c r="G13" s="4">
        <f>IFERROR(VLOOKUP(B13,'[2]new sheet'!$A$1:$IV$65536,2,0),0)</f>
        <v>33</v>
      </c>
      <c r="H13" s="5">
        <f>IFERROR(VLOOKUP(B13,'[3]new sheet'!$A$1:$IV$65536,2,0),0)</f>
        <v>6</v>
      </c>
    </row>
    <row r="14" spans="1:8" s="6" customFormat="1" ht="24" customHeight="1">
      <c r="A14" s="7">
        <v>1342</v>
      </c>
      <c r="B14" s="7">
        <v>4202</v>
      </c>
      <c r="C14" s="8" t="s">
        <v>1829</v>
      </c>
      <c r="D14" s="8" t="s">
        <v>1934</v>
      </c>
      <c r="E14" s="2">
        <f>IFERROR(VLOOKUP(B14,'[1]new sheet'!$A$1:$IV$65536,5,FALSE),0)</f>
        <v>510</v>
      </c>
      <c r="F14" s="3">
        <f>IFERROR(VLOOKUP(B14,'[1]new sheet'!$A$1:$IV$65536,4,FALSE),0)</f>
        <v>0</v>
      </c>
      <c r="G14" s="4">
        <f>IFERROR(VLOOKUP(B14,'[2]new sheet'!$A$1:$IV$65536,2,0),0)</f>
        <v>60</v>
      </c>
      <c r="H14" s="5">
        <f>IFERROR(VLOOKUP(B14,'[3]new sheet'!$A$1:$IV$65536,2,0),0)</f>
        <v>10</v>
      </c>
    </row>
    <row r="15" spans="1:8" ht="24" customHeight="1">
      <c r="A15" s="7">
        <v>875</v>
      </c>
      <c r="B15" s="7">
        <v>1055</v>
      </c>
      <c r="C15" s="8" t="s">
        <v>12</v>
      </c>
      <c r="D15" s="8" t="s">
        <v>1934</v>
      </c>
      <c r="E15" s="2">
        <f>IFERROR(VLOOKUP(B15,'[1]new sheet'!$A$1:$IV$65536,5,FALSE),0)</f>
        <v>261</v>
      </c>
      <c r="F15" s="3">
        <f>IFERROR(VLOOKUP(B15,'[1]new sheet'!$A$1:$IV$65536,4,FALSE),0)</f>
        <v>1</v>
      </c>
      <c r="G15" s="4">
        <f>IFERROR(VLOOKUP(B15,'[2]new sheet'!$A$1:$IV$65536,2,0),0)</f>
        <v>147</v>
      </c>
      <c r="H15" s="5">
        <f>IFERROR(VLOOKUP(B15,'[3]new sheet'!$A$1:$IV$65536,2,0),0)</f>
        <v>58</v>
      </c>
    </row>
    <row r="16" spans="1:8" ht="24" customHeight="1">
      <c r="A16" s="7">
        <v>734</v>
      </c>
      <c r="B16" s="7">
        <v>1054</v>
      </c>
      <c r="C16" s="8" t="s">
        <v>13</v>
      </c>
      <c r="D16" s="8" t="s">
        <v>1934</v>
      </c>
      <c r="E16" s="2">
        <f>IFERROR(VLOOKUP(B16,'[1]new sheet'!$A$1:$IV$65536,5,FALSE),0)</f>
        <v>1208</v>
      </c>
      <c r="F16" s="3">
        <f>IFERROR(VLOOKUP(B16,'[1]new sheet'!$A$1:$IV$65536,4,FALSE),0)</f>
        <v>14</v>
      </c>
      <c r="G16" s="4">
        <f>IFERROR(VLOOKUP(B16,'[2]new sheet'!$A$1:$IV$65536,2,0),0)</f>
        <v>354</v>
      </c>
      <c r="H16" s="5">
        <f>IFERROR(VLOOKUP(B16,'[3]new sheet'!$A$1:$IV$65536,2,0),0)</f>
        <v>103</v>
      </c>
    </row>
    <row r="17" spans="1:8" s="6" customFormat="1" ht="24" customHeight="1">
      <c r="A17" s="7"/>
      <c r="B17" s="7">
        <v>417</v>
      </c>
      <c r="C17" s="8" t="s">
        <v>14</v>
      </c>
      <c r="D17" s="8" t="s">
        <v>1934</v>
      </c>
      <c r="E17" s="2">
        <f>IFERROR(VLOOKUP(B17,'[1]new sheet'!$A$1:$IV$65536,5,FALSE),0)</f>
        <v>0</v>
      </c>
      <c r="F17" s="3">
        <f>IFERROR(VLOOKUP(B17,'[1]new sheet'!$A$1:$IV$65536,4,FALSE),0)</f>
        <v>0</v>
      </c>
      <c r="G17" s="4">
        <f>IFERROR(VLOOKUP(B17,'[2]new sheet'!$A$1:$IV$65536,2,0),0)</f>
        <v>0</v>
      </c>
      <c r="H17" s="5">
        <f>IFERROR(VLOOKUP(B17,'[3]new sheet'!$A$1:$IV$65536,2,0),0)</f>
        <v>0</v>
      </c>
    </row>
    <row r="18" spans="1:8" s="6" customFormat="1" ht="24" customHeight="1">
      <c r="A18" s="7">
        <v>120550</v>
      </c>
      <c r="B18" s="7">
        <v>3106</v>
      </c>
      <c r="C18" s="8" t="s">
        <v>15</v>
      </c>
      <c r="D18" s="8" t="s">
        <v>1934</v>
      </c>
      <c r="E18" s="2">
        <f>IFERROR(VLOOKUP(B18,'[1]new sheet'!$A$1:$IV$65536,5,FALSE),0)</f>
        <v>0</v>
      </c>
      <c r="F18" s="3">
        <f>IFERROR(VLOOKUP(B18,'[1]new sheet'!$A$1:$IV$65536,4,FALSE),0)</f>
        <v>0</v>
      </c>
      <c r="G18" s="4">
        <f>IFERROR(VLOOKUP(B18,'[2]new sheet'!$A$1:$IV$65536,2,0),0)</f>
        <v>0</v>
      </c>
      <c r="H18" s="5">
        <f>IFERROR(VLOOKUP(B18,'[3]new sheet'!$A$1:$IV$65536,2,0),0)</f>
        <v>0</v>
      </c>
    </row>
    <row r="19" spans="1:8" ht="24" customHeight="1">
      <c r="A19" s="7">
        <v>120514</v>
      </c>
      <c r="B19" s="7">
        <v>3105</v>
      </c>
      <c r="C19" s="8" t="s">
        <v>16</v>
      </c>
      <c r="D19" s="8" t="s">
        <v>1934</v>
      </c>
      <c r="E19" s="2">
        <f>IFERROR(VLOOKUP(B19,'[1]new sheet'!$A$1:$IV$65536,5,FALSE),0)</f>
        <v>176</v>
      </c>
      <c r="F19" s="3">
        <f>IFERROR(VLOOKUP(B19,'[1]new sheet'!$A$1:$IV$65536,4,FALSE),0)</f>
        <v>0</v>
      </c>
      <c r="G19" s="4">
        <f>IFERROR(VLOOKUP(B19,'[2]new sheet'!$A$1:$IV$65536,2,0),0)</f>
        <v>3</v>
      </c>
      <c r="H19" s="5">
        <f>IFERROR(VLOOKUP(B19,'[3]new sheet'!$A$1:$IV$65536,2,0),0)</f>
        <v>0</v>
      </c>
    </row>
    <row r="20" spans="1:8" s="6" customFormat="1" ht="24" customHeight="1">
      <c r="A20" s="7"/>
      <c r="B20" s="7">
        <v>1926</v>
      </c>
      <c r="C20" s="8" t="s">
        <v>17</v>
      </c>
      <c r="D20" s="8" t="s">
        <v>1934</v>
      </c>
      <c r="E20" s="2">
        <f>IFERROR(VLOOKUP(B20,'[1]new sheet'!$A$1:$IV$65536,5,FALSE),0)</f>
        <v>0</v>
      </c>
      <c r="F20" s="3">
        <f>IFERROR(VLOOKUP(B20,'[1]new sheet'!$A$1:$IV$65536,4,FALSE),0)</f>
        <v>0</v>
      </c>
      <c r="G20" s="4">
        <f>IFERROR(VLOOKUP(B20,'[2]new sheet'!$A$1:$IV$65536,2,0),0)</f>
        <v>0</v>
      </c>
      <c r="H20" s="5">
        <f>IFERROR(VLOOKUP(B20,'[3]new sheet'!$A$1:$IV$65536,2,0),0)</f>
        <v>0</v>
      </c>
    </row>
    <row r="21" spans="1:8" s="6" customFormat="1" ht="24" customHeight="1">
      <c r="A21" s="7"/>
      <c r="B21" s="7">
        <v>420</v>
      </c>
      <c r="C21" s="8" t="s">
        <v>18</v>
      </c>
      <c r="D21" s="8" t="s">
        <v>1934</v>
      </c>
      <c r="E21" s="2">
        <f>IFERROR(VLOOKUP(B21,'[1]new sheet'!$A$1:$IV$65536,5,FALSE),0)</f>
        <v>131</v>
      </c>
      <c r="F21" s="3">
        <f>IFERROR(VLOOKUP(B21,'[1]new sheet'!$A$1:$IV$65536,4,FALSE),0)</f>
        <v>0</v>
      </c>
      <c r="G21" s="4">
        <f>IFERROR(VLOOKUP(B21,'[2]new sheet'!$A$1:$IV$65536,2,0),0)</f>
        <v>4</v>
      </c>
      <c r="H21" s="5">
        <f>IFERROR(VLOOKUP(B21,'[3]new sheet'!$A$1:$IV$65536,2,0),0)</f>
        <v>9</v>
      </c>
    </row>
    <row r="22" spans="1:8" ht="24" customHeight="1">
      <c r="A22" s="7"/>
      <c r="B22" s="7">
        <v>421</v>
      </c>
      <c r="C22" s="8" t="s">
        <v>19</v>
      </c>
      <c r="D22" s="8" t="s">
        <v>1934</v>
      </c>
      <c r="E22" s="2">
        <f>IFERROR(VLOOKUP(B22,'[1]new sheet'!$A$1:$IV$65536,5,FALSE),0)</f>
        <v>344</v>
      </c>
      <c r="F22" s="3">
        <f>IFERROR(VLOOKUP(B22,'[1]new sheet'!$A$1:$IV$65536,4,FALSE),0)</f>
        <v>0</v>
      </c>
      <c r="G22" s="4">
        <f>IFERROR(VLOOKUP(B22,'[2]new sheet'!$A$1:$IV$65536,2,0),0)</f>
        <v>1</v>
      </c>
      <c r="H22" s="5">
        <f>IFERROR(VLOOKUP(B22,'[3]new sheet'!$A$1:$IV$65536,2,0),0)</f>
        <v>9</v>
      </c>
    </row>
    <row r="23" spans="1:8" s="6" customFormat="1" ht="24" customHeight="1">
      <c r="A23" s="7"/>
      <c r="B23" s="7">
        <v>418</v>
      </c>
      <c r="C23" s="8" t="s">
        <v>20</v>
      </c>
      <c r="D23" s="8" t="s">
        <v>1934</v>
      </c>
      <c r="E23" s="2">
        <f>IFERROR(VLOOKUP(B23,'[1]new sheet'!$A$1:$IV$65536,5,FALSE),0)</f>
        <v>0</v>
      </c>
      <c r="F23" s="3">
        <f>IFERROR(VLOOKUP(B23,'[1]new sheet'!$A$1:$IV$65536,4,FALSE),0)</f>
        <v>0</v>
      </c>
      <c r="G23" s="4">
        <f>IFERROR(VLOOKUP(B23,'[2]new sheet'!$A$1:$IV$65536,2,0),0)</f>
        <v>0</v>
      </c>
      <c r="H23" s="5">
        <f>IFERROR(VLOOKUP(B23,'[3]new sheet'!$A$1:$IV$65536,2,0),0)</f>
        <v>0</v>
      </c>
    </row>
    <row r="24" spans="1:8" ht="24" customHeight="1">
      <c r="A24" s="7"/>
      <c r="B24" s="7">
        <v>419</v>
      </c>
      <c r="C24" s="8" t="s">
        <v>21</v>
      </c>
      <c r="D24" s="8" t="s">
        <v>1934</v>
      </c>
      <c r="E24" s="2">
        <f>IFERROR(VLOOKUP(B24,'[1]new sheet'!$A$1:$IV$65536,5,FALSE),0)</f>
        <v>0</v>
      </c>
      <c r="F24" s="3">
        <f>IFERROR(VLOOKUP(B24,'[1]new sheet'!$A$1:$IV$65536,4,FALSE),0)</f>
        <v>0</v>
      </c>
      <c r="G24" s="4">
        <f>IFERROR(VLOOKUP(B24,'[2]new sheet'!$A$1:$IV$65536,2,0),0)</f>
        <v>0</v>
      </c>
      <c r="H24" s="5">
        <f>IFERROR(VLOOKUP(B24,'[3]new sheet'!$A$1:$IV$65536,2,0),0)</f>
        <v>0</v>
      </c>
    </row>
    <row r="25" spans="1:8" ht="24" customHeight="1">
      <c r="A25" s="7"/>
      <c r="B25" s="7">
        <v>422</v>
      </c>
      <c r="C25" s="8" t="s">
        <v>22</v>
      </c>
      <c r="D25" s="8" t="s">
        <v>1934</v>
      </c>
      <c r="E25" s="2">
        <f>IFERROR(VLOOKUP(B25,'[1]new sheet'!$A$1:$IV$65536,5,FALSE),0)</f>
        <v>0</v>
      </c>
      <c r="F25" s="3">
        <f>IFERROR(VLOOKUP(B25,'[1]new sheet'!$A$1:$IV$65536,4,FALSE),0)</f>
        <v>0</v>
      </c>
      <c r="G25" s="4">
        <f>IFERROR(VLOOKUP(B25,'[2]new sheet'!$A$1:$IV$65536,2,0),0)</f>
        <v>0</v>
      </c>
      <c r="H25" s="5">
        <f>IFERROR(VLOOKUP(B25,'[3]new sheet'!$A$1:$IV$65536,2,0),0)</f>
        <v>0</v>
      </c>
    </row>
    <row r="26" spans="1:8" ht="24" customHeight="1">
      <c r="A26" s="7" t="s">
        <v>23</v>
      </c>
      <c r="B26" s="7">
        <v>423</v>
      </c>
      <c r="C26" s="8" t="s">
        <v>24</v>
      </c>
      <c r="D26" s="8" t="s">
        <v>1934</v>
      </c>
      <c r="E26" s="2">
        <f>IFERROR(VLOOKUP(B26,'[1]new sheet'!$A$1:$IV$65536,5,FALSE),0)</f>
        <v>0</v>
      </c>
      <c r="F26" s="3">
        <f>IFERROR(VLOOKUP(B26,'[1]new sheet'!$A$1:$IV$65536,4,FALSE),0)</f>
        <v>0</v>
      </c>
      <c r="G26" s="4">
        <f>IFERROR(VLOOKUP(B26,'[2]new sheet'!$A$1:$IV$65536,2,0),0)</f>
        <v>0</v>
      </c>
      <c r="H26" s="5">
        <f>IFERROR(VLOOKUP(B26,'[3]new sheet'!$A$1:$IV$65536,2,0),0)</f>
        <v>0</v>
      </c>
    </row>
    <row r="27" spans="1:8" ht="24" customHeight="1">
      <c r="A27" s="7" t="s">
        <v>25</v>
      </c>
      <c r="B27" s="7">
        <v>424</v>
      </c>
      <c r="C27" s="8" t="s">
        <v>26</v>
      </c>
      <c r="D27" s="8" t="s">
        <v>1934</v>
      </c>
      <c r="E27" s="2">
        <f>IFERROR(VLOOKUP(B27,'[1]new sheet'!$A$1:$IV$65536,5,FALSE),0)</f>
        <v>0</v>
      </c>
      <c r="F27" s="3">
        <f>IFERROR(VLOOKUP(B27,'[1]new sheet'!$A$1:$IV$65536,4,FALSE),0)</f>
        <v>0</v>
      </c>
      <c r="G27" s="4">
        <f>IFERROR(VLOOKUP(B27,'[2]new sheet'!$A$1:$IV$65536,2,0),0)</f>
        <v>0</v>
      </c>
      <c r="H27" s="5">
        <f>IFERROR(VLOOKUP(B27,'[3]new sheet'!$A$1:$IV$65536,2,0),0)</f>
        <v>0</v>
      </c>
    </row>
    <row r="28" spans="1:8" ht="24" customHeight="1">
      <c r="A28" s="7"/>
      <c r="B28" s="7">
        <v>425</v>
      </c>
      <c r="C28" s="8" t="s">
        <v>27</v>
      </c>
      <c r="D28" s="8" t="s">
        <v>1934</v>
      </c>
      <c r="E28" s="2">
        <f>IFERROR(VLOOKUP(B28,'[1]new sheet'!$A$1:$IV$65536,5,FALSE),0)</f>
        <v>0</v>
      </c>
      <c r="F28" s="3">
        <f>IFERROR(VLOOKUP(B28,'[1]new sheet'!$A$1:$IV$65536,4,FALSE),0)</f>
        <v>0</v>
      </c>
      <c r="G28" s="4">
        <f>IFERROR(VLOOKUP(B28,'[2]new sheet'!$A$1:$IV$65536,2,0),0)</f>
        <v>0</v>
      </c>
      <c r="H28" s="5">
        <f>IFERROR(VLOOKUP(B28,'[3]new sheet'!$A$1:$IV$65536,2,0),0)</f>
        <v>0</v>
      </c>
    </row>
    <row r="29" spans="1:8" ht="24" customHeight="1">
      <c r="A29" s="7"/>
      <c r="B29" s="7">
        <v>426</v>
      </c>
      <c r="C29" s="8" t="s">
        <v>28</v>
      </c>
      <c r="D29" s="8" t="s">
        <v>1934</v>
      </c>
      <c r="E29" s="2">
        <f>IFERROR(VLOOKUP(B29,'[1]new sheet'!$A$1:$IV$65536,5,FALSE),0)</f>
        <v>0</v>
      </c>
      <c r="F29" s="3">
        <f>IFERROR(VLOOKUP(B29,'[1]new sheet'!$A$1:$IV$65536,4,FALSE),0)</f>
        <v>0</v>
      </c>
      <c r="G29" s="4">
        <f>IFERROR(VLOOKUP(B29,'[2]new sheet'!$A$1:$IV$65536,2,0),0)</f>
        <v>0</v>
      </c>
      <c r="H29" s="5">
        <f>IFERROR(VLOOKUP(B29,'[3]new sheet'!$A$1:$IV$65536,2,0),0)</f>
        <v>0</v>
      </c>
    </row>
    <row r="30" spans="1:8" ht="24" customHeight="1">
      <c r="A30" s="7" t="s">
        <v>29</v>
      </c>
      <c r="B30" s="7">
        <v>1488</v>
      </c>
      <c r="C30" s="8" t="s">
        <v>1853</v>
      </c>
      <c r="D30" s="8" t="s">
        <v>1935</v>
      </c>
      <c r="E30" s="2">
        <f>IFERROR(VLOOKUP(B30,'[1]new sheet'!$A$1:$IV$65536,5,FALSE),0)</f>
        <v>0</v>
      </c>
      <c r="F30" s="3">
        <f>IFERROR(VLOOKUP(B30,'[1]new sheet'!$A$1:$IV$65536,4,FALSE),0)</f>
        <v>0</v>
      </c>
      <c r="G30" s="4">
        <f>IFERROR(VLOOKUP(B30,'[2]new sheet'!$A$1:$IV$65536,2,0),0)</f>
        <v>0</v>
      </c>
      <c r="H30" s="5">
        <f>IFERROR(VLOOKUP(B30,'[3]new sheet'!$A$1:$IV$65536,2,0),0)</f>
        <v>0</v>
      </c>
    </row>
    <row r="31" spans="1:8" ht="24" customHeight="1">
      <c r="A31" s="7">
        <v>539</v>
      </c>
      <c r="B31" s="7">
        <v>93</v>
      </c>
      <c r="C31" s="8" t="s">
        <v>1854</v>
      </c>
      <c r="D31" s="8" t="s">
        <v>1935</v>
      </c>
      <c r="E31" s="2">
        <f>IFERROR(VLOOKUP(B31,'[1]new sheet'!$A$1:$IV$65536,5,FALSE),0)</f>
        <v>616.77</v>
      </c>
      <c r="F31" s="3">
        <f>IFERROR(VLOOKUP(B31,'[1]new sheet'!$A$1:$IV$65536,4,FALSE),0)</f>
        <v>0</v>
      </c>
      <c r="G31" s="4">
        <f>IFERROR(VLOOKUP(B31,'[2]new sheet'!$A$1:$IV$65536,2,0),0)</f>
        <v>367.93</v>
      </c>
      <c r="H31" s="5">
        <f>IFERROR(VLOOKUP(B31,'[3]new sheet'!$A$1:$IV$65536,2,0),0)</f>
        <v>43.42</v>
      </c>
    </row>
    <row r="32" spans="1:8" ht="24" customHeight="1">
      <c r="A32" s="7">
        <v>218080</v>
      </c>
      <c r="B32" s="7">
        <v>3651</v>
      </c>
      <c r="C32" s="8" t="s">
        <v>1855</v>
      </c>
      <c r="D32" s="8" t="s">
        <v>1935</v>
      </c>
      <c r="E32" s="2">
        <f>IFERROR(VLOOKUP(B32,'[1]new sheet'!$A$1:$IV$65536,5,FALSE),0)</f>
        <v>0.99</v>
      </c>
      <c r="F32" s="3">
        <f>IFERROR(VLOOKUP(B32,'[1]new sheet'!$A$1:$IV$65536,4,FALSE),0)</f>
        <v>0</v>
      </c>
      <c r="G32" s="4">
        <f>IFERROR(VLOOKUP(B32,'[2]new sheet'!$A$1:$IV$65536,2,0),0)</f>
        <v>0</v>
      </c>
      <c r="H32" s="5">
        <f>IFERROR(VLOOKUP(B32,'[3]new sheet'!$A$1:$IV$65536,2,0),0)</f>
        <v>0</v>
      </c>
    </row>
    <row r="33" spans="1:8" ht="24" customHeight="1">
      <c r="A33" s="7">
        <v>0</v>
      </c>
      <c r="B33" s="7">
        <v>66</v>
      </c>
      <c r="C33" s="8" t="s">
        <v>1856</v>
      </c>
      <c r="D33" s="8" t="s">
        <v>1935</v>
      </c>
      <c r="E33" s="2">
        <f>IFERROR(VLOOKUP(B33,'[1]new sheet'!$A$1:$IV$65536,5,FALSE),0)</f>
        <v>0</v>
      </c>
      <c r="F33" s="3">
        <f>IFERROR(VLOOKUP(B33,'[1]new sheet'!$A$1:$IV$65536,4,FALSE),0)</f>
        <v>0</v>
      </c>
      <c r="G33" s="4">
        <f>IFERROR(VLOOKUP(B33,'[2]new sheet'!$A$1:$IV$65536,2,0),0)</f>
        <v>0</v>
      </c>
      <c r="H33" s="5">
        <f>IFERROR(VLOOKUP(B33,'[3]new sheet'!$A$1:$IV$65536,2,0),0)</f>
        <v>0</v>
      </c>
    </row>
    <row r="34" spans="1:8" ht="24" customHeight="1">
      <c r="A34" s="7">
        <v>192</v>
      </c>
      <c r="B34" s="7">
        <v>3625</v>
      </c>
      <c r="C34" s="8" t="s">
        <v>1857</v>
      </c>
      <c r="D34" s="32" t="s">
        <v>1935</v>
      </c>
      <c r="E34" s="23">
        <f>IFERROR(VLOOKUP(B34,'[1]new sheet'!$A$1:$IV$65536,5,FALSE),0)</f>
        <v>0</v>
      </c>
      <c r="F34" s="3">
        <f>IFERROR(VLOOKUP(B34,'[1]new sheet'!$A$1:$IV$65536,4,FALSE),0)</f>
        <v>0</v>
      </c>
      <c r="G34" s="4">
        <f>IFERROR(VLOOKUP(B34,'[2]new sheet'!$A$1:$IV$65536,2,0),0)</f>
        <v>34.06</v>
      </c>
      <c r="H34" s="5">
        <f>IFERROR(VLOOKUP(B34,'[3]new sheet'!$A$1:$IV$65536,2,0),0)</f>
        <v>0</v>
      </c>
    </row>
    <row r="35" spans="1:8" ht="24" customHeight="1">
      <c r="A35" s="24">
        <v>40033</v>
      </c>
      <c r="B35" s="24">
        <v>3080</v>
      </c>
      <c r="C35" s="25" t="s">
        <v>30</v>
      </c>
      <c r="D35" s="25" t="s">
        <v>1935</v>
      </c>
      <c r="E35" s="2">
        <f>IFERROR(VLOOKUP(B35,'[1]new sheet'!$A$1:$IV$65536,5,FALSE),0)</f>
        <v>0</v>
      </c>
      <c r="F35" s="3">
        <f>IFERROR(VLOOKUP(B35,'[1]new sheet'!$A$1:$IV$65536,4,FALSE),0)</f>
        <v>0</v>
      </c>
      <c r="G35" s="4">
        <f>IFERROR(VLOOKUP(B35,'[2]new sheet'!$A$1:$IV$65536,2,0),0)</f>
        <v>0</v>
      </c>
      <c r="H35" s="5">
        <f>IFERROR(VLOOKUP(B35,'[3]new sheet'!$A$1:$IV$65536,2,0),0)</f>
        <v>0</v>
      </c>
    </row>
    <row r="36" spans="1:8" ht="24" customHeight="1">
      <c r="A36" s="7">
        <v>803002</v>
      </c>
      <c r="B36" s="7">
        <v>3291</v>
      </c>
      <c r="C36" s="8" t="s">
        <v>1858</v>
      </c>
      <c r="D36" s="8" t="s">
        <v>1935</v>
      </c>
      <c r="E36" s="2">
        <f>IFERROR(VLOOKUP(B36,'[1]new sheet'!$A$1:$IV$65536,5,FALSE),0)</f>
        <v>85.57</v>
      </c>
      <c r="F36" s="3">
        <f>IFERROR(VLOOKUP(B36,'[1]new sheet'!$A$1:$IV$65536,4,FALSE),0)</f>
        <v>0</v>
      </c>
      <c r="G36" s="4">
        <f>IFERROR(VLOOKUP(B36,'[2]new sheet'!$A$1:$IV$65536,2,0),0)</f>
        <v>0</v>
      </c>
      <c r="H36" s="5">
        <f>IFERROR(VLOOKUP(B36,'[3]new sheet'!$A$1:$IV$65536,2,0),0)</f>
        <v>0</v>
      </c>
    </row>
    <row r="37" spans="1:8" ht="24" customHeight="1">
      <c r="A37" s="7">
        <v>575364</v>
      </c>
      <c r="B37" s="7">
        <v>104</v>
      </c>
      <c r="C37" s="8" t="s">
        <v>31</v>
      </c>
      <c r="D37" s="8" t="s">
        <v>1934</v>
      </c>
      <c r="E37" s="2">
        <f>IFERROR(VLOOKUP(B37,'[1]new sheet'!$A$1:$IV$65536,5,FALSE),0)</f>
        <v>2</v>
      </c>
      <c r="F37" s="3">
        <f>IFERROR(VLOOKUP(B37,'[1]new sheet'!$A$1:$IV$65536,4,FALSE),0)</f>
        <v>0</v>
      </c>
      <c r="G37" s="4">
        <f>IFERROR(VLOOKUP(B37,'[2]new sheet'!$A$1:$IV$65536,2,0),0)</f>
        <v>2</v>
      </c>
      <c r="H37" s="5">
        <f>IFERROR(VLOOKUP(B37,'[3]new sheet'!$A$1:$IV$65536,2,0),0)</f>
        <v>0</v>
      </c>
    </row>
    <row r="38" spans="1:8" ht="24" customHeight="1">
      <c r="A38" s="7">
        <v>997155</v>
      </c>
      <c r="B38" s="7">
        <v>315</v>
      </c>
      <c r="C38" s="8" t="s">
        <v>32</v>
      </c>
      <c r="D38" s="8" t="s">
        <v>1934</v>
      </c>
      <c r="E38" s="2">
        <f>IFERROR(VLOOKUP(B38,'[1]new sheet'!$A$1:$IV$65536,5,FALSE),0)</f>
        <v>1</v>
      </c>
      <c r="F38" s="3">
        <f>IFERROR(VLOOKUP(B38,'[1]new sheet'!$A$1:$IV$65536,4,FALSE),0)</f>
        <v>1</v>
      </c>
      <c r="G38" s="4">
        <f>IFERROR(VLOOKUP(B38,'[2]new sheet'!$A$1:$IV$65536,2,0),0)</f>
        <v>3</v>
      </c>
      <c r="H38" s="5">
        <f>IFERROR(VLOOKUP(B38,'[3]new sheet'!$A$1:$IV$65536,2,0),0)</f>
        <v>0</v>
      </c>
    </row>
    <row r="39" spans="1:8" ht="24" customHeight="1">
      <c r="A39" s="7">
        <v>48332</v>
      </c>
      <c r="B39" s="7">
        <v>225</v>
      </c>
      <c r="C39" s="8" t="s">
        <v>33</v>
      </c>
      <c r="D39" s="8" t="s">
        <v>1934</v>
      </c>
      <c r="E39" s="2">
        <f>IFERROR(VLOOKUP(B39,'[1]new sheet'!$A$1:$IV$65536,5,FALSE),0)</f>
        <v>118</v>
      </c>
      <c r="F39" s="3">
        <f>IFERROR(VLOOKUP(B39,'[1]new sheet'!$A$1:$IV$65536,4,FALSE),0)</f>
        <v>0</v>
      </c>
      <c r="G39" s="4">
        <f>IFERROR(VLOOKUP(B39,'[2]new sheet'!$A$1:$IV$65536,2,0),0)</f>
        <v>12</v>
      </c>
      <c r="H39" s="5">
        <f>IFERROR(VLOOKUP(B39,'[3]new sheet'!$A$1:$IV$65536,2,0),0)</f>
        <v>7</v>
      </c>
    </row>
    <row r="40" spans="1:8" ht="24" customHeight="1">
      <c r="A40" s="7">
        <v>52790</v>
      </c>
      <c r="B40" s="7">
        <v>226</v>
      </c>
      <c r="C40" s="8" t="s">
        <v>34</v>
      </c>
      <c r="D40" s="8" t="s">
        <v>1934</v>
      </c>
      <c r="E40" s="2">
        <f>IFERROR(VLOOKUP(B40,'[1]new sheet'!$A$1:$IV$65536,5,FALSE),0)</f>
        <v>81</v>
      </c>
      <c r="F40" s="3">
        <f>IFERROR(VLOOKUP(B40,'[1]new sheet'!$A$1:$IV$65536,4,FALSE),0)</f>
        <v>2</v>
      </c>
      <c r="G40" s="4">
        <f>IFERROR(VLOOKUP(B40,'[2]new sheet'!$A$1:$IV$65536,2,0),0)</f>
        <v>17</v>
      </c>
      <c r="H40" s="5">
        <f>IFERROR(VLOOKUP(B40,'[3]new sheet'!$A$1:$IV$65536,2,0),0)</f>
        <v>5</v>
      </c>
    </row>
    <row r="41" spans="1:8" ht="24" customHeight="1">
      <c r="A41" s="7"/>
      <c r="B41" s="7">
        <v>227</v>
      </c>
      <c r="C41" s="8" t="s">
        <v>35</v>
      </c>
      <c r="D41" s="8" t="s">
        <v>1934</v>
      </c>
      <c r="E41" s="2">
        <f>IFERROR(VLOOKUP(B41,'[1]new sheet'!$A$1:$IV$65536,5,FALSE),0)</f>
        <v>18</v>
      </c>
      <c r="F41" s="3">
        <f>IFERROR(VLOOKUP(B41,'[1]new sheet'!$A$1:$IV$65536,4,FALSE),0)</f>
        <v>0</v>
      </c>
      <c r="G41" s="4">
        <f>IFERROR(VLOOKUP(B41,'[2]new sheet'!$A$1:$IV$65536,2,0),0)</f>
        <v>10</v>
      </c>
      <c r="H41" s="5">
        <f>IFERROR(VLOOKUP(B41,'[3]new sheet'!$A$1:$IV$65536,2,0),0)</f>
        <v>4</v>
      </c>
    </row>
    <row r="42" spans="1:8" ht="24" customHeight="1">
      <c r="A42" s="7">
        <v>4276</v>
      </c>
      <c r="B42" s="7">
        <v>1470</v>
      </c>
      <c r="C42" s="8" t="s">
        <v>36</v>
      </c>
      <c r="D42" s="8" t="s">
        <v>1934</v>
      </c>
      <c r="E42" s="2">
        <f>IFERROR(VLOOKUP(B42,'[1]new sheet'!$A$1:$IV$65536,5,FALSE),0)</f>
        <v>0</v>
      </c>
      <c r="F42" s="3">
        <f>IFERROR(VLOOKUP(B42,'[1]new sheet'!$A$1:$IV$65536,4,FALSE),0)</f>
        <v>0</v>
      </c>
      <c r="G42" s="4">
        <f>IFERROR(VLOOKUP(B42,'[2]new sheet'!$A$1:$IV$65536,2,0),0)</f>
        <v>0</v>
      </c>
      <c r="H42" s="5">
        <f>IFERROR(VLOOKUP(B42,'[3]new sheet'!$A$1:$IV$65536,2,0),0)</f>
        <v>0</v>
      </c>
    </row>
    <row r="43" spans="1:8" ht="24" customHeight="1">
      <c r="A43" s="7">
        <v>517</v>
      </c>
      <c r="B43" s="7">
        <v>775</v>
      </c>
      <c r="C43" s="8" t="s">
        <v>37</v>
      </c>
      <c r="D43" s="8" t="s">
        <v>1936</v>
      </c>
      <c r="E43" s="2">
        <f>IFERROR(VLOOKUP(B43,'[1]new sheet'!$A$1:$IV$65536,5,FALSE),0)</f>
        <v>0</v>
      </c>
      <c r="F43" s="3">
        <f>IFERROR(VLOOKUP(B43,'[1]new sheet'!$A$1:$IV$65536,4,FALSE),0)</f>
        <v>0</v>
      </c>
      <c r="G43" s="4">
        <f>IFERROR(VLOOKUP(B43,'[2]new sheet'!$A$1:$IV$65536,2,0),0)</f>
        <v>179</v>
      </c>
      <c r="H43" s="5">
        <f>IFERROR(VLOOKUP(B43,'[3]new sheet'!$A$1:$IV$65536,2,0),0)</f>
        <v>4</v>
      </c>
    </row>
    <row r="44" spans="1:8" ht="24" customHeight="1">
      <c r="A44" s="7">
        <v>155314</v>
      </c>
      <c r="B44" s="7">
        <v>427</v>
      </c>
      <c r="C44" s="8" t="s">
        <v>38</v>
      </c>
      <c r="D44" s="8" t="s">
        <v>1936</v>
      </c>
      <c r="E44" s="2">
        <f>IFERROR(VLOOKUP(B44,'[1]new sheet'!$A$1:$IV$65536,5,FALSE),0)</f>
        <v>0</v>
      </c>
      <c r="F44" s="3">
        <f>IFERROR(VLOOKUP(B44,'[1]new sheet'!$A$1:$IV$65536,4,FALSE),0)</f>
        <v>0</v>
      </c>
      <c r="G44" s="4">
        <f>IFERROR(VLOOKUP(B44,'[2]new sheet'!$A$1:$IV$65536,2,0),0)</f>
        <v>0</v>
      </c>
      <c r="H44" s="5">
        <f>IFERROR(VLOOKUP(B44,'[3]new sheet'!$A$1:$IV$65536,2,0),0)</f>
        <v>0</v>
      </c>
    </row>
    <row r="45" spans="1:8" ht="24" customHeight="1">
      <c r="A45" s="7">
        <v>520</v>
      </c>
      <c r="B45" s="7">
        <v>428</v>
      </c>
      <c r="C45" s="8" t="s">
        <v>1780</v>
      </c>
      <c r="D45" s="8" t="s">
        <v>1936</v>
      </c>
      <c r="E45" s="2">
        <f>IFERROR(VLOOKUP(B45,'[1]new sheet'!$A$1:$IV$65536,5,FALSE),0)</f>
        <v>0</v>
      </c>
      <c r="F45" s="3">
        <f>IFERROR(VLOOKUP(B45,'[1]new sheet'!$A$1:$IV$65536,4,FALSE),0)</f>
        <v>0</v>
      </c>
      <c r="G45" s="4">
        <f>IFERROR(VLOOKUP(B45,'[2]new sheet'!$A$1:$IV$65536,2,0),0)</f>
        <v>115</v>
      </c>
      <c r="H45" s="5">
        <f>IFERROR(VLOOKUP(B45,'[3]new sheet'!$A$1:$IV$65536,2,0),0)</f>
        <v>4</v>
      </c>
    </row>
    <row r="46" spans="1:8" ht="24" customHeight="1">
      <c r="A46" s="7">
        <v>60308</v>
      </c>
      <c r="B46" s="7">
        <v>429</v>
      </c>
      <c r="C46" s="8" t="s">
        <v>39</v>
      </c>
      <c r="D46" s="8" t="s">
        <v>1936</v>
      </c>
      <c r="E46" s="2">
        <f>IFERROR(VLOOKUP(B46,'[1]new sheet'!$A$1:$IV$65536,5,FALSE),0)</f>
        <v>990</v>
      </c>
      <c r="F46" s="3">
        <f>IFERROR(VLOOKUP(B46,'[1]new sheet'!$A$1:$IV$65536,4,FALSE),0)</f>
        <v>41</v>
      </c>
      <c r="G46" s="4">
        <f>IFERROR(VLOOKUP(B46,'[2]new sheet'!$A$1:$IV$65536,2,0),0)</f>
        <v>2252</v>
      </c>
      <c r="H46" s="5">
        <f>IFERROR(VLOOKUP(B46,'[3]new sheet'!$A$1:$IV$65536,2,0),0)</f>
        <v>778</v>
      </c>
    </row>
    <row r="47" spans="1:8" ht="24" customHeight="1">
      <c r="A47" s="7" t="s">
        <v>40</v>
      </c>
      <c r="B47" s="7">
        <v>430</v>
      </c>
      <c r="C47" s="8" t="s">
        <v>41</v>
      </c>
      <c r="D47" s="8" t="s">
        <v>1934</v>
      </c>
      <c r="E47" s="2">
        <f>IFERROR(VLOOKUP(B47,'[1]new sheet'!$A$1:$IV$65536,5,FALSE),0)</f>
        <v>0</v>
      </c>
      <c r="F47" s="3">
        <f>IFERROR(VLOOKUP(B47,'[1]new sheet'!$A$1:$IV$65536,4,FALSE),0)</f>
        <v>0</v>
      </c>
      <c r="G47" s="4">
        <f>IFERROR(VLOOKUP(B47,'[2]new sheet'!$A$1:$IV$65536,2,0),0)</f>
        <v>0</v>
      </c>
      <c r="H47" s="5">
        <f>IFERROR(VLOOKUP(B47,'[3]new sheet'!$A$1:$IV$65536,2,0),0)</f>
        <v>0</v>
      </c>
    </row>
    <row r="48" spans="1:8" ht="24" customHeight="1">
      <c r="A48" s="7">
        <v>577944</v>
      </c>
      <c r="B48" s="7">
        <v>431</v>
      </c>
      <c r="C48" s="8" t="s">
        <v>1731</v>
      </c>
      <c r="D48" s="8" t="s">
        <v>1936</v>
      </c>
      <c r="E48" s="2">
        <f>IFERROR(VLOOKUP(B48,'[1]new sheet'!$A$1:$IV$65536,5,FALSE),0)</f>
        <v>127</v>
      </c>
      <c r="F48" s="3">
        <f>IFERROR(VLOOKUP(B48,'[1]new sheet'!$A$1:$IV$65536,4,FALSE),0)</f>
        <v>28</v>
      </c>
      <c r="G48" s="4">
        <f>IFERROR(VLOOKUP(B48,'[2]new sheet'!$A$1:$IV$65536,2,0),0)</f>
        <v>830</v>
      </c>
      <c r="H48" s="5">
        <f>IFERROR(VLOOKUP(B48,'[3]new sheet'!$A$1:$IV$65536,2,0),0)</f>
        <v>315</v>
      </c>
    </row>
    <row r="49" spans="1:8" ht="24" customHeight="1">
      <c r="A49" s="7">
        <v>998547</v>
      </c>
      <c r="B49" s="7">
        <v>314</v>
      </c>
      <c r="C49" s="8" t="s">
        <v>42</v>
      </c>
      <c r="D49" s="8" t="s">
        <v>1934</v>
      </c>
      <c r="E49" s="2">
        <f>IFERROR(VLOOKUP(B49,'[1]new sheet'!$A$1:$IV$65536,5,FALSE),0)</f>
        <v>0</v>
      </c>
      <c r="F49" s="3">
        <f>IFERROR(VLOOKUP(B49,'[1]new sheet'!$A$1:$IV$65536,4,FALSE),0)</f>
        <v>0</v>
      </c>
      <c r="G49" s="4">
        <f>IFERROR(VLOOKUP(B49,'[2]new sheet'!$A$1:$IV$65536,2,0),0)</f>
        <v>156</v>
      </c>
      <c r="H49" s="5">
        <f>IFERROR(VLOOKUP(B49,'[3]new sheet'!$A$1:$IV$65536,2,0),0)</f>
        <v>4</v>
      </c>
    </row>
    <row r="50" spans="1:8" ht="24" customHeight="1">
      <c r="A50" s="7">
        <v>7056</v>
      </c>
      <c r="B50" s="7">
        <v>313</v>
      </c>
      <c r="C50" s="8" t="s">
        <v>43</v>
      </c>
      <c r="D50" s="8" t="s">
        <v>1936</v>
      </c>
      <c r="E50" s="2">
        <f>IFERROR(VLOOKUP(B50,'[1]new sheet'!$A$1:$IV$65536,5,FALSE),0)</f>
        <v>50</v>
      </c>
      <c r="F50" s="3">
        <f>IFERROR(VLOOKUP(B50,'[1]new sheet'!$A$1:$IV$65536,4,FALSE),0)</f>
        <v>0</v>
      </c>
      <c r="G50" s="4">
        <f>IFERROR(VLOOKUP(B50,'[2]new sheet'!$A$1:$IV$65536,2,0),0)</f>
        <v>158</v>
      </c>
      <c r="H50" s="5">
        <f>IFERROR(VLOOKUP(B50,'[3]new sheet'!$A$1:$IV$65536,2,0),0)</f>
        <v>61</v>
      </c>
    </row>
    <row r="51" spans="1:8" ht="24" customHeight="1">
      <c r="A51" s="7">
        <v>330</v>
      </c>
      <c r="B51" s="7">
        <v>432</v>
      </c>
      <c r="C51" s="8" t="s">
        <v>1866</v>
      </c>
      <c r="D51" s="8" t="s">
        <v>1934</v>
      </c>
      <c r="E51" s="2">
        <f>IFERROR(VLOOKUP(B51,'[1]new sheet'!$A$1:$IV$65536,5,FALSE),0)</f>
        <v>0</v>
      </c>
      <c r="F51" s="3">
        <f>IFERROR(VLOOKUP(B51,'[1]new sheet'!$A$1:$IV$65536,4,FALSE),0)</f>
        <v>0</v>
      </c>
      <c r="G51" s="4">
        <f>IFERROR(VLOOKUP(B51,'[2]new sheet'!$A$1:$IV$65536,2,0),0)</f>
        <v>0</v>
      </c>
      <c r="H51" s="5">
        <f>IFERROR(VLOOKUP(B51,'[3]new sheet'!$A$1:$IV$65536,2,0),0)</f>
        <v>0</v>
      </c>
    </row>
    <row r="52" spans="1:8" ht="24" customHeight="1">
      <c r="A52" s="7"/>
      <c r="B52" s="7">
        <v>434</v>
      </c>
      <c r="C52" s="8" t="s">
        <v>44</v>
      </c>
      <c r="D52" s="8" t="s">
        <v>1934</v>
      </c>
      <c r="E52" s="2">
        <f>IFERROR(VLOOKUP(B52,'[1]new sheet'!$A$1:$IV$65536,5,FALSE),0)</f>
        <v>0</v>
      </c>
      <c r="F52" s="3">
        <f>IFERROR(VLOOKUP(B52,'[1]new sheet'!$A$1:$IV$65536,4,FALSE),0)</f>
        <v>0</v>
      </c>
      <c r="G52" s="4">
        <f>IFERROR(VLOOKUP(B52,'[2]new sheet'!$A$1:$IV$65536,2,0),0)</f>
        <v>0</v>
      </c>
      <c r="H52" s="5">
        <f>IFERROR(VLOOKUP(B52,'[3]new sheet'!$A$1:$IV$65536,2,0),0)</f>
        <v>0</v>
      </c>
    </row>
    <row r="53" spans="1:8" ht="24" customHeight="1">
      <c r="A53" s="7">
        <v>1000014</v>
      </c>
      <c r="B53" s="7">
        <v>433</v>
      </c>
      <c r="C53" s="8" t="s">
        <v>45</v>
      </c>
      <c r="D53" s="8" t="s">
        <v>1934</v>
      </c>
      <c r="E53" s="2">
        <f>IFERROR(VLOOKUP(B53,'[1]new sheet'!$A$1:$IV$65536,5,FALSE),0)</f>
        <v>0</v>
      </c>
      <c r="F53" s="3">
        <f>IFERROR(VLOOKUP(B53,'[1]new sheet'!$A$1:$IV$65536,4,FALSE),0)</f>
        <v>0</v>
      </c>
      <c r="G53" s="4">
        <f>IFERROR(VLOOKUP(B53,'[2]new sheet'!$A$1:$IV$65536,2,0),0)</f>
        <v>325</v>
      </c>
      <c r="H53" s="5">
        <f>IFERROR(VLOOKUP(B53,'[3]new sheet'!$A$1:$IV$65536,2,0),0)</f>
        <v>86</v>
      </c>
    </row>
    <row r="54" spans="1:8" ht="24" customHeight="1">
      <c r="A54" s="7">
        <v>15067</v>
      </c>
      <c r="B54" s="7">
        <v>1919</v>
      </c>
      <c r="C54" s="8" t="s">
        <v>1867</v>
      </c>
      <c r="D54" s="8" t="s">
        <v>1934</v>
      </c>
      <c r="E54" s="2">
        <f>IFERROR(VLOOKUP(B54,'[1]new sheet'!$A$1:$IV$65536,5,FALSE),0)</f>
        <v>0</v>
      </c>
      <c r="F54" s="3">
        <f>IFERROR(VLOOKUP(B54,'[1]new sheet'!$A$1:$IV$65536,4,FALSE),0)</f>
        <v>0</v>
      </c>
      <c r="G54" s="4">
        <f>IFERROR(VLOOKUP(B54,'[2]new sheet'!$A$1:$IV$65536,2,0),0)</f>
        <v>0</v>
      </c>
      <c r="H54" s="5">
        <f>IFERROR(VLOOKUP(B54,'[3]new sheet'!$A$1:$IV$65536,2,0),0)</f>
        <v>0</v>
      </c>
    </row>
    <row r="55" spans="1:8" ht="24" customHeight="1">
      <c r="A55" s="7">
        <v>10</v>
      </c>
      <c r="B55" s="7">
        <v>1776</v>
      </c>
      <c r="C55" s="8" t="s">
        <v>46</v>
      </c>
      <c r="D55" s="8" t="s">
        <v>1934</v>
      </c>
      <c r="E55" s="2">
        <f>IFERROR(VLOOKUP(B55,'[1]new sheet'!$A$1:$IV$65536,5,FALSE),0)</f>
        <v>0</v>
      </c>
      <c r="F55" s="3">
        <f>IFERROR(VLOOKUP(B55,'[1]new sheet'!$A$1:$IV$65536,4,FALSE),0)</f>
        <v>0</v>
      </c>
      <c r="G55" s="4">
        <f>IFERROR(VLOOKUP(B55,'[2]new sheet'!$A$1:$IV$65536,2,0),0)</f>
        <v>245</v>
      </c>
      <c r="H55" s="5">
        <f>IFERROR(VLOOKUP(B55,'[3]new sheet'!$A$1:$IV$65536,2,0),0)</f>
        <v>3</v>
      </c>
    </row>
    <row r="56" spans="1:8" ht="24" customHeight="1">
      <c r="A56" s="7">
        <v>1350</v>
      </c>
      <c r="B56" s="7">
        <v>776</v>
      </c>
      <c r="C56" s="8" t="s">
        <v>47</v>
      </c>
      <c r="D56" s="8" t="s">
        <v>1934</v>
      </c>
      <c r="E56" s="2">
        <f>IFERROR(VLOOKUP(B56,'[1]new sheet'!$A$1:$IV$65536,5,FALSE),0)</f>
        <v>0</v>
      </c>
      <c r="F56" s="3">
        <f>IFERROR(VLOOKUP(B56,'[1]new sheet'!$A$1:$IV$65536,4,FALSE),0)</f>
        <v>0</v>
      </c>
      <c r="G56" s="4">
        <f>IFERROR(VLOOKUP(B56,'[2]new sheet'!$A$1:$IV$65536,2,0),0)</f>
        <v>0</v>
      </c>
      <c r="H56" s="5">
        <f>IFERROR(VLOOKUP(B56,'[3]new sheet'!$A$1:$IV$65536,2,0),0)</f>
        <v>0</v>
      </c>
    </row>
    <row r="57" spans="1:8" ht="24" customHeight="1">
      <c r="A57" s="7">
        <v>25</v>
      </c>
      <c r="B57" s="7">
        <v>19</v>
      </c>
      <c r="C57" s="8" t="s">
        <v>48</v>
      </c>
      <c r="D57" s="8" t="s">
        <v>1934</v>
      </c>
      <c r="E57" s="2">
        <f>IFERROR(VLOOKUP(B57,'[1]new sheet'!$A$1:$IV$65536,5,FALSE),0)</f>
        <v>0</v>
      </c>
      <c r="F57" s="3">
        <f>IFERROR(VLOOKUP(B57,'[1]new sheet'!$A$1:$IV$65536,4,FALSE),0)</f>
        <v>0</v>
      </c>
      <c r="G57" s="4">
        <f>IFERROR(VLOOKUP(B57,'[2]new sheet'!$A$1:$IV$65536,2,0),0)</f>
        <v>0</v>
      </c>
      <c r="H57" s="5">
        <f>IFERROR(VLOOKUP(B57,'[3]new sheet'!$A$1:$IV$65536,2,0),0)</f>
        <v>0</v>
      </c>
    </row>
    <row r="58" spans="1:8" ht="24" customHeight="1">
      <c r="A58" s="7">
        <v>70260</v>
      </c>
      <c r="B58" s="7">
        <v>3830</v>
      </c>
      <c r="C58" s="8" t="s">
        <v>1544</v>
      </c>
      <c r="D58" s="8" t="s">
        <v>1934</v>
      </c>
      <c r="E58" s="2">
        <f>IFERROR(VLOOKUP(B58,'[1]new sheet'!$A$1:$IV$65536,5,FALSE),0)</f>
        <v>0</v>
      </c>
      <c r="F58" s="3">
        <f>IFERROR(VLOOKUP(B58,'[1]new sheet'!$A$1:$IV$65536,4,FALSE),0)</f>
        <v>0</v>
      </c>
      <c r="G58" s="4">
        <f>IFERROR(VLOOKUP(B58,'[2]new sheet'!$A$1:$IV$65536,2,0),0)</f>
        <v>0</v>
      </c>
      <c r="H58" s="5">
        <f>IFERROR(VLOOKUP(B58,'[3]new sheet'!$A$1:$IV$65536,2,0),0)</f>
        <v>0</v>
      </c>
    </row>
    <row r="59" spans="1:8" ht="24" customHeight="1">
      <c r="A59" s="7">
        <v>75561</v>
      </c>
      <c r="B59" s="7">
        <v>1998</v>
      </c>
      <c r="C59" s="8" t="s">
        <v>49</v>
      </c>
      <c r="D59" s="8" t="s">
        <v>1934</v>
      </c>
      <c r="E59" s="2">
        <f>IFERROR(VLOOKUP(B59,'[1]new sheet'!$A$1:$IV$65536,5,FALSE),0)</f>
        <v>111</v>
      </c>
      <c r="F59" s="3">
        <f>IFERROR(VLOOKUP(B59,'[1]new sheet'!$A$1:$IV$65536,4,FALSE),0)</f>
        <v>10</v>
      </c>
      <c r="G59" s="4">
        <f>IFERROR(VLOOKUP(B59,'[2]new sheet'!$A$1:$IV$65536,2,0),0)</f>
        <v>1233</v>
      </c>
      <c r="H59" s="5">
        <f>IFERROR(VLOOKUP(B59,'[3]new sheet'!$A$1:$IV$65536,2,0),0)</f>
        <v>195</v>
      </c>
    </row>
    <row r="60" spans="1:8" ht="24" customHeight="1">
      <c r="A60" s="7">
        <v>350</v>
      </c>
      <c r="B60" s="7">
        <v>435</v>
      </c>
      <c r="C60" s="8" t="s">
        <v>50</v>
      </c>
      <c r="D60" s="8" t="s">
        <v>1934</v>
      </c>
      <c r="E60" s="2">
        <f>IFERROR(VLOOKUP(B60,'[1]new sheet'!$A$1:$IV$65536,5,FALSE),0)</f>
        <v>382</v>
      </c>
      <c r="F60" s="3">
        <f>IFERROR(VLOOKUP(B60,'[1]new sheet'!$A$1:$IV$65536,4,FALSE),0)</f>
        <v>38</v>
      </c>
      <c r="G60" s="4">
        <f>IFERROR(VLOOKUP(B60,'[2]new sheet'!$A$1:$IV$65536,2,0),0)</f>
        <v>262</v>
      </c>
      <c r="H60" s="5">
        <f>IFERROR(VLOOKUP(B60,'[3]new sheet'!$A$1:$IV$65536,2,0),0)</f>
        <v>361</v>
      </c>
    </row>
    <row r="61" spans="1:8" ht="24" customHeight="1">
      <c r="A61" s="7">
        <v>15410</v>
      </c>
      <c r="B61" s="7">
        <v>21</v>
      </c>
      <c r="C61" s="8" t="s">
        <v>51</v>
      </c>
      <c r="D61" s="8" t="s">
        <v>1934</v>
      </c>
      <c r="E61" s="2">
        <f>IFERROR(VLOOKUP(B61,'[1]new sheet'!$A$1:$IV$65536,5,FALSE),0)</f>
        <v>0</v>
      </c>
      <c r="F61" s="3">
        <f>IFERROR(VLOOKUP(B61,'[1]new sheet'!$A$1:$IV$65536,4,FALSE),0)</f>
        <v>0</v>
      </c>
      <c r="G61" s="4">
        <f>IFERROR(VLOOKUP(B61,'[2]new sheet'!$A$1:$IV$65536,2,0),0)</f>
        <v>0</v>
      </c>
      <c r="H61" s="5">
        <f>IFERROR(VLOOKUP(B61,'[3]new sheet'!$A$1:$IV$65536,2,0),0)</f>
        <v>0</v>
      </c>
    </row>
    <row r="62" spans="1:8" ht="24" customHeight="1">
      <c r="A62" s="7">
        <v>21109</v>
      </c>
      <c r="B62" s="7">
        <v>1980</v>
      </c>
      <c r="C62" s="8" t="s">
        <v>52</v>
      </c>
      <c r="D62" s="8" t="s">
        <v>1934</v>
      </c>
      <c r="E62" s="2">
        <f>IFERROR(VLOOKUP(B62,'[1]new sheet'!$A$1:$IV$65536,5,FALSE),0)</f>
        <v>0</v>
      </c>
      <c r="F62" s="3">
        <f>IFERROR(VLOOKUP(B62,'[1]new sheet'!$A$1:$IV$65536,4,FALSE),0)</f>
        <v>0</v>
      </c>
      <c r="G62" s="4">
        <f>IFERROR(VLOOKUP(B62,'[2]new sheet'!$A$1:$IV$65536,2,0),0)</f>
        <v>86</v>
      </c>
      <c r="H62" s="5">
        <f>IFERROR(VLOOKUP(B62,'[3]new sheet'!$A$1:$IV$65536,2,0),0)</f>
        <v>0</v>
      </c>
    </row>
    <row r="63" spans="1:8" ht="24" customHeight="1">
      <c r="A63" s="7">
        <v>32</v>
      </c>
      <c r="B63" s="7">
        <v>20</v>
      </c>
      <c r="C63" s="8" t="s">
        <v>53</v>
      </c>
      <c r="D63" s="8" t="s">
        <v>1934</v>
      </c>
      <c r="E63" s="2">
        <f>IFERROR(VLOOKUP(B63,'[1]new sheet'!$A$1:$IV$65536,5,FALSE),0)</f>
        <v>0</v>
      </c>
      <c r="F63" s="3">
        <f>IFERROR(VLOOKUP(B63,'[1]new sheet'!$A$1:$IV$65536,4,FALSE),0)</f>
        <v>0</v>
      </c>
      <c r="G63" s="4">
        <f>IFERROR(VLOOKUP(B63,'[2]new sheet'!$A$1:$IV$65536,2,0),0)</f>
        <v>0</v>
      </c>
      <c r="H63" s="5">
        <f>IFERROR(VLOOKUP(B63,'[3]new sheet'!$A$1:$IV$65536,2,0),0)</f>
        <v>0</v>
      </c>
    </row>
    <row r="64" spans="1:8" ht="24" customHeight="1">
      <c r="A64" s="7">
        <v>243</v>
      </c>
      <c r="B64" s="7">
        <v>1928</v>
      </c>
      <c r="C64" s="8" t="s">
        <v>54</v>
      </c>
      <c r="D64" s="8" t="s">
        <v>1934</v>
      </c>
      <c r="E64" s="2">
        <f>IFERROR(VLOOKUP(B64,'[1]new sheet'!$A$1:$IV$65536,5,FALSE),0)</f>
        <v>1</v>
      </c>
      <c r="F64" s="3">
        <f>IFERROR(VLOOKUP(B64,'[1]new sheet'!$A$1:$IV$65536,4,FALSE),0)</f>
        <v>0</v>
      </c>
      <c r="G64" s="4">
        <f>IFERROR(VLOOKUP(B64,'[2]new sheet'!$A$1:$IV$65536,2,0),0)</f>
        <v>916</v>
      </c>
      <c r="H64" s="5">
        <f>IFERROR(VLOOKUP(B64,'[3]new sheet'!$A$1:$IV$65536,2,0),0)</f>
        <v>15</v>
      </c>
    </row>
    <row r="65" spans="1:8" ht="24" customHeight="1">
      <c r="A65" s="7">
        <v>70265</v>
      </c>
      <c r="B65" s="7">
        <v>960</v>
      </c>
      <c r="C65" s="8" t="s">
        <v>55</v>
      </c>
      <c r="D65" s="8" t="s">
        <v>1934</v>
      </c>
      <c r="E65" s="2">
        <f>IFERROR(VLOOKUP(B65,'[1]new sheet'!$A$1:$IV$65536,5,FALSE),0)</f>
        <v>0</v>
      </c>
      <c r="F65" s="3">
        <f>IFERROR(VLOOKUP(B65,'[1]new sheet'!$A$1:$IV$65536,4,FALSE),0)</f>
        <v>0</v>
      </c>
      <c r="G65" s="4">
        <f>IFERROR(VLOOKUP(B65,'[2]new sheet'!$A$1:$IV$65536,2,0),0)</f>
        <v>0</v>
      </c>
      <c r="H65" s="5">
        <f>IFERROR(VLOOKUP(B65,'[3]new sheet'!$A$1:$IV$65536,2,0),0)</f>
        <v>0</v>
      </c>
    </row>
    <row r="66" spans="1:8" ht="24" customHeight="1">
      <c r="A66" s="7"/>
      <c r="B66" s="7">
        <v>1555</v>
      </c>
      <c r="C66" s="8" t="s">
        <v>56</v>
      </c>
      <c r="D66" s="8" t="s">
        <v>1934</v>
      </c>
      <c r="E66" s="2">
        <f>IFERROR(VLOOKUP(B66,'[1]new sheet'!$A$1:$IV$65536,5,FALSE),0)</f>
        <v>0</v>
      </c>
      <c r="F66" s="3">
        <f>IFERROR(VLOOKUP(B66,'[1]new sheet'!$A$1:$IV$65536,4,FALSE),0)</f>
        <v>0</v>
      </c>
      <c r="G66" s="4">
        <f>IFERROR(VLOOKUP(B66,'[2]new sheet'!$A$1:$IV$65536,2,0),0)</f>
        <v>0</v>
      </c>
      <c r="H66" s="5">
        <f>IFERROR(VLOOKUP(B66,'[3]new sheet'!$A$1:$IV$65536,2,0),0)</f>
        <v>0</v>
      </c>
    </row>
    <row r="67" spans="1:8" ht="24" customHeight="1">
      <c r="A67" s="7"/>
      <c r="B67" s="7">
        <v>436</v>
      </c>
      <c r="C67" s="8" t="s">
        <v>57</v>
      </c>
      <c r="D67" s="8" t="s">
        <v>1934</v>
      </c>
      <c r="E67" s="2">
        <f>IFERROR(VLOOKUP(B67,'[1]new sheet'!$A$1:$IV$65536,5,FALSE),0)</f>
        <v>0</v>
      </c>
      <c r="F67" s="3">
        <f>IFERROR(VLOOKUP(B67,'[1]new sheet'!$A$1:$IV$65536,4,FALSE),0)</f>
        <v>0</v>
      </c>
      <c r="G67" s="4">
        <f>IFERROR(VLOOKUP(B67,'[2]new sheet'!$A$1:$IV$65536,2,0),0)</f>
        <v>0</v>
      </c>
      <c r="H67" s="5">
        <f>IFERROR(VLOOKUP(B67,'[3]new sheet'!$A$1:$IV$65536,2,0),0)</f>
        <v>0</v>
      </c>
    </row>
    <row r="68" spans="1:8" ht="24" customHeight="1">
      <c r="A68" s="7">
        <v>14133</v>
      </c>
      <c r="B68" s="7">
        <v>3087</v>
      </c>
      <c r="C68" s="8" t="s">
        <v>58</v>
      </c>
      <c r="D68" s="8" t="s">
        <v>1934</v>
      </c>
      <c r="E68" s="2">
        <f>IFERROR(VLOOKUP(B68,'[1]new sheet'!$A$1:$IV$65536,5,FALSE),0)</f>
        <v>1243</v>
      </c>
      <c r="F68" s="3">
        <f>IFERROR(VLOOKUP(B68,'[1]new sheet'!$A$1:$IV$65536,4,FALSE),0)</f>
        <v>25</v>
      </c>
      <c r="G68" s="4">
        <f>IFERROR(VLOOKUP(B68,'[2]new sheet'!$A$1:$IV$65536,2,0),0)</f>
        <v>83</v>
      </c>
      <c r="H68" s="5">
        <f>IFERROR(VLOOKUP(B68,'[3]new sheet'!$A$1:$IV$65536,2,0),0)</f>
        <v>506</v>
      </c>
    </row>
    <row r="69" spans="1:8" ht="24" customHeight="1">
      <c r="A69" s="7">
        <v>10</v>
      </c>
      <c r="B69" s="7">
        <v>1750</v>
      </c>
      <c r="C69" s="8" t="s">
        <v>59</v>
      </c>
      <c r="D69" s="8" t="s">
        <v>1934</v>
      </c>
      <c r="E69" s="2">
        <f>IFERROR(VLOOKUP(B69,'[1]new sheet'!$A$1:$IV$65536,5,FALSE),0)</f>
        <v>0</v>
      </c>
      <c r="F69" s="3">
        <f>IFERROR(VLOOKUP(B69,'[1]new sheet'!$A$1:$IV$65536,4,FALSE),0)</f>
        <v>0</v>
      </c>
      <c r="G69" s="4">
        <f>IFERROR(VLOOKUP(B69,'[2]new sheet'!$A$1:$IV$65536,2,0),0)</f>
        <v>0</v>
      </c>
      <c r="H69" s="5">
        <f>IFERROR(VLOOKUP(B69,'[3]new sheet'!$A$1:$IV$65536,2,0),0)</f>
        <v>0</v>
      </c>
    </row>
    <row r="70" spans="1:8" ht="24" customHeight="1">
      <c r="A70" s="7">
        <v>1110</v>
      </c>
      <c r="B70" s="7">
        <v>6</v>
      </c>
      <c r="C70" s="8" t="s">
        <v>60</v>
      </c>
      <c r="D70" s="8" t="s">
        <v>1934</v>
      </c>
      <c r="E70" s="2">
        <f>IFERROR(VLOOKUP(B70,'[1]new sheet'!$A$1:$IV$65536,5,FALSE),0)</f>
        <v>0</v>
      </c>
      <c r="F70" s="3">
        <f>IFERROR(VLOOKUP(B70,'[1]new sheet'!$A$1:$IV$65536,4,FALSE),0)</f>
        <v>0</v>
      </c>
      <c r="G70" s="4">
        <f>IFERROR(VLOOKUP(B70,'[2]new sheet'!$A$1:$IV$65536,2,0),0)</f>
        <v>0</v>
      </c>
      <c r="H70" s="5">
        <f>IFERROR(VLOOKUP(B70,'[3]new sheet'!$A$1:$IV$65536,2,0),0)</f>
        <v>0</v>
      </c>
    </row>
    <row r="71" spans="1:8" ht="24" customHeight="1">
      <c r="A71" s="7">
        <v>3624</v>
      </c>
      <c r="B71" s="7">
        <v>437</v>
      </c>
      <c r="C71" s="8" t="s">
        <v>61</v>
      </c>
      <c r="D71" s="8" t="s">
        <v>1934</v>
      </c>
      <c r="E71" s="2">
        <f>IFERROR(VLOOKUP(B71,'[1]new sheet'!$A$1:$IV$65536,5,FALSE),0)</f>
        <v>0</v>
      </c>
      <c r="F71" s="3">
        <f>IFERROR(VLOOKUP(B71,'[1]new sheet'!$A$1:$IV$65536,4,FALSE),0)</f>
        <v>0</v>
      </c>
      <c r="G71" s="4">
        <f>IFERROR(VLOOKUP(B71,'[2]new sheet'!$A$1:$IV$65536,2,0),0)</f>
        <v>0</v>
      </c>
      <c r="H71" s="5">
        <f>IFERROR(VLOOKUP(B71,'[3]new sheet'!$A$1:$IV$65536,2,0),0)</f>
        <v>0</v>
      </c>
    </row>
    <row r="72" spans="1:8" ht="24" customHeight="1">
      <c r="A72" s="7">
        <v>18</v>
      </c>
      <c r="B72" s="7">
        <v>3</v>
      </c>
      <c r="C72" s="8" t="s">
        <v>62</v>
      </c>
      <c r="D72" s="8" t="s">
        <v>1934</v>
      </c>
      <c r="E72" s="2">
        <f>IFERROR(VLOOKUP(B72,'[1]new sheet'!$A$1:$IV$65536,5,FALSE),0)</f>
        <v>0</v>
      </c>
      <c r="F72" s="3">
        <f>IFERROR(VLOOKUP(B72,'[1]new sheet'!$A$1:$IV$65536,4,FALSE),0)</f>
        <v>0</v>
      </c>
      <c r="G72" s="4">
        <f>IFERROR(VLOOKUP(B72,'[2]new sheet'!$A$1:$IV$65536,2,0),0)</f>
        <v>0</v>
      </c>
      <c r="H72" s="5">
        <f>IFERROR(VLOOKUP(B72,'[3]new sheet'!$A$1:$IV$65536,2,0),0)</f>
        <v>0</v>
      </c>
    </row>
    <row r="73" spans="1:8" ht="24" customHeight="1">
      <c r="A73" s="7">
        <v>253</v>
      </c>
      <c r="B73" s="7">
        <v>1677</v>
      </c>
      <c r="C73" s="8" t="s">
        <v>63</v>
      </c>
      <c r="D73" s="8" t="s">
        <v>1934</v>
      </c>
      <c r="E73" s="2">
        <f>IFERROR(VLOOKUP(B73,'[1]new sheet'!$A$1:$IV$65536,5,FALSE),0)</f>
        <v>0</v>
      </c>
      <c r="F73" s="3">
        <f>IFERROR(VLOOKUP(B73,'[1]new sheet'!$A$1:$IV$65536,4,FALSE),0)</f>
        <v>0</v>
      </c>
      <c r="G73" s="4">
        <f>IFERROR(VLOOKUP(B73,'[2]new sheet'!$A$1:$IV$65536,2,0),0)</f>
        <v>422</v>
      </c>
      <c r="H73" s="5">
        <f>IFERROR(VLOOKUP(B73,'[3]new sheet'!$A$1:$IV$65536,2,0),0)</f>
        <v>129</v>
      </c>
    </row>
    <row r="74" spans="1:8" ht="24" customHeight="1">
      <c r="A74" s="7">
        <v>60265</v>
      </c>
      <c r="B74" s="7">
        <v>2269</v>
      </c>
      <c r="C74" s="8" t="s">
        <v>64</v>
      </c>
      <c r="D74" s="8" t="s">
        <v>1934</v>
      </c>
      <c r="E74" s="2">
        <f>IFERROR(VLOOKUP(B74,'[1]new sheet'!$A$1:$IV$65536,5,FALSE),0)</f>
        <v>0</v>
      </c>
      <c r="F74" s="3">
        <f>IFERROR(VLOOKUP(B74,'[1]new sheet'!$A$1:$IV$65536,4,FALSE),0)</f>
        <v>0</v>
      </c>
      <c r="G74" s="4">
        <f>IFERROR(VLOOKUP(B74,'[2]new sheet'!$A$1:$IV$65536,2,0),0)</f>
        <v>0</v>
      </c>
      <c r="H74" s="5">
        <f>IFERROR(VLOOKUP(B74,'[3]new sheet'!$A$1:$IV$65536,2,0),0)</f>
        <v>0</v>
      </c>
    </row>
    <row r="75" spans="1:8" ht="24" customHeight="1">
      <c r="A75" s="7"/>
      <c r="B75" s="7">
        <v>1784</v>
      </c>
      <c r="C75" s="8" t="s">
        <v>65</v>
      </c>
      <c r="D75" s="8" t="s">
        <v>1934</v>
      </c>
      <c r="E75" s="2">
        <f>IFERROR(VLOOKUP(B75,'[1]new sheet'!$A$1:$IV$65536,5,FALSE),0)</f>
        <v>0</v>
      </c>
      <c r="F75" s="3">
        <f>IFERROR(VLOOKUP(B75,'[1]new sheet'!$A$1:$IV$65536,4,FALSE),0)</f>
        <v>0</v>
      </c>
      <c r="G75" s="4">
        <f>IFERROR(VLOOKUP(B75,'[2]new sheet'!$A$1:$IV$65536,2,0),0)</f>
        <v>0</v>
      </c>
      <c r="H75" s="5">
        <f>IFERROR(VLOOKUP(B75,'[3]new sheet'!$A$1:$IV$65536,2,0),0)</f>
        <v>0</v>
      </c>
    </row>
    <row r="76" spans="1:8" ht="24" customHeight="1">
      <c r="A76" s="7">
        <v>110</v>
      </c>
      <c r="B76" s="7">
        <v>438</v>
      </c>
      <c r="C76" s="8" t="s">
        <v>66</v>
      </c>
      <c r="D76" s="8" t="s">
        <v>1934</v>
      </c>
      <c r="E76" s="2">
        <f>IFERROR(VLOOKUP(B76,'[1]new sheet'!$A$1:$IV$65536,5,FALSE),0)</f>
        <v>757</v>
      </c>
      <c r="F76" s="3">
        <f>IFERROR(VLOOKUP(B76,'[1]new sheet'!$A$1:$IV$65536,4,FALSE),0)</f>
        <v>19</v>
      </c>
      <c r="G76" s="4">
        <f>IFERROR(VLOOKUP(B76,'[2]new sheet'!$A$1:$IV$65536,2,0),0)</f>
        <v>1340</v>
      </c>
      <c r="H76" s="5">
        <f>IFERROR(VLOOKUP(B76,'[3]new sheet'!$A$1:$IV$65536,2,0),0)</f>
        <v>551</v>
      </c>
    </row>
    <row r="77" spans="1:8" ht="24" customHeight="1">
      <c r="A77" s="7">
        <v>522052</v>
      </c>
      <c r="B77" s="7">
        <v>2203</v>
      </c>
      <c r="C77" s="8" t="s">
        <v>67</v>
      </c>
      <c r="D77" s="8" t="s">
        <v>1934</v>
      </c>
      <c r="E77" s="2">
        <f>IFERROR(VLOOKUP(B77,'[1]new sheet'!$A$1:$IV$65536,5,FALSE),0)</f>
        <v>0</v>
      </c>
      <c r="F77" s="3">
        <f>IFERROR(VLOOKUP(B77,'[1]new sheet'!$A$1:$IV$65536,4,FALSE),0)</f>
        <v>0</v>
      </c>
      <c r="G77" s="4">
        <f>IFERROR(VLOOKUP(B77,'[2]new sheet'!$A$1:$IV$65536,2,0),0)</f>
        <v>0</v>
      </c>
      <c r="H77" s="5">
        <f>IFERROR(VLOOKUP(B77,'[3]new sheet'!$A$1:$IV$65536,2,0),0)</f>
        <v>0</v>
      </c>
    </row>
    <row r="78" spans="1:8" ht="24" customHeight="1">
      <c r="A78" s="7">
        <v>175153</v>
      </c>
      <c r="B78" s="7">
        <v>3255</v>
      </c>
      <c r="C78" s="8" t="s">
        <v>68</v>
      </c>
      <c r="D78" s="8" t="s">
        <v>1935</v>
      </c>
      <c r="E78" s="2">
        <f>IFERROR(VLOOKUP(B78,'[1]new sheet'!$A$1:$IV$65536,5,FALSE),0)</f>
        <v>0</v>
      </c>
      <c r="F78" s="3">
        <f>IFERROR(VLOOKUP(B78,'[1]new sheet'!$A$1:$IV$65536,4,FALSE),0)</f>
        <v>0</v>
      </c>
      <c r="G78" s="4">
        <f>IFERROR(VLOOKUP(B78,'[2]new sheet'!$A$1:$IV$65536,2,0),0)</f>
        <v>0</v>
      </c>
      <c r="H78" s="5">
        <f>IFERROR(VLOOKUP(B78,'[3]new sheet'!$A$1:$IV$65536,2,0),0)</f>
        <v>0</v>
      </c>
    </row>
    <row r="79" spans="1:8" ht="24" customHeight="1">
      <c r="A79" s="7"/>
      <c r="B79" s="7">
        <v>439</v>
      </c>
      <c r="C79" s="8" t="s">
        <v>69</v>
      </c>
      <c r="D79" s="8" t="s">
        <v>1934</v>
      </c>
      <c r="E79" s="2">
        <f>IFERROR(VLOOKUP(B79,'[1]new sheet'!$A$1:$IV$65536,5,FALSE),0)</f>
        <v>0</v>
      </c>
      <c r="F79" s="3">
        <f>IFERROR(VLOOKUP(B79,'[1]new sheet'!$A$1:$IV$65536,4,FALSE),0)</f>
        <v>0</v>
      </c>
      <c r="G79" s="4">
        <f>IFERROR(VLOOKUP(B79,'[2]new sheet'!$A$1:$IV$65536,2,0),0)</f>
        <v>0</v>
      </c>
      <c r="H79" s="5">
        <f>IFERROR(VLOOKUP(B79,'[3]new sheet'!$A$1:$IV$65536,2,0),0)</f>
        <v>0</v>
      </c>
    </row>
    <row r="80" spans="1:8" ht="24" customHeight="1">
      <c r="A80" s="7">
        <v>175156</v>
      </c>
      <c r="B80" s="7">
        <v>3256</v>
      </c>
      <c r="C80" s="8" t="s">
        <v>70</v>
      </c>
      <c r="D80" s="8" t="s">
        <v>1935</v>
      </c>
      <c r="E80" s="2">
        <f>IFERROR(VLOOKUP(B80,'[1]new sheet'!$A$1:$IV$65536,5,FALSE),0)</f>
        <v>1372.38</v>
      </c>
      <c r="F80" s="3">
        <f>IFERROR(VLOOKUP(B80,'[1]new sheet'!$A$1:$IV$65536,4,FALSE),0)</f>
        <v>45</v>
      </c>
      <c r="G80" s="4">
        <f>IFERROR(VLOOKUP(B80,'[2]new sheet'!$A$1:$IV$65536,2,0),0)</f>
        <v>4568.3100000000004</v>
      </c>
      <c r="H80" s="5">
        <f>IFERROR(VLOOKUP(B80,'[3]new sheet'!$A$1:$IV$65536,2,0),0)</f>
        <v>1919.61</v>
      </c>
    </row>
    <row r="81" spans="1:8" ht="24" customHeight="1">
      <c r="A81" s="7">
        <v>951153</v>
      </c>
      <c r="B81" s="7">
        <v>941</v>
      </c>
      <c r="C81" s="8" t="s">
        <v>71</v>
      </c>
      <c r="D81" s="8" t="s">
        <v>1935</v>
      </c>
      <c r="E81" s="2">
        <f>IFERROR(VLOOKUP(B81,'[1]new sheet'!$A$1:$IV$65536,5,FALSE),0)</f>
        <v>36.020000000000003</v>
      </c>
      <c r="F81" s="3">
        <f>IFERROR(VLOOKUP(B81,'[1]new sheet'!$A$1:$IV$65536,4,FALSE),0)</f>
        <v>0</v>
      </c>
      <c r="G81" s="4">
        <f>IFERROR(VLOOKUP(B81,'[2]new sheet'!$A$1:$IV$65536,2,0),0)</f>
        <v>0</v>
      </c>
      <c r="H81" s="5">
        <f>IFERROR(VLOOKUP(B81,'[3]new sheet'!$A$1:$IV$65536,2,0),0)</f>
        <v>0</v>
      </c>
    </row>
    <row r="82" spans="1:8" ht="24" customHeight="1">
      <c r="A82" s="7">
        <v>950586</v>
      </c>
      <c r="B82" s="7">
        <v>2003</v>
      </c>
      <c r="C82" s="8" t="s">
        <v>72</v>
      </c>
      <c r="D82" s="8" t="s">
        <v>1935</v>
      </c>
      <c r="E82" s="2">
        <f>IFERROR(VLOOKUP(B82,'[1]new sheet'!$A$1:$IV$65536,5,FALSE),0)</f>
        <v>220.79</v>
      </c>
      <c r="F82" s="3">
        <f>IFERROR(VLOOKUP(B82,'[1]new sheet'!$A$1:$IV$65536,4,FALSE),0)</f>
        <v>0</v>
      </c>
      <c r="G82" s="4">
        <f>IFERROR(VLOOKUP(B82,'[2]new sheet'!$A$1:$IV$65536,2,0),0)</f>
        <v>0</v>
      </c>
      <c r="H82" s="5">
        <f>IFERROR(VLOOKUP(B82,'[3]new sheet'!$A$1:$IV$65536,2,0),0)</f>
        <v>0</v>
      </c>
    </row>
    <row r="83" spans="1:8" ht="24" customHeight="1">
      <c r="A83" s="7">
        <v>688657</v>
      </c>
      <c r="B83" s="7">
        <v>1753</v>
      </c>
      <c r="C83" s="8" t="s">
        <v>73</v>
      </c>
      <c r="D83" s="8" t="s">
        <v>1935</v>
      </c>
      <c r="E83" s="2">
        <f>IFERROR(VLOOKUP(B83,'[1]new sheet'!$A$1:$IV$65536,5,FALSE),0)</f>
        <v>0</v>
      </c>
      <c r="F83" s="3">
        <f>IFERROR(VLOOKUP(B83,'[1]new sheet'!$A$1:$IV$65536,4,FALSE),0)</f>
        <v>0</v>
      </c>
      <c r="G83" s="4">
        <f>IFERROR(VLOOKUP(B83,'[2]new sheet'!$A$1:$IV$65536,2,0),0)</f>
        <v>0</v>
      </c>
      <c r="H83" s="5">
        <f>IFERROR(VLOOKUP(B83,'[3]new sheet'!$A$1:$IV$65536,2,0),0)</f>
        <v>0</v>
      </c>
    </row>
    <row r="84" spans="1:8" ht="24" customHeight="1">
      <c r="A84" s="7">
        <v>43375</v>
      </c>
      <c r="B84" s="7">
        <v>1754</v>
      </c>
      <c r="C84" s="8" t="s">
        <v>74</v>
      </c>
      <c r="D84" s="8" t="s">
        <v>1935</v>
      </c>
      <c r="E84" s="2">
        <f>IFERROR(VLOOKUP(B84,'[1]new sheet'!$A$1:$IV$65536,5,FALSE),0)</f>
        <v>0.4</v>
      </c>
      <c r="F84" s="3">
        <f>IFERROR(VLOOKUP(B84,'[1]new sheet'!$A$1:$IV$65536,4,FALSE),0)</f>
        <v>0</v>
      </c>
      <c r="G84" s="4">
        <f>IFERROR(VLOOKUP(B84,'[2]new sheet'!$A$1:$IV$65536,2,0),0)</f>
        <v>0</v>
      </c>
      <c r="H84" s="5">
        <f>IFERROR(VLOOKUP(B84,'[3]new sheet'!$A$1:$IV$65536,2,0),0)</f>
        <v>0</v>
      </c>
    </row>
    <row r="85" spans="1:8" ht="24" customHeight="1">
      <c r="A85" s="7">
        <v>41364</v>
      </c>
      <c r="B85" s="7">
        <v>1755</v>
      </c>
      <c r="C85" s="8" t="s">
        <v>75</v>
      </c>
      <c r="D85" s="8" t="s">
        <v>1935</v>
      </c>
      <c r="E85" s="2">
        <f>IFERROR(VLOOKUP(B85,'[1]new sheet'!$A$1:$IV$65536,5,FALSE),0)</f>
        <v>34.380000000000003</v>
      </c>
      <c r="F85" s="3">
        <f>IFERROR(VLOOKUP(B85,'[1]new sheet'!$A$1:$IV$65536,4,FALSE),0)</f>
        <v>0</v>
      </c>
      <c r="G85" s="4">
        <f>IFERROR(VLOOKUP(B85,'[2]new sheet'!$A$1:$IV$65536,2,0),0)</f>
        <v>0</v>
      </c>
      <c r="H85" s="5">
        <f>IFERROR(VLOOKUP(B85,'[3]new sheet'!$A$1:$IV$65536,2,0),0)</f>
        <v>0</v>
      </c>
    </row>
    <row r="86" spans="1:8" ht="24" customHeight="1">
      <c r="A86" s="7">
        <v>218069</v>
      </c>
      <c r="B86" s="7">
        <v>297</v>
      </c>
      <c r="C86" s="8" t="s">
        <v>76</v>
      </c>
      <c r="D86" s="8" t="s">
        <v>1935</v>
      </c>
      <c r="E86" s="2">
        <f>IFERROR(VLOOKUP(B86,'[1]new sheet'!$A$1:$IV$65536,5,FALSE),0)</f>
        <v>0</v>
      </c>
      <c r="F86" s="3">
        <f>IFERROR(VLOOKUP(B86,'[1]new sheet'!$A$1:$IV$65536,4,FALSE),0)</f>
        <v>0</v>
      </c>
      <c r="G86" s="4">
        <f>IFERROR(VLOOKUP(B86,'[2]new sheet'!$A$1:$IV$65536,2,0),0)</f>
        <v>0</v>
      </c>
      <c r="H86" s="5">
        <f>IFERROR(VLOOKUP(B86,'[3]new sheet'!$A$1:$IV$65536,2,0),0)</f>
        <v>0</v>
      </c>
    </row>
    <row r="87" spans="1:8" ht="24" customHeight="1">
      <c r="A87" s="7">
        <v>797901</v>
      </c>
      <c r="B87" s="7">
        <v>940</v>
      </c>
      <c r="C87" s="8" t="s">
        <v>77</v>
      </c>
      <c r="D87" s="8" t="s">
        <v>1935</v>
      </c>
      <c r="E87" s="2">
        <f>IFERROR(VLOOKUP(B87,'[1]new sheet'!$A$1:$IV$65536,5,FALSE),0)</f>
        <v>0</v>
      </c>
      <c r="F87" s="3">
        <f>IFERROR(VLOOKUP(B87,'[1]new sheet'!$A$1:$IV$65536,4,FALSE),0)</f>
        <v>0</v>
      </c>
      <c r="G87" s="4">
        <f>IFERROR(VLOOKUP(B87,'[2]new sheet'!$A$1:$IV$65536,2,0),0)</f>
        <v>0</v>
      </c>
      <c r="H87" s="5">
        <f>IFERROR(VLOOKUP(B87,'[3]new sheet'!$A$1:$IV$65536,2,0),0)</f>
        <v>0</v>
      </c>
    </row>
    <row r="88" spans="1:8" ht="24" customHeight="1">
      <c r="A88" s="7">
        <v>921343</v>
      </c>
      <c r="B88" s="7">
        <v>1752</v>
      </c>
      <c r="C88" s="8" t="s">
        <v>78</v>
      </c>
      <c r="D88" s="8" t="s">
        <v>1935</v>
      </c>
      <c r="E88" s="2">
        <f>IFERROR(VLOOKUP(B88,'[1]new sheet'!$A$1:$IV$65536,5,FALSE),0)</f>
        <v>53.22</v>
      </c>
      <c r="F88" s="3">
        <f>IFERROR(VLOOKUP(B88,'[1]new sheet'!$A$1:$IV$65536,4,FALSE),0)</f>
        <v>0</v>
      </c>
      <c r="G88" s="4">
        <f>IFERROR(VLOOKUP(B88,'[2]new sheet'!$A$1:$IV$65536,2,0),0)</f>
        <v>0</v>
      </c>
      <c r="H88" s="5">
        <f>IFERROR(VLOOKUP(B88,'[3]new sheet'!$A$1:$IV$65536,2,0),0)</f>
        <v>0</v>
      </c>
    </row>
    <row r="89" spans="1:8" ht="24" customHeight="1">
      <c r="A89" s="7">
        <v>951137</v>
      </c>
      <c r="B89" s="7">
        <v>1751</v>
      </c>
      <c r="C89" s="8" t="s">
        <v>79</v>
      </c>
      <c r="D89" s="8" t="s">
        <v>1935</v>
      </c>
      <c r="E89" s="2">
        <f>IFERROR(VLOOKUP(B89,'[1]new sheet'!$A$1:$IV$65536,5,FALSE),0)</f>
        <v>0</v>
      </c>
      <c r="F89" s="3">
        <f>IFERROR(VLOOKUP(B89,'[1]new sheet'!$A$1:$IV$65536,4,FALSE),0)</f>
        <v>0</v>
      </c>
      <c r="G89" s="4">
        <f>IFERROR(VLOOKUP(B89,'[2]new sheet'!$A$1:$IV$65536,2,0),0)</f>
        <v>0</v>
      </c>
      <c r="H89" s="5">
        <f>IFERROR(VLOOKUP(B89,'[3]new sheet'!$A$1:$IV$65536,2,0),0)</f>
        <v>0</v>
      </c>
    </row>
    <row r="90" spans="1:8" s="6" customFormat="1" ht="24" customHeight="1">
      <c r="A90" s="7">
        <v>797901</v>
      </c>
      <c r="B90" s="7">
        <v>938</v>
      </c>
      <c r="C90" s="8" t="s">
        <v>80</v>
      </c>
      <c r="D90" s="8" t="s">
        <v>1934</v>
      </c>
      <c r="E90" s="2">
        <f>IFERROR(VLOOKUP(B90,'[1]new sheet'!$A$1:$IV$65536,5,FALSE),0)</f>
        <v>0</v>
      </c>
      <c r="F90" s="3">
        <f>IFERROR(VLOOKUP(B90,'[1]new sheet'!$A$1:$IV$65536,4,FALSE),0)</f>
        <v>0</v>
      </c>
      <c r="G90" s="4">
        <f>IFERROR(VLOOKUP(B90,'[2]new sheet'!$A$1:$IV$65536,2,0),0)</f>
        <v>0</v>
      </c>
      <c r="H90" s="5">
        <f>IFERROR(VLOOKUP(B90,'[3]new sheet'!$A$1:$IV$65536,2,0),0)</f>
        <v>0</v>
      </c>
    </row>
    <row r="91" spans="1:8" ht="24" customHeight="1">
      <c r="A91" s="7">
        <v>124061</v>
      </c>
      <c r="B91" s="7">
        <v>312</v>
      </c>
      <c r="C91" s="8" t="s">
        <v>81</v>
      </c>
      <c r="D91" s="8" t="s">
        <v>1935</v>
      </c>
      <c r="E91" s="2">
        <f>IFERROR(VLOOKUP(B91,'[1]new sheet'!$A$1:$IV$65536,5,FALSE),0)</f>
        <v>0</v>
      </c>
      <c r="F91" s="3">
        <f>IFERROR(VLOOKUP(B91,'[1]new sheet'!$A$1:$IV$65536,4,FALSE),0)</f>
        <v>0</v>
      </c>
      <c r="G91" s="4">
        <f>IFERROR(VLOOKUP(B91,'[2]new sheet'!$A$1:$IV$65536,2,0),0)</f>
        <v>0</v>
      </c>
      <c r="H91" s="5">
        <f>IFERROR(VLOOKUP(B91,'[3]new sheet'!$A$1:$IV$65536,2,0),0)</f>
        <v>0</v>
      </c>
    </row>
    <row r="92" spans="1:8" ht="24" customHeight="1">
      <c r="A92" s="7">
        <v>2771</v>
      </c>
      <c r="B92" s="7">
        <v>1416</v>
      </c>
      <c r="C92" s="8" t="s">
        <v>82</v>
      </c>
      <c r="D92" s="8" t="s">
        <v>1934</v>
      </c>
      <c r="E92" s="2">
        <f>IFERROR(VLOOKUP(B92,'[1]new sheet'!$A$1:$IV$65536,5,FALSE),0)</f>
        <v>53</v>
      </c>
      <c r="F92" s="3">
        <f>IFERROR(VLOOKUP(B92,'[1]new sheet'!$A$1:$IV$65536,4,FALSE),0)</f>
        <v>2</v>
      </c>
      <c r="G92" s="4">
        <f>IFERROR(VLOOKUP(B92,'[2]new sheet'!$A$1:$IV$65536,2,0),0)</f>
        <v>81</v>
      </c>
      <c r="H92" s="5">
        <f>IFERROR(VLOOKUP(B92,'[3]new sheet'!$A$1:$IV$65536,2,0),0)</f>
        <v>42</v>
      </c>
    </row>
    <row r="93" spans="1:8" ht="24" customHeight="1">
      <c r="A93" s="7">
        <v>2773</v>
      </c>
      <c r="B93" s="7">
        <v>152</v>
      </c>
      <c r="C93" s="8" t="s">
        <v>83</v>
      </c>
      <c r="D93" s="8" t="s">
        <v>1934</v>
      </c>
      <c r="E93" s="2">
        <f>IFERROR(VLOOKUP(B93,'[1]new sheet'!$A$1:$IV$65536,5,FALSE),0)</f>
        <v>139</v>
      </c>
      <c r="F93" s="3">
        <f>IFERROR(VLOOKUP(B93,'[1]new sheet'!$A$1:$IV$65536,4,FALSE),0)</f>
        <v>2</v>
      </c>
      <c r="G93" s="4">
        <f>IFERROR(VLOOKUP(B93,'[2]new sheet'!$A$1:$IV$65536,2,0),0)</f>
        <v>58</v>
      </c>
      <c r="H93" s="5">
        <f>IFERROR(VLOOKUP(B93,'[3]new sheet'!$A$1:$IV$65536,2,0),0)</f>
        <v>22</v>
      </c>
    </row>
    <row r="94" spans="1:8" ht="24" customHeight="1">
      <c r="A94" s="7"/>
      <c r="B94" s="7">
        <v>3047</v>
      </c>
      <c r="C94" s="8" t="s">
        <v>84</v>
      </c>
      <c r="D94" s="8" t="s">
        <v>1934</v>
      </c>
      <c r="E94" s="2">
        <f>IFERROR(VLOOKUP(B94,'[1]new sheet'!$A$1:$IV$65536,5,FALSE),0)</f>
        <v>0</v>
      </c>
      <c r="F94" s="3">
        <f>IFERROR(VLOOKUP(B94,'[1]new sheet'!$A$1:$IV$65536,4,FALSE),0)</f>
        <v>0</v>
      </c>
      <c r="G94" s="4">
        <f>IFERROR(VLOOKUP(B94,'[2]new sheet'!$A$1:$IV$65536,2,0),0)</f>
        <v>0</v>
      </c>
      <c r="H94" s="5">
        <f>IFERROR(VLOOKUP(B94,'[3]new sheet'!$A$1:$IV$65536,2,0),0)</f>
        <v>0</v>
      </c>
    </row>
    <row r="95" spans="1:8" ht="24" customHeight="1">
      <c r="A95" s="7"/>
      <c r="B95" s="7">
        <v>155</v>
      </c>
      <c r="C95" s="8" t="s">
        <v>85</v>
      </c>
      <c r="D95" s="8" t="s">
        <v>1934</v>
      </c>
      <c r="E95" s="2">
        <f>IFERROR(VLOOKUP(B95,'[1]new sheet'!$A$1:$IV$65536,5,FALSE),0)</f>
        <v>0</v>
      </c>
      <c r="F95" s="3">
        <f>IFERROR(VLOOKUP(B95,'[1]new sheet'!$A$1:$IV$65536,4,FALSE),0)</f>
        <v>0</v>
      </c>
      <c r="G95" s="4">
        <f>IFERROR(VLOOKUP(B95,'[2]new sheet'!$A$1:$IV$65536,2,0),0)</f>
        <v>0</v>
      </c>
      <c r="H95" s="5">
        <f>IFERROR(VLOOKUP(B95,'[3]new sheet'!$A$1:$IV$65536,2,0),0)</f>
        <v>0</v>
      </c>
    </row>
    <row r="96" spans="1:8" ht="24" customHeight="1">
      <c r="A96" s="7">
        <v>1487</v>
      </c>
      <c r="B96" s="7">
        <v>2918</v>
      </c>
      <c r="C96" s="8" t="s">
        <v>86</v>
      </c>
      <c r="D96" s="8" t="s">
        <v>1934</v>
      </c>
      <c r="E96" s="2">
        <f>IFERROR(VLOOKUP(B96,'[1]new sheet'!$A$1:$IV$65536,5,FALSE),0)</f>
        <v>0</v>
      </c>
      <c r="F96" s="3">
        <f>IFERROR(VLOOKUP(B96,'[1]new sheet'!$A$1:$IV$65536,4,FALSE),0)</f>
        <v>0</v>
      </c>
      <c r="G96" s="4">
        <f>IFERROR(VLOOKUP(B96,'[2]new sheet'!$A$1:$IV$65536,2,0),0)</f>
        <v>0</v>
      </c>
      <c r="H96" s="5">
        <f>IFERROR(VLOOKUP(B96,'[3]new sheet'!$A$1:$IV$65536,2,0),0)</f>
        <v>0</v>
      </c>
    </row>
    <row r="97" spans="1:8" ht="24" customHeight="1">
      <c r="A97" s="7">
        <v>223</v>
      </c>
      <c r="B97" s="7">
        <v>911</v>
      </c>
      <c r="C97" s="8" t="s">
        <v>87</v>
      </c>
      <c r="D97" s="8" t="s">
        <v>1934</v>
      </c>
      <c r="E97" s="2">
        <f>IFERROR(VLOOKUP(B97,'[1]new sheet'!$A$1:$IV$65536,5,FALSE),0)</f>
        <v>0</v>
      </c>
      <c r="F97" s="3">
        <f>IFERROR(VLOOKUP(B97,'[1]new sheet'!$A$1:$IV$65536,4,FALSE),0)</f>
        <v>0</v>
      </c>
      <c r="G97" s="4">
        <f>IFERROR(VLOOKUP(B97,'[2]new sheet'!$A$1:$IV$65536,2,0),0)</f>
        <v>0</v>
      </c>
      <c r="H97" s="5">
        <f>IFERROR(VLOOKUP(B97,'[3]new sheet'!$A$1:$IV$65536,2,0),0)</f>
        <v>0</v>
      </c>
    </row>
    <row r="98" spans="1:8" ht="24" customHeight="1">
      <c r="A98" s="7">
        <v>50969</v>
      </c>
      <c r="B98" s="7">
        <v>3354</v>
      </c>
      <c r="C98" s="8" t="s">
        <v>88</v>
      </c>
      <c r="D98" s="8" t="s">
        <v>1934</v>
      </c>
      <c r="E98" s="2">
        <f>IFERROR(VLOOKUP(B98,'[1]new sheet'!$A$1:$IV$65536,5,FALSE),0)</f>
        <v>121</v>
      </c>
      <c r="F98" s="3">
        <f>IFERROR(VLOOKUP(B98,'[1]new sheet'!$A$1:$IV$65536,4,FALSE),0)</f>
        <v>2</v>
      </c>
      <c r="G98" s="4">
        <f>IFERROR(VLOOKUP(B98,'[2]new sheet'!$A$1:$IV$65536,2,0),0)</f>
        <v>74</v>
      </c>
      <c r="H98" s="5">
        <f>IFERROR(VLOOKUP(B98,'[3]new sheet'!$A$1:$IV$65536,2,0),0)</f>
        <v>37</v>
      </c>
    </row>
    <row r="99" spans="1:8" ht="24" customHeight="1">
      <c r="A99" s="7"/>
      <c r="B99" s="7">
        <v>153</v>
      </c>
      <c r="C99" s="8" t="s">
        <v>89</v>
      </c>
      <c r="D99" s="8" t="s">
        <v>1934</v>
      </c>
      <c r="E99" s="2">
        <f>IFERROR(VLOOKUP(B99,'[1]new sheet'!$A$1:$IV$65536,5,FALSE),0)</f>
        <v>0</v>
      </c>
      <c r="F99" s="3">
        <f>IFERROR(VLOOKUP(B99,'[1]new sheet'!$A$1:$IV$65536,4,FALSE),0)</f>
        <v>0</v>
      </c>
      <c r="G99" s="4">
        <f>IFERROR(VLOOKUP(B99,'[2]new sheet'!$A$1:$IV$65536,2,0),0)</f>
        <v>0</v>
      </c>
      <c r="H99" s="5">
        <f>IFERROR(VLOOKUP(B99,'[3]new sheet'!$A$1:$IV$65536,2,0),0)</f>
        <v>0</v>
      </c>
    </row>
    <row r="100" spans="1:8" ht="24" customHeight="1">
      <c r="A100" s="7">
        <v>1010</v>
      </c>
      <c r="B100" s="7">
        <v>2917</v>
      </c>
      <c r="C100" s="8" t="s">
        <v>90</v>
      </c>
      <c r="D100" s="8" t="s">
        <v>1934</v>
      </c>
      <c r="E100" s="2">
        <f>IFERROR(VLOOKUP(B100,'[1]new sheet'!$A$1:$IV$65536,5,FALSE),0)</f>
        <v>0</v>
      </c>
      <c r="F100" s="3">
        <f>IFERROR(VLOOKUP(B100,'[1]new sheet'!$A$1:$IV$65536,4,FALSE),0)</f>
        <v>0</v>
      </c>
      <c r="G100" s="4">
        <f>IFERROR(VLOOKUP(B100,'[2]new sheet'!$A$1:$IV$65536,2,0),0)</f>
        <v>0</v>
      </c>
      <c r="H100" s="5">
        <f>IFERROR(VLOOKUP(B100,'[3]new sheet'!$A$1:$IV$65536,2,0),0)</f>
        <v>0</v>
      </c>
    </row>
    <row r="101" spans="1:8" ht="24" customHeight="1">
      <c r="A101" s="7">
        <v>1345</v>
      </c>
      <c r="B101" s="7">
        <v>440</v>
      </c>
      <c r="C101" s="8" t="s">
        <v>91</v>
      </c>
      <c r="D101" s="8" t="s">
        <v>1934</v>
      </c>
      <c r="E101" s="2">
        <f>IFERROR(VLOOKUP(B101,'[1]new sheet'!$A$1:$IV$65536,5,FALSE),0)</f>
        <v>0</v>
      </c>
      <c r="F101" s="3">
        <f>IFERROR(VLOOKUP(B101,'[1]new sheet'!$A$1:$IV$65536,4,FALSE),0)</f>
        <v>0</v>
      </c>
      <c r="G101" s="4">
        <f>IFERROR(VLOOKUP(B101,'[2]new sheet'!$A$1:$IV$65536,2,0),0)</f>
        <v>0</v>
      </c>
      <c r="H101" s="5">
        <f>IFERROR(VLOOKUP(B101,'[3]new sheet'!$A$1:$IV$65536,2,0),0)</f>
        <v>0</v>
      </c>
    </row>
    <row r="102" spans="1:8" ht="24" customHeight="1">
      <c r="A102" s="7">
        <v>50971</v>
      </c>
      <c r="B102" s="7">
        <v>3355</v>
      </c>
      <c r="C102" s="8" t="s">
        <v>92</v>
      </c>
      <c r="D102" s="8" t="s">
        <v>1934</v>
      </c>
      <c r="E102" s="2">
        <f>IFERROR(VLOOKUP(B102,'[1]new sheet'!$A$1:$IV$65536,5,FALSE),0)</f>
        <v>182</v>
      </c>
      <c r="F102" s="3">
        <f>IFERROR(VLOOKUP(B102,'[1]new sheet'!$A$1:$IV$65536,4,FALSE),0)</f>
        <v>6</v>
      </c>
      <c r="G102" s="4">
        <f>IFERROR(VLOOKUP(B102,'[2]new sheet'!$A$1:$IV$65536,2,0),0)</f>
        <v>124</v>
      </c>
      <c r="H102" s="5">
        <f>IFERROR(VLOOKUP(B102,'[3]new sheet'!$A$1:$IV$65536,2,0),0)</f>
        <v>40</v>
      </c>
    </row>
    <row r="103" spans="1:8" ht="24" customHeight="1">
      <c r="A103" s="7">
        <v>1488</v>
      </c>
      <c r="B103" s="7">
        <v>951</v>
      </c>
      <c r="C103" s="8" t="s">
        <v>93</v>
      </c>
      <c r="D103" s="8" t="s">
        <v>1934</v>
      </c>
      <c r="E103" s="2">
        <f>IFERROR(VLOOKUP(B103,'[1]new sheet'!$A$1:$IV$65536,5,FALSE),0)</f>
        <v>0</v>
      </c>
      <c r="F103" s="3">
        <f>IFERROR(VLOOKUP(B103,'[1]new sheet'!$A$1:$IV$65536,4,FALSE),0)</f>
        <v>0</v>
      </c>
      <c r="G103" s="4">
        <f>IFERROR(VLOOKUP(B103,'[2]new sheet'!$A$1:$IV$65536,2,0),0)</f>
        <v>0</v>
      </c>
      <c r="H103" s="5">
        <f>IFERROR(VLOOKUP(B103,'[3]new sheet'!$A$1:$IV$65536,2,0),0)</f>
        <v>0</v>
      </c>
    </row>
    <row r="104" spans="1:8" ht="24" customHeight="1">
      <c r="A104" s="7">
        <v>125</v>
      </c>
      <c r="B104" s="7">
        <v>441</v>
      </c>
      <c r="C104" s="8" t="s">
        <v>94</v>
      </c>
      <c r="D104" s="8" t="s">
        <v>1934</v>
      </c>
      <c r="E104" s="2">
        <f>IFERROR(VLOOKUP(B104,'[1]new sheet'!$A$1:$IV$65536,5,FALSE),0)</f>
        <v>0</v>
      </c>
      <c r="F104" s="3">
        <f>IFERROR(VLOOKUP(B104,'[1]new sheet'!$A$1:$IV$65536,4,FALSE),0)</f>
        <v>0</v>
      </c>
      <c r="G104" s="4">
        <f>IFERROR(VLOOKUP(B104,'[2]new sheet'!$A$1:$IV$65536,2,0),0)</f>
        <v>0</v>
      </c>
      <c r="H104" s="5">
        <f>IFERROR(VLOOKUP(B104,'[3]new sheet'!$A$1:$IV$65536,2,0),0)</f>
        <v>0</v>
      </c>
    </row>
    <row r="105" spans="1:8" ht="24" customHeight="1">
      <c r="A105" s="7">
        <v>50968</v>
      </c>
      <c r="B105" s="7">
        <v>3353</v>
      </c>
      <c r="C105" s="8" t="s">
        <v>95</v>
      </c>
      <c r="D105" s="8" t="s">
        <v>1934</v>
      </c>
      <c r="E105" s="2">
        <f>IFERROR(VLOOKUP(B105,'[1]new sheet'!$A$1:$IV$65536,5,FALSE),0)</f>
        <v>146</v>
      </c>
      <c r="F105" s="3">
        <f>IFERROR(VLOOKUP(B105,'[1]new sheet'!$A$1:$IV$65536,4,FALSE),0)</f>
        <v>1</v>
      </c>
      <c r="G105" s="4">
        <f>IFERROR(VLOOKUP(B105,'[2]new sheet'!$A$1:$IV$65536,2,0),0)</f>
        <v>43</v>
      </c>
      <c r="H105" s="5">
        <f>IFERROR(VLOOKUP(B105,'[3]new sheet'!$A$1:$IV$65536,2,0),0)</f>
        <v>61</v>
      </c>
    </row>
    <row r="106" spans="1:8" ht="24" customHeight="1">
      <c r="A106" s="7"/>
      <c r="B106" s="7">
        <v>154</v>
      </c>
      <c r="C106" s="8" t="s">
        <v>1859</v>
      </c>
      <c r="D106" s="8" t="s">
        <v>1934</v>
      </c>
      <c r="E106" s="2">
        <f>IFERROR(VLOOKUP(B106,'[1]new sheet'!$A$1:$IV$65536,5,FALSE),0)</f>
        <v>0</v>
      </c>
      <c r="F106" s="3">
        <f>IFERROR(VLOOKUP(B106,'[1]new sheet'!$A$1:$IV$65536,4,FALSE),0)</f>
        <v>0</v>
      </c>
      <c r="G106" s="4">
        <f>IFERROR(VLOOKUP(B106,'[2]new sheet'!$A$1:$IV$65536,2,0),0)</f>
        <v>0</v>
      </c>
      <c r="H106" s="5">
        <f>IFERROR(VLOOKUP(B106,'[3]new sheet'!$A$1:$IV$65536,2,0),0)</f>
        <v>0</v>
      </c>
    </row>
    <row r="107" spans="1:8" ht="24" customHeight="1">
      <c r="A107" s="7">
        <v>47514</v>
      </c>
      <c r="B107" s="7">
        <v>4136</v>
      </c>
      <c r="C107" s="8" t="s">
        <v>1748</v>
      </c>
      <c r="D107" s="8" t="s">
        <v>1934</v>
      </c>
      <c r="E107" s="2">
        <f>IFERROR(VLOOKUP(B107,'[1]new sheet'!$A$1:$IV$65536,5,FALSE),0)</f>
        <v>82</v>
      </c>
      <c r="F107" s="3">
        <f>IFERROR(VLOOKUP(B107,'[1]new sheet'!$A$1:$IV$65536,4,FALSE),0)</f>
        <v>0</v>
      </c>
      <c r="G107" s="4">
        <f>IFERROR(VLOOKUP(B107,'[2]new sheet'!$A$1:$IV$65536,2,0),0)</f>
        <v>68</v>
      </c>
      <c r="H107" s="5">
        <f>IFERROR(VLOOKUP(B107,'[3]new sheet'!$A$1:$IV$65536,2,0),0)</f>
        <v>38</v>
      </c>
    </row>
    <row r="108" spans="1:8" ht="24" customHeight="1">
      <c r="A108" s="7">
        <v>54510</v>
      </c>
      <c r="B108" s="7">
        <v>3356</v>
      </c>
      <c r="C108" s="8" t="s">
        <v>96</v>
      </c>
      <c r="D108" s="8" t="s">
        <v>1934</v>
      </c>
      <c r="E108" s="2">
        <f>IFERROR(VLOOKUP(B108,'[1]new sheet'!$A$1:$IV$65536,5,FALSE),0)</f>
        <v>147</v>
      </c>
      <c r="F108" s="3">
        <f>IFERROR(VLOOKUP(B108,'[1]new sheet'!$A$1:$IV$65536,4,FALSE),0)</f>
        <v>1</v>
      </c>
      <c r="G108" s="4">
        <f>IFERROR(VLOOKUP(B108,'[2]new sheet'!$A$1:$IV$65536,2,0),0)</f>
        <v>61</v>
      </c>
      <c r="H108" s="5">
        <f>IFERROR(VLOOKUP(B108,'[3]new sheet'!$A$1:$IV$65536,2,0),0)</f>
        <v>20</v>
      </c>
    </row>
    <row r="109" spans="1:8" ht="24" customHeight="1">
      <c r="A109" s="7">
        <v>99161</v>
      </c>
      <c r="B109" s="7">
        <v>2804</v>
      </c>
      <c r="C109" s="8" t="s">
        <v>97</v>
      </c>
      <c r="D109" s="8" t="s">
        <v>1934</v>
      </c>
      <c r="E109" s="2">
        <f>IFERROR(VLOOKUP(B109,'[1]new sheet'!$A$1:$IV$65536,5,FALSE),0)</f>
        <v>0</v>
      </c>
      <c r="F109" s="3">
        <f>IFERROR(VLOOKUP(B109,'[1]new sheet'!$A$1:$IV$65536,4,FALSE),0)</f>
        <v>0</v>
      </c>
      <c r="G109" s="4">
        <f>IFERROR(VLOOKUP(B109,'[2]new sheet'!$A$1:$IV$65536,2,0),0)</f>
        <v>0</v>
      </c>
      <c r="H109" s="5">
        <f>IFERROR(VLOOKUP(B109,'[3]new sheet'!$A$1:$IV$65536,2,0),0)</f>
        <v>0</v>
      </c>
    </row>
    <row r="110" spans="1:8" ht="24" customHeight="1">
      <c r="A110" s="7">
        <v>99161</v>
      </c>
      <c r="B110" s="7">
        <v>2621</v>
      </c>
      <c r="C110" s="8" t="s">
        <v>98</v>
      </c>
      <c r="D110" s="8" t="s">
        <v>1934</v>
      </c>
      <c r="E110" s="2">
        <f>IFERROR(VLOOKUP(B110,'[1]new sheet'!$A$1:$IV$65536,5,FALSE),0)</f>
        <v>0</v>
      </c>
      <c r="F110" s="3">
        <f>IFERROR(VLOOKUP(B110,'[1]new sheet'!$A$1:$IV$65536,4,FALSE),0)</f>
        <v>0</v>
      </c>
      <c r="G110" s="4">
        <f>IFERROR(VLOOKUP(B110,'[2]new sheet'!$A$1:$IV$65536,2,0),0)</f>
        <v>0</v>
      </c>
      <c r="H110" s="5">
        <f>IFERROR(VLOOKUP(B110,'[3]new sheet'!$A$1:$IV$65536,2,0),0)</f>
        <v>0</v>
      </c>
    </row>
    <row r="111" spans="1:8" ht="24" customHeight="1">
      <c r="A111" s="7"/>
      <c r="B111" s="7">
        <v>777</v>
      </c>
      <c r="C111" s="8" t="s">
        <v>99</v>
      </c>
      <c r="D111" s="8" t="s">
        <v>1934</v>
      </c>
      <c r="E111" s="2">
        <f>IFERROR(VLOOKUP(B111,'[1]new sheet'!$A$1:$IV$65536,5,FALSE),0)</f>
        <v>0</v>
      </c>
      <c r="F111" s="3">
        <f>IFERROR(VLOOKUP(B111,'[1]new sheet'!$A$1:$IV$65536,4,FALSE),0)</f>
        <v>0</v>
      </c>
      <c r="G111" s="4">
        <f>IFERROR(VLOOKUP(B111,'[2]new sheet'!$A$1:$IV$65536,2,0),0)</f>
        <v>0</v>
      </c>
      <c r="H111" s="5">
        <f>IFERROR(VLOOKUP(B111,'[3]new sheet'!$A$1:$IV$65536,2,0),0)</f>
        <v>0</v>
      </c>
    </row>
    <row r="112" spans="1:8" ht="24" customHeight="1">
      <c r="A112" s="7">
        <v>709</v>
      </c>
      <c r="B112" s="7">
        <v>2916</v>
      </c>
      <c r="C112" s="8" t="s">
        <v>100</v>
      </c>
      <c r="D112" s="8" t="s">
        <v>1934</v>
      </c>
      <c r="E112" s="2">
        <f>IFERROR(VLOOKUP(B112,'[1]new sheet'!$A$1:$IV$65536,5,FALSE),0)</f>
        <v>0</v>
      </c>
      <c r="F112" s="3">
        <f>IFERROR(VLOOKUP(B112,'[1]new sheet'!$A$1:$IV$65536,4,FALSE),0)</f>
        <v>0</v>
      </c>
      <c r="G112" s="4">
        <f>IFERROR(VLOOKUP(B112,'[2]new sheet'!$A$1:$IV$65536,2,0),0)</f>
        <v>0</v>
      </c>
      <c r="H112" s="5">
        <f>IFERROR(VLOOKUP(B112,'[3]new sheet'!$A$1:$IV$65536,2,0),0)</f>
        <v>0</v>
      </c>
    </row>
    <row r="113" spans="1:8" ht="24" customHeight="1">
      <c r="A113" s="7"/>
      <c r="B113" s="7">
        <v>1779</v>
      </c>
      <c r="C113" s="8" t="s">
        <v>101</v>
      </c>
      <c r="D113" s="8" t="s">
        <v>1934</v>
      </c>
      <c r="E113" s="2">
        <f>IFERROR(VLOOKUP(B113,'[1]new sheet'!$A$1:$IV$65536,5,FALSE),0)</f>
        <v>0</v>
      </c>
      <c r="F113" s="3">
        <f>IFERROR(VLOOKUP(B113,'[1]new sheet'!$A$1:$IV$65536,4,FALSE),0)</f>
        <v>0</v>
      </c>
      <c r="G113" s="4">
        <f>IFERROR(VLOOKUP(B113,'[2]new sheet'!$A$1:$IV$65536,2,0),0)</f>
        <v>0</v>
      </c>
      <c r="H113" s="5">
        <f>IFERROR(VLOOKUP(B113,'[3]new sheet'!$A$1:$IV$65536,2,0),0)</f>
        <v>0</v>
      </c>
    </row>
    <row r="114" spans="1:8" ht="24" customHeight="1">
      <c r="A114" s="7"/>
      <c r="B114" s="7">
        <v>138</v>
      </c>
      <c r="C114" s="8" t="s">
        <v>102</v>
      </c>
      <c r="D114" s="8" t="s">
        <v>1934</v>
      </c>
      <c r="E114" s="2">
        <f>IFERROR(VLOOKUP(B114,'[1]new sheet'!$A$1:$IV$65536,5,FALSE),0)</f>
        <v>0</v>
      </c>
      <c r="F114" s="3">
        <f>IFERROR(VLOOKUP(B114,'[1]new sheet'!$A$1:$IV$65536,4,FALSE),0)</f>
        <v>0</v>
      </c>
      <c r="G114" s="4">
        <f>IFERROR(VLOOKUP(B114,'[2]new sheet'!$A$1:$IV$65536,2,0),0)</f>
        <v>0</v>
      </c>
      <c r="H114" s="5">
        <f>IFERROR(VLOOKUP(B114,'[3]new sheet'!$A$1:$IV$65536,2,0),0)</f>
        <v>0</v>
      </c>
    </row>
    <row r="115" spans="1:8" ht="24" customHeight="1">
      <c r="A115" s="7">
        <v>999896</v>
      </c>
      <c r="B115" s="7">
        <v>139</v>
      </c>
      <c r="C115" s="8" t="s">
        <v>103</v>
      </c>
      <c r="D115" s="8" t="s">
        <v>1934</v>
      </c>
      <c r="E115" s="2">
        <f>IFERROR(VLOOKUP(B115,'[1]new sheet'!$A$1:$IV$65536,5,FALSE),0)</f>
        <v>0</v>
      </c>
      <c r="F115" s="3">
        <f>IFERROR(VLOOKUP(B115,'[1]new sheet'!$A$1:$IV$65536,4,FALSE),0)</f>
        <v>0</v>
      </c>
      <c r="G115" s="4">
        <f>IFERROR(VLOOKUP(B115,'[2]new sheet'!$A$1:$IV$65536,2,0),0)</f>
        <v>0</v>
      </c>
      <c r="H115" s="5">
        <f>IFERROR(VLOOKUP(B115,'[3]new sheet'!$A$1:$IV$65536,2,0),0)</f>
        <v>0</v>
      </c>
    </row>
    <row r="116" spans="1:8" ht="24" customHeight="1">
      <c r="A116" s="7">
        <v>3004383</v>
      </c>
      <c r="B116" s="7">
        <v>1060</v>
      </c>
      <c r="C116" s="8" t="s">
        <v>104</v>
      </c>
      <c r="D116" s="8" t="s">
        <v>1934</v>
      </c>
      <c r="E116" s="2">
        <f>IFERROR(VLOOKUP(B116,'[1]new sheet'!$A$1:$IV$65536,5,FALSE),0)</f>
        <v>0</v>
      </c>
      <c r="F116" s="3">
        <f>IFERROR(VLOOKUP(B116,'[1]new sheet'!$A$1:$IV$65536,4,FALSE),0)</f>
        <v>0</v>
      </c>
      <c r="G116" s="4">
        <f>IFERROR(VLOOKUP(B116,'[2]new sheet'!$A$1:$IV$65536,2,0),0)</f>
        <v>0</v>
      </c>
      <c r="H116" s="5">
        <f>IFERROR(VLOOKUP(B116,'[3]new sheet'!$A$1:$IV$65536,2,0),0)</f>
        <v>0</v>
      </c>
    </row>
    <row r="117" spans="1:8" ht="24" customHeight="1">
      <c r="A117" s="7">
        <v>3004319</v>
      </c>
      <c r="B117" s="7">
        <v>1103</v>
      </c>
      <c r="C117" s="8" t="s">
        <v>105</v>
      </c>
      <c r="D117" s="8" t="s">
        <v>1934</v>
      </c>
      <c r="E117" s="2">
        <f>IFERROR(VLOOKUP(B117,'[1]new sheet'!$A$1:$IV$65536,5,FALSE),0)</f>
        <v>0</v>
      </c>
      <c r="F117" s="3">
        <f>IFERROR(VLOOKUP(B117,'[1]new sheet'!$A$1:$IV$65536,4,FALSE),0)</f>
        <v>0</v>
      </c>
      <c r="G117" s="4">
        <f>IFERROR(VLOOKUP(B117,'[2]new sheet'!$A$1:$IV$65536,2,0),0)</f>
        <v>0</v>
      </c>
      <c r="H117" s="5">
        <f>IFERROR(VLOOKUP(B117,'[3]new sheet'!$A$1:$IV$65536,2,0),0)</f>
        <v>0</v>
      </c>
    </row>
    <row r="118" spans="1:8" ht="24" customHeight="1">
      <c r="A118" s="7">
        <v>3004852</v>
      </c>
      <c r="B118" s="7">
        <v>1104</v>
      </c>
      <c r="C118" s="8" t="s">
        <v>1643</v>
      </c>
      <c r="D118" s="8" t="s">
        <v>1934</v>
      </c>
      <c r="E118" s="2">
        <f>IFERROR(VLOOKUP(B118,'[1]new sheet'!$A$1:$IV$65536,5,FALSE),0)</f>
        <v>0</v>
      </c>
      <c r="F118" s="3">
        <f>IFERROR(VLOOKUP(B118,'[1]new sheet'!$A$1:$IV$65536,4,FALSE),0)</f>
        <v>0</v>
      </c>
      <c r="G118" s="4">
        <f>IFERROR(VLOOKUP(B118,'[2]new sheet'!$A$1:$IV$65536,2,0),0)</f>
        <v>0</v>
      </c>
      <c r="H118" s="5">
        <f>IFERROR(VLOOKUP(B118,'[3]new sheet'!$A$1:$IV$65536,2,0),0)</f>
        <v>0</v>
      </c>
    </row>
    <row r="119" spans="1:8" ht="24" customHeight="1">
      <c r="A119" s="7">
        <v>3004708</v>
      </c>
      <c r="B119" s="7">
        <v>3225</v>
      </c>
      <c r="C119" s="8" t="s">
        <v>106</v>
      </c>
      <c r="D119" s="8" t="s">
        <v>1934</v>
      </c>
      <c r="E119" s="2">
        <f>IFERROR(VLOOKUP(B119,'[1]new sheet'!$A$1:$IV$65536,5,FALSE),0)</f>
        <v>0</v>
      </c>
      <c r="F119" s="3">
        <f>IFERROR(VLOOKUP(B119,'[1]new sheet'!$A$1:$IV$65536,4,FALSE),0)</f>
        <v>0</v>
      </c>
      <c r="G119" s="4">
        <f>IFERROR(VLOOKUP(B119,'[2]new sheet'!$A$1:$IV$65536,2,0),0)</f>
        <v>0</v>
      </c>
      <c r="H119" s="5">
        <f>IFERROR(VLOOKUP(B119,'[3]new sheet'!$A$1:$IV$65536,2,0),0)</f>
        <v>0</v>
      </c>
    </row>
    <row r="120" spans="1:8" ht="24" customHeight="1">
      <c r="A120" s="7">
        <v>3004570</v>
      </c>
      <c r="B120" s="7">
        <v>3785</v>
      </c>
      <c r="C120" s="8" t="s">
        <v>1539</v>
      </c>
      <c r="D120" s="8" t="s">
        <v>1934</v>
      </c>
      <c r="E120" s="2">
        <f>IFERROR(VLOOKUP(B120,'[1]new sheet'!$A$1:$IV$65536,5,FALSE),0)</f>
        <v>0</v>
      </c>
      <c r="F120" s="3">
        <f>IFERROR(VLOOKUP(B120,'[1]new sheet'!$A$1:$IV$65536,4,FALSE),0)</f>
        <v>0</v>
      </c>
      <c r="G120" s="4">
        <f>IFERROR(VLOOKUP(B120,'[2]new sheet'!$A$1:$IV$65536,2,0),0)</f>
        <v>0</v>
      </c>
      <c r="H120" s="5">
        <f>IFERROR(VLOOKUP(B120,'[3]new sheet'!$A$1:$IV$65536,2,0),0)</f>
        <v>0</v>
      </c>
    </row>
    <row r="121" spans="1:8" ht="24" customHeight="1">
      <c r="A121" s="7">
        <v>3001550</v>
      </c>
      <c r="B121" s="7">
        <v>877</v>
      </c>
      <c r="C121" s="8" t="s">
        <v>1661</v>
      </c>
      <c r="D121" s="8" t="s">
        <v>1934</v>
      </c>
      <c r="E121" s="2">
        <f>IFERROR(VLOOKUP(B121,'[1]new sheet'!$A$1:$IV$65536,5,FALSE),0)</f>
        <v>19</v>
      </c>
      <c r="F121" s="3">
        <f>IFERROR(VLOOKUP(B121,'[1]new sheet'!$A$1:$IV$65536,4,FALSE),0)</f>
        <v>0</v>
      </c>
      <c r="G121" s="4">
        <f>IFERROR(VLOOKUP(B121,'[2]new sheet'!$A$1:$IV$65536,2,0),0)</f>
        <v>4</v>
      </c>
      <c r="H121" s="5">
        <f>IFERROR(VLOOKUP(B121,'[3]new sheet'!$A$1:$IV$65536,2,0),0)</f>
        <v>3</v>
      </c>
    </row>
    <row r="122" spans="1:8" ht="24" customHeight="1">
      <c r="A122" s="7">
        <v>136182</v>
      </c>
      <c r="B122" s="7">
        <v>2470</v>
      </c>
      <c r="C122" s="8" t="s">
        <v>107</v>
      </c>
      <c r="D122" s="8" t="s">
        <v>1934</v>
      </c>
      <c r="E122" s="2">
        <f>IFERROR(VLOOKUP(B122,'[1]new sheet'!$A$1:$IV$65536,5,FALSE),0)</f>
        <v>0</v>
      </c>
      <c r="F122" s="3">
        <f>IFERROR(VLOOKUP(B122,'[1]new sheet'!$A$1:$IV$65536,4,FALSE),0)</f>
        <v>0</v>
      </c>
      <c r="G122" s="4">
        <f>IFERROR(VLOOKUP(B122,'[2]new sheet'!$A$1:$IV$65536,2,0),0)</f>
        <v>0</v>
      </c>
      <c r="H122" s="5">
        <f>IFERROR(VLOOKUP(B122,'[3]new sheet'!$A$1:$IV$65536,2,0),0)</f>
        <v>0</v>
      </c>
    </row>
    <row r="123" spans="1:8" ht="24" customHeight="1">
      <c r="A123" s="7">
        <v>136175</v>
      </c>
      <c r="B123" s="7">
        <v>2469</v>
      </c>
      <c r="C123" s="8" t="s">
        <v>108</v>
      </c>
      <c r="D123" s="8" t="s">
        <v>1934</v>
      </c>
      <c r="E123" s="2">
        <f>IFERROR(VLOOKUP(B123,'[1]new sheet'!$A$1:$IV$65536,5,FALSE),0)</f>
        <v>0</v>
      </c>
      <c r="F123" s="3">
        <f>IFERROR(VLOOKUP(B123,'[1]new sheet'!$A$1:$IV$65536,4,FALSE),0)</f>
        <v>0</v>
      </c>
      <c r="G123" s="4">
        <f>IFERROR(VLOOKUP(B123,'[2]new sheet'!$A$1:$IV$65536,2,0),0)</f>
        <v>0</v>
      </c>
      <c r="H123" s="5">
        <f>IFERROR(VLOOKUP(B123,'[3]new sheet'!$A$1:$IV$65536,2,0),0)</f>
        <v>0</v>
      </c>
    </row>
    <row r="124" spans="1:8" ht="24" customHeight="1">
      <c r="A124" s="7">
        <v>63</v>
      </c>
      <c r="B124" s="7">
        <v>3946</v>
      </c>
      <c r="C124" s="8" t="s">
        <v>1631</v>
      </c>
      <c r="D124" s="8" t="s">
        <v>1934</v>
      </c>
      <c r="E124" s="2">
        <f>IFERROR(VLOOKUP(B124,'[1]new sheet'!$A$1:$IV$65536,5,FALSE),0)</f>
        <v>318.60000000000002</v>
      </c>
      <c r="F124" s="3">
        <f>IFERROR(VLOOKUP(B124,'[1]new sheet'!$A$1:$IV$65536,4,FALSE),0)</f>
        <v>0</v>
      </c>
      <c r="G124" s="4">
        <f>IFERROR(VLOOKUP(B124,'[2]new sheet'!$A$1:$IV$65536,2,0),0)</f>
        <v>34</v>
      </c>
      <c r="H124" s="5">
        <f>IFERROR(VLOOKUP(B124,'[3]new sheet'!$A$1:$IV$65536,2,0),0)</f>
        <v>61</v>
      </c>
    </row>
    <row r="125" spans="1:8" ht="24" customHeight="1">
      <c r="A125" s="7">
        <v>63</v>
      </c>
      <c r="B125" s="7">
        <v>3945</v>
      </c>
      <c r="C125" s="8" t="s">
        <v>1632</v>
      </c>
      <c r="D125" s="8" t="s">
        <v>1934</v>
      </c>
      <c r="E125" s="2">
        <f>IFERROR(VLOOKUP(B125,'[1]new sheet'!$A$1:$IV$65536,5,FALSE),0)</f>
        <v>299</v>
      </c>
      <c r="F125" s="3">
        <f>IFERROR(VLOOKUP(B125,'[1]new sheet'!$A$1:$IV$65536,4,FALSE),0)</f>
        <v>9</v>
      </c>
      <c r="G125" s="4">
        <f>IFERROR(VLOOKUP(B125,'[2]new sheet'!$A$1:$IV$65536,2,0),0)</f>
        <v>127</v>
      </c>
      <c r="H125" s="5">
        <f>IFERROR(VLOOKUP(B125,'[3]new sheet'!$A$1:$IV$65536,2,0),0)</f>
        <v>47</v>
      </c>
    </row>
    <row r="126" spans="1:8" ht="24" customHeight="1">
      <c r="A126" s="7">
        <v>40503</v>
      </c>
      <c r="B126" s="7">
        <v>2062</v>
      </c>
      <c r="C126" s="8" t="s">
        <v>1525</v>
      </c>
      <c r="D126" s="8" t="s">
        <v>1934</v>
      </c>
      <c r="E126" s="2">
        <f>IFERROR(VLOOKUP(B126,'[1]new sheet'!$A$1:$IV$65536,5,FALSE),0)</f>
        <v>0</v>
      </c>
      <c r="F126" s="3">
        <f>IFERROR(VLOOKUP(B126,'[1]new sheet'!$A$1:$IV$65536,4,FALSE),0)</f>
        <v>0</v>
      </c>
      <c r="G126" s="4">
        <f>IFERROR(VLOOKUP(B126,'[2]new sheet'!$A$1:$IV$65536,2,0),0)</f>
        <v>0</v>
      </c>
      <c r="H126" s="5">
        <f>IFERROR(VLOOKUP(B126,'[3]new sheet'!$A$1:$IV$65536,2,0),0)</f>
        <v>0</v>
      </c>
    </row>
    <row r="127" spans="1:8" ht="24" customHeight="1">
      <c r="A127" s="7">
        <v>30100</v>
      </c>
      <c r="B127" s="7">
        <v>1476</v>
      </c>
      <c r="C127" s="8" t="s">
        <v>109</v>
      </c>
      <c r="D127" s="8" t="s">
        <v>1934</v>
      </c>
      <c r="E127" s="2">
        <f>IFERROR(VLOOKUP(B127,'[1]new sheet'!$A$1:$IV$65536,5,FALSE),0)</f>
        <v>0</v>
      </c>
      <c r="F127" s="3">
        <f>IFERROR(VLOOKUP(B127,'[1]new sheet'!$A$1:$IV$65536,4,FALSE),0)</f>
        <v>0</v>
      </c>
      <c r="G127" s="4">
        <f>IFERROR(VLOOKUP(B127,'[2]new sheet'!$A$1:$IV$65536,2,0),0)</f>
        <v>310</v>
      </c>
      <c r="H127" s="5">
        <f>IFERROR(VLOOKUP(B127,'[3]new sheet'!$A$1:$IV$65536,2,0),0)</f>
        <v>0</v>
      </c>
    </row>
    <row r="128" spans="1:8" ht="24" customHeight="1">
      <c r="A128" s="7">
        <v>999060</v>
      </c>
      <c r="B128" s="7">
        <v>215</v>
      </c>
      <c r="C128" s="8" t="s">
        <v>110</v>
      </c>
      <c r="D128" s="8" t="s">
        <v>1934</v>
      </c>
      <c r="E128" s="2">
        <f>IFERROR(VLOOKUP(B128,'[1]new sheet'!$A$1:$IV$65536,5,FALSE),0)</f>
        <v>5</v>
      </c>
      <c r="F128" s="3">
        <f>IFERROR(VLOOKUP(B128,'[1]new sheet'!$A$1:$IV$65536,4,FALSE),0)</f>
        <v>0</v>
      </c>
      <c r="G128" s="4">
        <f>IFERROR(VLOOKUP(B128,'[2]new sheet'!$A$1:$IV$65536,2,0),0)</f>
        <v>35</v>
      </c>
      <c r="H128" s="5">
        <f>IFERROR(VLOOKUP(B128,'[3]new sheet'!$A$1:$IV$65536,2,0),0)</f>
        <v>39</v>
      </c>
    </row>
    <row r="129" spans="1:8" ht="24" customHeight="1">
      <c r="A129" s="7">
        <v>1849</v>
      </c>
      <c r="B129" s="7">
        <v>447</v>
      </c>
      <c r="C129" s="8" t="s">
        <v>111</v>
      </c>
      <c r="D129" s="8" t="s">
        <v>1934</v>
      </c>
      <c r="E129" s="2">
        <f>IFERROR(VLOOKUP(B129,'[1]new sheet'!$A$1:$IV$65536,5,FALSE),0)</f>
        <v>0</v>
      </c>
      <c r="F129" s="3">
        <f>IFERROR(VLOOKUP(B129,'[1]new sheet'!$A$1:$IV$65536,4,FALSE),0)</f>
        <v>0</v>
      </c>
      <c r="G129" s="4">
        <f>IFERROR(VLOOKUP(B129,'[2]new sheet'!$A$1:$IV$65536,2,0),0)</f>
        <v>111</v>
      </c>
      <c r="H129" s="5">
        <f>IFERROR(VLOOKUP(B129,'[3]new sheet'!$A$1:$IV$65536,2,0),0)</f>
        <v>1</v>
      </c>
    </row>
    <row r="130" spans="1:8" ht="24" customHeight="1">
      <c r="A130" s="7">
        <v>608021</v>
      </c>
      <c r="B130" s="7">
        <v>3077</v>
      </c>
      <c r="C130" s="8" t="s">
        <v>112</v>
      </c>
      <c r="D130" s="8" t="s">
        <v>1934</v>
      </c>
      <c r="E130" s="2">
        <f>IFERROR(VLOOKUP(B130,'[1]new sheet'!$A$1:$IV$65536,5,FALSE),0)</f>
        <v>265</v>
      </c>
      <c r="F130" s="3">
        <f>IFERROR(VLOOKUP(B130,'[1]new sheet'!$A$1:$IV$65536,4,FALSE),0)</f>
        <v>8</v>
      </c>
      <c r="G130" s="4">
        <f>IFERROR(VLOOKUP(B130,'[2]new sheet'!$A$1:$IV$65536,2,0),0)</f>
        <v>0</v>
      </c>
      <c r="H130" s="5">
        <f>IFERROR(VLOOKUP(B130,'[3]new sheet'!$A$1:$IV$65536,2,0),0)</f>
        <v>27</v>
      </c>
    </row>
    <row r="131" spans="1:8" ht="24" customHeight="1">
      <c r="A131" s="7">
        <v>6203</v>
      </c>
      <c r="B131" s="7">
        <v>442</v>
      </c>
      <c r="C131" s="8" t="s">
        <v>113</v>
      </c>
      <c r="D131" s="8" t="s">
        <v>1934</v>
      </c>
      <c r="E131" s="2">
        <f>IFERROR(VLOOKUP(B131,'[1]new sheet'!$A$1:$IV$65536,5,FALSE),0)</f>
        <v>0</v>
      </c>
      <c r="F131" s="3">
        <f>IFERROR(VLOOKUP(B131,'[1]new sheet'!$A$1:$IV$65536,4,FALSE),0)</f>
        <v>0</v>
      </c>
      <c r="G131" s="4">
        <f>IFERROR(VLOOKUP(B131,'[2]new sheet'!$A$1:$IV$65536,2,0),0)</f>
        <v>1</v>
      </c>
      <c r="H131" s="5">
        <f>IFERROR(VLOOKUP(B131,'[3]new sheet'!$A$1:$IV$65536,2,0),0)</f>
        <v>0</v>
      </c>
    </row>
    <row r="132" spans="1:8" ht="24" customHeight="1">
      <c r="A132" s="7">
        <v>2100031001117</v>
      </c>
      <c r="B132" s="7">
        <v>3107</v>
      </c>
      <c r="C132" s="8" t="s">
        <v>114</v>
      </c>
      <c r="D132" s="8" t="s">
        <v>1934</v>
      </c>
      <c r="E132" s="2">
        <f>IFERROR(VLOOKUP(B132,'[1]new sheet'!$A$1:$IV$65536,5,FALSE),0)</f>
        <v>74</v>
      </c>
      <c r="F132" s="3">
        <f>IFERROR(VLOOKUP(B132,'[1]new sheet'!$A$1:$IV$65536,4,FALSE),0)</f>
        <v>1</v>
      </c>
      <c r="G132" s="4">
        <f>IFERROR(VLOOKUP(B132,'[2]new sheet'!$A$1:$IV$65536,2,0),0)</f>
        <v>77</v>
      </c>
      <c r="H132" s="5">
        <f>IFERROR(VLOOKUP(B132,'[3]new sheet'!$A$1:$IV$65536,2,0),0)</f>
        <v>0</v>
      </c>
    </row>
    <row r="133" spans="1:8" ht="24" customHeight="1">
      <c r="A133" s="7">
        <v>63</v>
      </c>
      <c r="B133" s="7">
        <v>778</v>
      </c>
      <c r="C133" s="8" t="s">
        <v>115</v>
      </c>
      <c r="D133" s="8" t="s">
        <v>1934</v>
      </c>
      <c r="E133" s="2">
        <f>IFERROR(VLOOKUP(B133,'[1]new sheet'!$A$1:$IV$65536,5,FALSE),0)</f>
        <v>0</v>
      </c>
      <c r="F133" s="3">
        <f>IFERROR(VLOOKUP(B133,'[1]new sheet'!$A$1:$IV$65536,4,FALSE),0)</f>
        <v>0</v>
      </c>
      <c r="G133" s="4">
        <f>IFERROR(VLOOKUP(B133,'[2]new sheet'!$A$1:$IV$65536,2,0),0)</f>
        <v>0</v>
      </c>
      <c r="H133" s="5">
        <f>IFERROR(VLOOKUP(B133,'[3]new sheet'!$A$1:$IV$65536,2,0),0)</f>
        <v>0</v>
      </c>
    </row>
    <row r="134" spans="1:8" ht="24" customHeight="1">
      <c r="A134" s="7">
        <v>214999</v>
      </c>
      <c r="B134" s="7">
        <v>1051</v>
      </c>
      <c r="C134" s="8" t="s">
        <v>1917</v>
      </c>
      <c r="D134" s="8" t="s">
        <v>1937</v>
      </c>
      <c r="E134" s="2">
        <f>IFERROR(VLOOKUP(B134,'[1]new sheet'!$A$1:$IV$65536,5,FALSE),0)</f>
        <v>13</v>
      </c>
      <c r="F134" s="3">
        <f>IFERROR(VLOOKUP(B134,'[1]new sheet'!$A$1:$IV$65536,4,FALSE),0)</f>
        <v>0</v>
      </c>
      <c r="G134" s="4">
        <f>IFERROR(VLOOKUP(B134,'[2]new sheet'!$A$1:$IV$65536,2,0),0)</f>
        <v>17</v>
      </c>
      <c r="H134" s="5">
        <f>IFERROR(VLOOKUP(B134,'[3]new sheet'!$A$1:$IV$65536,2,0),0)</f>
        <v>8</v>
      </c>
    </row>
    <row r="135" spans="1:8" ht="24" customHeight="1">
      <c r="A135" s="7">
        <v>996765</v>
      </c>
      <c r="B135" s="7">
        <v>4302</v>
      </c>
      <c r="C135" s="8" t="s">
        <v>1918</v>
      </c>
      <c r="D135" s="8" t="s">
        <v>1937</v>
      </c>
      <c r="E135" s="2">
        <f>IFERROR(VLOOKUP(B135,'[1]new sheet'!$A$1:$IV$65536,5,FALSE),0)</f>
        <v>30</v>
      </c>
      <c r="F135" s="3">
        <f>IFERROR(VLOOKUP(B135,'[1]new sheet'!$A$1:$IV$65536,4,FALSE),0)</f>
        <v>0</v>
      </c>
      <c r="G135" s="4">
        <f>IFERROR(VLOOKUP(B135,'[2]new sheet'!$A$1:$IV$65536,2,0),0)</f>
        <v>0</v>
      </c>
      <c r="H135" s="5">
        <f>IFERROR(VLOOKUP(B135,'[3]new sheet'!$A$1:$IV$65536,2,0),0)</f>
        <v>0</v>
      </c>
    </row>
    <row r="136" spans="1:8" ht="24" customHeight="1">
      <c r="A136" s="7">
        <v>203429</v>
      </c>
      <c r="B136" s="7">
        <v>444</v>
      </c>
      <c r="C136" s="8" t="s">
        <v>116</v>
      </c>
      <c r="D136" s="8" t="s">
        <v>1934</v>
      </c>
      <c r="E136" s="2">
        <f>IFERROR(VLOOKUP(B136,'[1]new sheet'!$A$1:$IV$65536,5,FALSE),0)</f>
        <v>0</v>
      </c>
      <c r="F136" s="3">
        <f>IFERROR(VLOOKUP(B136,'[1]new sheet'!$A$1:$IV$65536,4,FALSE),0)</f>
        <v>0</v>
      </c>
      <c r="G136" s="4">
        <f>IFERROR(VLOOKUP(B136,'[2]new sheet'!$A$1:$IV$65536,2,0),0)</f>
        <v>5</v>
      </c>
      <c r="H136" s="5">
        <f>IFERROR(VLOOKUP(B136,'[3]new sheet'!$A$1:$IV$65536,2,0),0)</f>
        <v>0</v>
      </c>
    </row>
    <row r="137" spans="1:8" ht="24" customHeight="1">
      <c r="A137" s="7">
        <v>995648</v>
      </c>
      <c r="B137" s="7">
        <v>445</v>
      </c>
      <c r="C137" s="8" t="s">
        <v>117</v>
      </c>
      <c r="D137" s="8" t="s">
        <v>1934</v>
      </c>
      <c r="E137" s="2">
        <f>IFERROR(VLOOKUP(B137,'[1]new sheet'!$A$1:$IV$65536,5,FALSE),0)</f>
        <v>102</v>
      </c>
      <c r="F137" s="3">
        <f>IFERROR(VLOOKUP(B137,'[1]new sheet'!$A$1:$IV$65536,4,FALSE),0)</f>
        <v>5</v>
      </c>
      <c r="G137" s="4">
        <f>IFERROR(VLOOKUP(B137,'[2]new sheet'!$A$1:$IV$65536,2,0),0)</f>
        <v>255</v>
      </c>
      <c r="H137" s="5">
        <f>IFERROR(VLOOKUP(B137,'[3]new sheet'!$A$1:$IV$65536,2,0),0)</f>
        <v>62</v>
      </c>
    </row>
    <row r="138" spans="1:8" ht="24" customHeight="1">
      <c r="A138" s="7">
        <v>154182</v>
      </c>
      <c r="B138" s="7">
        <v>446</v>
      </c>
      <c r="C138" s="8" t="s">
        <v>118</v>
      </c>
      <c r="D138" s="8" t="s">
        <v>1935</v>
      </c>
      <c r="E138" s="2">
        <f>IFERROR(VLOOKUP(B138,'[1]new sheet'!$A$1:$IV$65536,5,FALSE),0)</f>
        <v>0</v>
      </c>
      <c r="F138" s="3">
        <f>IFERROR(VLOOKUP(B138,'[1]new sheet'!$A$1:$IV$65536,4,FALSE),0)</f>
        <v>0</v>
      </c>
      <c r="G138" s="4">
        <f>IFERROR(VLOOKUP(B138,'[2]new sheet'!$A$1:$IV$65536,2,0),0)</f>
        <v>0</v>
      </c>
      <c r="H138" s="5">
        <f>IFERROR(VLOOKUP(B138,'[3]new sheet'!$A$1:$IV$65536,2,0),0)</f>
        <v>0</v>
      </c>
    </row>
    <row r="139" spans="1:8" ht="24" customHeight="1">
      <c r="A139" s="7">
        <v>955717</v>
      </c>
      <c r="B139" s="7">
        <v>879</v>
      </c>
      <c r="C139" s="8" t="s">
        <v>119</v>
      </c>
      <c r="D139" s="8" t="s">
        <v>1935</v>
      </c>
      <c r="E139" s="2">
        <f>IFERROR(VLOOKUP(B139,'[1]new sheet'!$A$1:$IV$65536,5,FALSE),0)</f>
        <v>0.6</v>
      </c>
      <c r="F139" s="3">
        <f>IFERROR(VLOOKUP(B139,'[1]new sheet'!$A$1:$IV$65536,4,FALSE),0)</f>
        <v>0</v>
      </c>
      <c r="G139" s="4">
        <f>IFERROR(VLOOKUP(B139,'[2]new sheet'!$A$1:$IV$65536,2,0),0)</f>
        <v>0</v>
      </c>
      <c r="H139" s="5">
        <f>IFERROR(VLOOKUP(B139,'[3]new sheet'!$A$1:$IV$65536,2,0),0)</f>
        <v>144.53</v>
      </c>
    </row>
    <row r="140" spans="1:8" ht="24" customHeight="1">
      <c r="A140" s="7">
        <v>60709</v>
      </c>
      <c r="B140" s="7">
        <v>452</v>
      </c>
      <c r="C140" s="8" t="s">
        <v>120</v>
      </c>
      <c r="D140" s="8" t="s">
        <v>1934</v>
      </c>
      <c r="E140" s="2">
        <f>IFERROR(VLOOKUP(B140,'[1]new sheet'!$A$1:$IV$65536,5,FALSE),0)</f>
        <v>20</v>
      </c>
      <c r="F140" s="3">
        <f>IFERROR(VLOOKUP(B140,'[1]new sheet'!$A$1:$IV$65536,4,FALSE),0)</f>
        <v>0</v>
      </c>
      <c r="G140" s="4">
        <f>IFERROR(VLOOKUP(B140,'[2]new sheet'!$A$1:$IV$65536,2,0),0)</f>
        <v>0</v>
      </c>
      <c r="H140" s="5">
        <f>IFERROR(VLOOKUP(B140,'[3]new sheet'!$A$1:$IV$65536,2,0),0)</f>
        <v>0</v>
      </c>
    </row>
    <row r="141" spans="1:8" ht="24" customHeight="1">
      <c r="A141" s="7">
        <v>577952</v>
      </c>
      <c r="B141" s="7">
        <v>3920</v>
      </c>
      <c r="C141" s="8" t="s">
        <v>1608</v>
      </c>
      <c r="D141" s="8" t="s">
        <v>1935</v>
      </c>
      <c r="E141" s="2">
        <f>IFERROR(VLOOKUP(B141,'[1]new sheet'!$A$1:$IV$65536,5,FALSE),0)</f>
        <v>144.24</v>
      </c>
      <c r="F141" s="3">
        <f>IFERROR(VLOOKUP(B141,'[1]new sheet'!$A$1:$IV$65536,4,FALSE),0)</f>
        <v>0</v>
      </c>
      <c r="G141" s="4">
        <f>IFERROR(VLOOKUP(B141,'[2]new sheet'!$A$1:$IV$65536,2,0),0)</f>
        <v>73.099999999999994</v>
      </c>
      <c r="H141" s="5">
        <f>IFERROR(VLOOKUP(B141,'[3]new sheet'!$A$1:$IV$65536,2,0),0)</f>
        <v>118.82</v>
      </c>
    </row>
    <row r="142" spans="1:8" ht="24" customHeight="1">
      <c r="A142" s="7">
        <v>6459</v>
      </c>
      <c r="B142" s="7">
        <v>1607</v>
      </c>
      <c r="C142" s="8" t="s">
        <v>121</v>
      </c>
      <c r="D142" s="8" t="s">
        <v>1935</v>
      </c>
      <c r="E142" s="2">
        <f>IFERROR(VLOOKUP(B142,'[1]new sheet'!$A$1:$IV$65536,5,FALSE),0)</f>
        <v>89.67</v>
      </c>
      <c r="F142" s="3">
        <f>IFERROR(VLOOKUP(B142,'[1]new sheet'!$A$1:$IV$65536,4,FALSE),0)</f>
        <v>0</v>
      </c>
      <c r="G142" s="4">
        <f>IFERROR(VLOOKUP(B142,'[2]new sheet'!$A$1:$IV$65536,2,0),0)</f>
        <v>715.28</v>
      </c>
      <c r="H142" s="5">
        <f>IFERROR(VLOOKUP(B142,'[3]new sheet'!$A$1:$IV$65536,2,0),0)</f>
        <v>247.47</v>
      </c>
    </row>
    <row r="143" spans="1:8" ht="24" customHeight="1">
      <c r="A143" s="7">
        <v>62</v>
      </c>
      <c r="B143" s="7">
        <v>2638</v>
      </c>
      <c r="C143" s="8" t="s">
        <v>122</v>
      </c>
      <c r="D143" s="8" t="s">
        <v>1935</v>
      </c>
      <c r="E143" s="2">
        <f>IFERROR(VLOOKUP(B143,'[1]new sheet'!$A$1:$IV$65536,5,FALSE),0)</f>
        <v>0</v>
      </c>
      <c r="F143" s="3">
        <f>IFERROR(VLOOKUP(B143,'[1]new sheet'!$A$1:$IV$65536,4,FALSE),0)</f>
        <v>0</v>
      </c>
      <c r="G143" s="4">
        <f>IFERROR(VLOOKUP(B143,'[2]new sheet'!$A$1:$IV$65536,2,0),0)</f>
        <v>0</v>
      </c>
      <c r="H143" s="5">
        <f>IFERROR(VLOOKUP(B143,'[3]new sheet'!$A$1:$IV$65536,2,0),0)</f>
        <v>0</v>
      </c>
    </row>
    <row r="144" spans="1:8" ht="24" customHeight="1">
      <c r="A144" s="7">
        <v>62</v>
      </c>
      <c r="B144" s="7">
        <v>779</v>
      </c>
      <c r="C144" s="8" t="s">
        <v>123</v>
      </c>
      <c r="D144" s="8" t="s">
        <v>1935</v>
      </c>
      <c r="E144" s="2">
        <f>IFERROR(VLOOKUP(B144,'[1]new sheet'!$A$1:$IV$65536,5,FALSE),0)</f>
        <v>0</v>
      </c>
      <c r="F144" s="3">
        <f>IFERROR(VLOOKUP(B144,'[1]new sheet'!$A$1:$IV$65536,4,FALSE),0)</f>
        <v>0</v>
      </c>
      <c r="G144" s="4">
        <f>IFERROR(VLOOKUP(B144,'[2]new sheet'!$A$1:$IV$65536,2,0),0)</f>
        <v>0</v>
      </c>
      <c r="H144" s="5">
        <f>IFERROR(VLOOKUP(B144,'[3]new sheet'!$A$1:$IV$65536,2,0),0)</f>
        <v>0</v>
      </c>
    </row>
    <row r="145" spans="1:8" ht="24" customHeight="1">
      <c r="A145" s="7" t="s">
        <v>124</v>
      </c>
      <c r="B145" s="7">
        <v>214</v>
      </c>
      <c r="C145" s="8" t="s">
        <v>125</v>
      </c>
      <c r="D145" s="8" t="s">
        <v>1935</v>
      </c>
      <c r="E145" s="2">
        <f>IFERROR(VLOOKUP(B145,'[1]new sheet'!$A$1:$IV$65536,5,FALSE),0)</f>
        <v>0.01</v>
      </c>
      <c r="F145" s="3">
        <f>IFERROR(VLOOKUP(B145,'[1]new sheet'!$A$1:$IV$65536,4,FALSE),0)</f>
        <v>0.09</v>
      </c>
      <c r="G145" s="4">
        <f>IFERROR(VLOOKUP(B145,'[2]new sheet'!$A$1:$IV$65536,2,0),0)</f>
        <v>0</v>
      </c>
      <c r="H145" s="5">
        <f>IFERROR(VLOOKUP(B145,'[3]new sheet'!$A$1:$IV$65536,2,0),0)</f>
        <v>0</v>
      </c>
    </row>
    <row r="146" spans="1:8" ht="24" customHeight="1">
      <c r="A146" s="7">
        <v>60709</v>
      </c>
      <c r="B146" s="7">
        <v>3448</v>
      </c>
      <c r="C146" s="8" t="s">
        <v>1614</v>
      </c>
      <c r="D146" s="8" t="s">
        <v>1934</v>
      </c>
      <c r="E146" s="2">
        <f>IFERROR(VLOOKUP(B146,'[1]new sheet'!$A$1:$IV$65536,5,FALSE),0)</f>
        <v>0</v>
      </c>
      <c r="F146" s="3">
        <f>IFERROR(VLOOKUP(B146,'[1]new sheet'!$A$1:$IV$65536,4,FALSE),0)</f>
        <v>0</v>
      </c>
      <c r="G146" s="4">
        <f>IFERROR(VLOOKUP(B146,'[2]new sheet'!$A$1:$IV$65536,2,0),0)</f>
        <v>0</v>
      </c>
      <c r="H146" s="5">
        <f>IFERROR(VLOOKUP(B146,'[3]new sheet'!$A$1:$IV$65536,2,0),0)</f>
        <v>0</v>
      </c>
    </row>
    <row r="147" spans="1:8" ht="24" customHeight="1">
      <c r="A147" s="7" t="s">
        <v>126</v>
      </c>
      <c r="B147" s="7">
        <v>213</v>
      </c>
      <c r="C147" s="8" t="s">
        <v>127</v>
      </c>
      <c r="D147" s="8" t="s">
        <v>1935</v>
      </c>
      <c r="E147" s="2">
        <f>IFERROR(VLOOKUP(B147,'[1]new sheet'!$A$1:$IV$65536,5,FALSE),0)</f>
        <v>6042.74</v>
      </c>
      <c r="F147" s="3">
        <f>IFERROR(VLOOKUP(B147,'[1]new sheet'!$A$1:$IV$65536,4,FALSE),0)</f>
        <v>110.22</v>
      </c>
      <c r="G147" s="4">
        <f>IFERROR(VLOOKUP(B147,'[2]new sheet'!$A$1:$IV$65536,2,0),0)</f>
        <v>13595.7</v>
      </c>
      <c r="H147" s="5">
        <f>IFERROR(VLOOKUP(B147,'[3]new sheet'!$A$1:$IV$65536,2,0),0)</f>
        <v>3728.73</v>
      </c>
    </row>
    <row r="148" spans="1:8" ht="24" customHeight="1">
      <c r="A148" s="7">
        <v>31106</v>
      </c>
      <c r="B148" s="7">
        <v>450</v>
      </c>
      <c r="C148" s="8" t="s">
        <v>128</v>
      </c>
      <c r="D148" s="8" t="s">
        <v>1935</v>
      </c>
      <c r="E148" s="2">
        <f>IFERROR(VLOOKUP(B148,'[1]new sheet'!$A$1:$IV$65536,5,FALSE),0)</f>
        <v>349.38</v>
      </c>
      <c r="F148" s="3">
        <f>IFERROR(VLOOKUP(B148,'[1]new sheet'!$A$1:$IV$65536,4,FALSE),0)</f>
        <v>120.03</v>
      </c>
      <c r="G148" s="4">
        <f>IFERROR(VLOOKUP(B148,'[2]new sheet'!$A$1:$IV$65536,2,0),0)</f>
        <v>946.42</v>
      </c>
      <c r="H148" s="5">
        <f>IFERROR(VLOOKUP(B148,'[3]new sheet'!$A$1:$IV$65536,2,0),0)</f>
        <v>521.15</v>
      </c>
    </row>
    <row r="149" spans="1:8" ht="24" customHeight="1">
      <c r="A149" s="7">
        <v>105477</v>
      </c>
      <c r="B149" s="7">
        <v>3284</v>
      </c>
      <c r="C149" s="8" t="s">
        <v>129</v>
      </c>
      <c r="D149" s="8" t="s">
        <v>1934</v>
      </c>
      <c r="E149" s="2">
        <f>IFERROR(VLOOKUP(B149,'[1]new sheet'!$A$1:$IV$65536,5,FALSE),0)</f>
        <v>0</v>
      </c>
      <c r="F149" s="3">
        <f>IFERROR(VLOOKUP(B149,'[1]new sheet'!$A$1:$IV$65536,4,FALSE),0)</f>
        <v>0</v>
      </c>
      <c r="G149" s="4">
        <f>IFERROR(VLOOKUP(B149,'[2]new sheet'!$A$1:$IV$65536,2,0),0)</f>
        <v>0</v>
      </c>
      <c r="H149" s="5">
        <f>IFERROR(VLOOKUP(B149,'[3]new sheet'!$A$1:$IV$65536,2,0),0)</f>
        <v>0</v>
      </c>
    </row>
    <row r="150" spans="1:8" ht="24" customHeight="1">
      <c r="A150" s="7">
        <v>606011</v>
      </c>
      <c r="B150" s="7">
        <v>2274</v>
      </c>
      <c r="C150" s="8" t="s">
        <v>130</v>
      </c>
      <c r="D150" s="8" t="s">
        <v>1935</v>
      </c>
      <c r="E150" s="2">
        <f>IFERROR(VLOOKUP(B150,'[1]new sheet'!$A$1:$IV$65536,5,FALSE),0)</f>
        <v>0</v>
      </c>
      <c r="F150" s="3">
        <f>IFERROR(VLOOKUP(B150,'[1]new sheet'!$A$1:$IV$65536,4,FALSE),0)</f>
        <v>0</v>
      </c>
      <c r="G150" s="4">
        <f>IFERROR(VLOOKUP(B150,'[2]new sheet'!$A$1:$IV$65536,2,0),0)</f>
        <v>0</v>
      </c>
      <c r="H150" s="5">
        <f>IFERROR(VLOOKUP(B150,'[3]new sheet'!$A$1:$IV$65536,2,0),0)</f>
        <v>0</v>
      </c>
    </row>
    <row r="151" spans="1:8" ht="24" customHeight="1">
      <c r="A151" s="7">
        <v>242059</v>
      </c>
      <c r="B151" s="7">
        <v>448</v>
      </c>
      <c r="C151" s="8" t="s">
        <v>131</v>
      </c>
      <c r="D151" s="8" t="s">
        <v>1935</v>
      </c>
      <c r="E151" s="2">
        <f>IFERROR(VLOOKUP(B151,'[1]new sheet'!$A$1:$IV$65536,5,FALSE),0)</f>
        <v>197.62</v>
      </c>
      <c r="F151" s="3">
        <f>IFERROR(VLOOKUP(B151,'[1]new sheet'!$A$1:$IV$65536,4,FALSE),0)</f>
        <v>0</v>
      </c>
      <c r="G151" s="4">
        <f>IFERROR(VLOOKUP(B151,'[2]new sheet'!$A$1:$IV$65536,2,0),0)</f>
        <v>173.82</v>
      </c>
      <c r="H151" s="5">
        <f>IFERROR(VLOOKUP(B151,'[3]new sheet'!$A$1:$IV$65536,2,0),0)</f>
        <v>41.76</v>
      </c>
    </row>
    <row r="152" spans="1:8" ht="24" customHeight="1">
      <c r="A152" s="7">
        <v>64</v>
      </c>
      <c r="B152" s="7">
        <v>1522</v>
      </c>
      <c r="C152" s="8" t="s">
        <v>132</v>
      </c>
      <c r="D152" s="8" t="s">
        <v>1935</v>
      </c>
      <c r="E152" s="2">
        <f>IFERROR(VLOOKUP(B152,'[1]new sheet'!$A$1:$IV$65536,5,FALSE),0)</f>
        <v>0.51</v>
      </c>
      <c r="F152" s="3">
        <f>IFERROR(VLOOKUP(B152,'[1]new sheet'!$A$1:$IV$65536,4,FALSE),0)</f>
        <v>0</v>
      </c>
      <c r="G152" s="4">
        <f>IFERROR(VLOOKUP(B152,'[2]new sheet'!$A$1:$IV$65536,2,0),0)</f>
        <v>564.77</v>
      </c>
      <c r="H152" s="5">
        <f>IFERROR(VLOOKUP(B152,'[3]new sheet'!$A$1:$IV$65536,2,0),0)</f>
        <v>314.04000000000002</v>
      </c>
    </row>
    <row r="153" spans="1:8" ht="24" customHeight="1">
      <c r="A153" s="7">
        <v>60</v>
      </c>
      <c r="B153" s="7">
        <v>449</v>
      </c>
      <c r="C153" s="8" t="s">
        <v>133</v>
      </c>
      <c r="D153" s="8" t="s">
        <v>1935</v>
      </c>
      <c r="E153" s="2">
        <f>IFERROR(VLOOKUP(B153,'[1]new sheet'!$A$1:$IV$65536,5,FALSE),0)</f>
        <v>0</v>
      </c>
      <c r="F153" s="3">
        <f>IFERROR(VLOOKUP(B153,'[1]new sheet'!$A$1:$IV$65536,4,FALSE),0)</f>
        <v>0</v>
      </c>
      <c r="G153" s="4">
        <f>IFERROR(VLOOKUP(B153,'[2]new sheet'!$A$1:$IV$65536,2,0),0)</f>
        <v>0</v>
      </c>
      <c r="H153" s="5">
        <f>IFERROR(VLOOKUP(B153,'[3]new sheet'!$A$1:$IV$65536,2,0),0)</f>
        <v>0</v>
      </c>
    </row>
    <row r="154" spans="1:8" ht="24" customHeight="1">
      <c r="A154" s="7">
        <v>39999</v>
      </c>
      <c r="B154" s="7">
        <v>443</v>
      </c>
      <c r="C154" s="8" t="s">
        <v>134</v>
      </c>
      <c r="D154" s="8" t="s">
        <v>1935</v>
      </c>
      <c r="E154" s="2">
        <f>IFERROR(VLOOKUP(B154,'[1]new sheet'!$A$1:$IV$65536,5,FALSE),0)</f>
        <v>69.48</v>
      </c>
      <c r="F154" s="3">
        <f>IFERROR(VLOOKUP(B154,'[1]new sheet'!$A$1:$IV$65536,4,FALSE),0)</f>
        <v>0</v>
      </c>
      <c r="G154" s="4">
        <f>IFERROR(VLOOKUP(B154,'[2]new sheet'!$A$1:$IV$65536,2,0),0)</f>
        <v>45.61</v>
      </c>
      <c r="H154" s="5">
        <f>IFERROR(VLOOKUP(B154,'[3]new sheet'!$A$1:$IV$65536,2,0),0)</f>
        <v>0</v>
      </c>
    </row>
    <row r="155" spans="1:8" ht="24" customHeight="1">
      <c r="A155" s="7">
        <v>39703</v>
      </c>
      <c r="B155" s="7">
        <v>1695</v>
      </c>
      <c r="C155" s="8" t="s">
        <v>135</v>
      </c>
      <c r="D155" s="8" t="s">
        <v>1935</v>
      </c>
      <c r="E155" s="2">
        <f>IFERROR(VLOOKUP(B155,'[1]new sheet'!$A$1:$IV$65536,5,FALSE),0)</f>
        <v>39.21</v>
      </c>
      <c r="F155" s="3">
        <f>IFERROR(VLOOKUP(B155,'[1]new sheet'!$A$1:$IV$65536,4,FALSE),0)</f>
        <v>0</v>
      </c>
      <c r="G155" s="4">
        <f>IFERROR(VLOOKUP(B155,'[2]new sheet'!$A$1:$IV$65536,2,0),0)</f>
        <v>15.04</v>
      </c>
      <c r="H155" s="5">
        <f>IFERROR(VLOOKUP(B155,'[3]new sheet'!$A$1:$IV$65536,2,0),0)</f>
        <v>0</v>
      </c>
    </row>
    <row r="156" spans="1:8" ht="24" customHeight="1">
      <c r="A156" s="7" t="s">
        <v>136</v>
      </c>
      <c r="B156" s="7">
        <v>216</v>
      </c>
      <c r="C156" s="8" t="s">
        <v>137</v>
      </c>
      <c r="D156" s="8" t="s">
        <v>1935</v>
      </c>
      <c r="E156" s="2">
        <f>IFERROR(VLOOKUP(B156,'[1]new sheet'!$A$1:$IV$65536,5,FALSE),0)</f>
        <v>829</v>
      </c>
      <c r="F156" s="3">
        <f>IFERROR(VLOOKUP(B156,'[1]new sheet'!$A$1:$IV$65536,4,FALSE),0)</f>
        <v>0</v>
      </c>
      <c r="G156" s="4">
        <f>IFERROR(VLOOKUP(B156,'[2]new sheet'!$A$1:$IV$65536,2,0),0)</f>
        <v>140.08000000000001</v>
      </c>
      <c r="H156" s="5">
        <f>IFERROR(VLOOKUP(B156,'[3]new sheet'!$A$1:$IV$65536,2,0),0)</f>
        <v>439.89</v>
      </c>
    </row>
    <row r="157" spans="1:8" ht="24" customHeight="1">
      <c r="A157" s="7">
        <v>2100031001100</v>
      </c>
      <c r="B157" s="7">
        <v>451</v>
      </c>
      <c r="C157" s="8" t="s">
        <v>138</v>
      </c>
      <c r="D157" s="8" t="s">
        <v>1937</v>
      </c>
      <c r="E157" s="2">
        <f>IFERROR(VLOOKUP(B157,'[1]new sheet'!$A$1:$IV$65536,5,FALSE),0)</f>
        <v>98</v>
      </c>
      <c r="F157" s="3">
        <f>IFERROR(VLOOKUP(B157,'[1]new sheet'!$A$1:$IV$65536,4,FALSE),0)</f>
        <v>0</v>
      </c>
      <c r="G157" s="4">
        <f>IFERROR(VLOOKUP(B157,'[2]new sheet'!$A$1:$IV$65536,2,0),0)</f>
        <v>53</v>
      </c>
      <c r="H157" s="5">
        <f>IFERROR(VLOOKUP(B157,'[3]new sheet'!$A$1:$IV$65536,2,0),0)</f>
        <v>5</v>
      </c>
    </row>
    <row r="158" spans="1:8" ht="24" customHeight="1">
      <c r="A158" s="7">
        <v>61</v>
      </c>
      <c r="B158" s="7">
        <v>780</v>
      </c>
      <c r="C158" s="8" t="s">
        <v>139</v>
      </c>
      <c r="D158" s="8" t="s">
        <v>1935</v>
      </c>
      <c r="E158" s="2">
        <f>IFERROR(VLOOKUP(B158,'[1]new sheet'!$A$1:$IV$65536,5,FALSE),0)</f>
        <v>0.36</v>
      </c>
      <c r="F158" s="3">
        <f>IFERROR(VLOOKUP(B158,'[1]new sheet'!$A$1:$IV$65536,4,FALSE),0)</f>
        <v>0</v>
      </c>
      <c r="G158" s="4">
        <f>IFERROR(VLOOKUP(B158,'[2]new sheet'!$A$1:$IV$65536,2,0),0)</f>
        <v>0</v>
      </c>
      <c r="H158" s="5">
        <f>IFERROR(VLOOKUP(B158,'[3]new sheet'!$A$1:$IV$65536,2,0),0)</f>
        <v>0</v>
      </c>
    </row>
    <row r="159" spans="1:8" ht="24" customHeight="1">
      <c r="A159" s="7">
        <v>205159</v>
      </c>
      <c r="B159" s="7">
        <v>310</v>
      </c>
      <c r="C159" s="8" t="s">
        <v>1722</v>
      </c>
      <c r="D159" s="8" t="s">
        <v>1934</v>
      </c>
      <c r="E159" s="2">
        <f>IFERROR(VLOOKUP(B159,'[1]new sheet'!$A$1:$IV$65536,5,FALSE),0)</f>
        <v>1</v>
      </c>
      <c r="F159" s="3">
        <f>IFERROR(VLOOKUP(B159,'[1]new sheet'!$A$1:$IV$65536,4,FALSE),0)</f>
        <v>0</v>
      </c>
      <c r="G159" s="4">
        <f>IFERROR(VLOOKUP(B159,'[2]new sheet'!$A$1:$IV$65536,2,0),0)</f>
        <v>0</v>
      </c>
      <c r="H159" s="5">
        <f>IFERROR(VLOOKUP(B159,'[3]new sheet'!$A$1:$IV$65536,2,0),0)</f>
        <v>1</v>
      </c>
    </row>
    <row r="160" spans="1:8" ht="24" customHeight="1">
      <c r="A160" s="7">
        <v>126</v>
      </c>
      <c r="B160" s="7">
        <v>207</v>
      </c>
      <c r="C160" s="8" t="s">
        <v>140</v>
      </c>
      <c r="D160" s="8" t="s">
        <v>1934</v>
      </c>
      <c r="E160" s="2">
        <f>IFERROR(VLOOKUP(B160,'[1]new sheet'!$A$1:$IV$65536,5,FALSE),0)</f>
        <v>423</v>
      </c>
      <c r="F160" s="3">
        <f>IFERROR(VLOOKUP(B160,'[1]new sheet'!$A$1:$IV$65536,4,FALSE),0)</f>
        <v>0</v>
      </c>
      <c r="G160" s="4">
        <f>IFERROR(VLOOKUP(B160,'[2]new sheet'!$A$1:$IV$65536,2,0),0)</f>
        <v>284</v>
      </c>
      <c r="H160" s="5">
        <f>IFERROR(VLOOKUP(B160,'[3]new sheet'!$A$1:$IV$65536,2,0),0)</f>
        <v>68</v>
      </c>
    </row>
    <row r="161" spans="1:8" ht="24" customHeight="1">
      <c r="A161" s="7">
        <v>0</v>
      </c>
      <c r="B161" s="7">
        <v>3814</v>
      </c>
      <c r="C161" s="8" t="s">
        <v>1542</v>
      </c>
      <c r="D161" s="8" t="s">
        <v>1934</v>
      </c>
      <c r="E161" s="2">
        <f>IFERROR(VLOOKUP(B161,'[1]new sheet'!$A$1:$IV$65536,5,FALSE),0)</f>
        <v>39</v>
      </c>
      <c r="F161" s="3">
        <f>IFERROR(VLOOKUP(B161,'[1]new sheet'!$A$1:$IV$65536,4,FALSE),0)</f>
        <v>2</v>
      </c>
      <c r="G161" s="4">
        <f>IFERROR(VLOOKUP(B161,'[2]new sheet'!$A$1:$IV$65536,2,0),0)</f>
        <v>20</v>
      </c>
      <c r="H161" s="5">
        <f>IFERROR(VLOOKUP(B161,'[3]new sheet'!$A$1:$IV$65536,2,0),0)</f>
        <v>84</v>
      </c>
    </row>
    <row r="162" spans="1:8" ht="24" customHeight="1">
      <c r="A162" s="7"/>
      <c r="B162" s="7">
        <v>454</v>
      </c>
      <c r="C162" s="8" t="s">
        <v>141</v>
      </c>
      <c r="D162" s="8" t="s">
        <v>1934</v>
      </c>
      <c r="E162" s="2">
        <f>IFERROR(VLOOKUP(B162,'[1]new sheet'!$A$1:$IV$65536,5,FALSE),0)</f>
        <v>0</v>
      </c>
      <c r="F162" s="3">
        <f>IFERROR(VLOOKUP(B162,'[1]new sheet'!$A$1:$IV$65536,4,FALSE),0)</f>
        <v>0</v>
      </c>
      <c r="G162" s="4">
        <f>IFERROR(VLOOKUP(B162,'[2]new sheet'!$A$1:$IV$65536,2,0),0)</f>
        <v>0</v>
      </c>
      <c r="H162" s="5">
        <f>IFERROR(VLOOKUP(B162,'[3]new sheet'!$A$1:$IV$65536,2,0),0)</f>
        <v>0</v>
      </c>
    </row>
    <row r="163" spans="1:8" ht="24" customHeight="1">
      <c r="A163" s="7"/>
      <c r="B163" s="7">
        <v>208</v>
      </c>
      <c r="C163" s="8" t="s">
        <v>142</v>
      </c>
      <c r="D163" s="8" t="s">
        <v>1934</v>
      </c>
      <c r="E163" s="2">
        <f>IFERROR(VLOOKUP(B163,'[1]new sheet'!$A$1:$IV$65536,5,FALSE),0)</f>
        <v>0</v>
      </c>
      <c r="F163" s="3">
        <f>IFERROR(VLOOKUP(B163,'[1]new sheet'!$A$1:$IV$65536,4,FALSE),0)</f>
        <v>0</v>
      </c>
      <c r="G163" s="4">
        <f>IFERROR(VLOOKUP(B163,'[2]new sheet'!$A$1:$IV$65536,2,0),0)</f>
        <v>0</v>
      </c>
      <c r="H163" s="5">
        <f>IFERROR(VLOOKUP(B163,'[3]new sheet'!$A$1:$IV$65536,2,0),0)</f>
        <v>0</v>
      </c>
    </row>
    <row r="164" spans="1:8" ht="24" customHeight="1">
      <c r="A164" s="7">
        <v>205388</v>
      </c>
      <c r="B164" s="7">
        <v>209</v>
      </c>
      <c r="C164" s="8" t="s">
        <v>143</v>
      </c>
      <c r="D164" s="8" t="s">
        <v>1934</v>
      </c>
      <c r="E164" s="2">
        <f>IFERROR(VLOOKUP(B164,'[1]new sheet'!$A$1:$IV$65536,5,FALSE),0)</f>
        <v>432</v>
      </c>
      <c r="F164" s="3">
        <f>IFERROR(VLOOKUP(B164,'[1]new sheet'!$A$1:$IV$65536,4,FALSE),0)</f>
        <v>6</v>
      </c>
      <c r="G164" s="4">
        <f>IFERROR(VLOOKUP(B164,'[2]new sheet'!$A$1:$IV$65536,2,0),0)</f>
        <v>806</v>
      </c>
      <c r="H164" s="5">
        <f>IFERROR(VLOOKUP(B164,'[3]new sheet'!$A$1:$IV$65536,2,0),0)</f>
        <v>283</v>
      </c>
    </row>
    <row r="165" spans="1:8" ht="24" customHeight="1">
      <c r="A165" s="7">
        <v>148</v>
      </c>
      <c r="B165" s="7">
        <v>210</v>
      </c>
      <c r="C165" s="8" t="s">
        <v>144</v>
      </c>
      <c r="D165" s="8" t="s">
        <v>1934</v>
      </c>
      <c r="E165" s="2">
        <f>IFERROR(VLOOKUP(B165,'[1]new sheet'!$A$1:$IV$65536,5,FALSE),0)</f>
        <v>53</v>
      </c>
      <c r="F165" s="3">
        <f>IFERROR(VLOOKUP(B165,'[1]new sheet'!$A$1:$IV$65536,4,FALSE),0)</f>
        <v>1</v>
      </c>
      <c r="G165" s="4">
        <f>IFERROR(VLOOKUP(B165,'[2]new sheet'!$A$1:$IV$65536,2,0),0)</f>
        <v>6</v>
      </c>
      <c r="H165" s="5">
        <f>IFERROR(VLOOKUP(B165,'[3]new sheet'!$A$1:$IV$65536,2,0),0)</f>
        <v>2</v>
      </c>
    </row>
    <row r="166" spans="1:8" ht="24" customHeight="1">
      <c r="A166" s="7">
        <v>9</v>
      </c>
      <c r="B166" s="7">
        <v>2324</v>
      </c>
      <c r="C166" s="8" t="s">
        <v>145</v>
      </c>
      <c r="D166" s="8" t="s">
        <v>1934</v>
      </c>
      <c r="E166" s="2">
        <f>IFERROR(VLOOKUP(B166,'[1]new sheet'!$A$1:$IV$65536,5,FALSE),0)</f>
        <v>0</v>
      </c>
      <c r="F166" s="3">
        <f>IFERROR(VLOOKUP(B166,'[1]new sheet'!$A$1:$IV$65536,4,FALSE),0)</f>
        <v>0</v>
      </c>
      <c r="G166" s="4">
        <f>IFERROR(VLOOKUP(B166,'[2]new sheet'!$A$1:$IV$65536,2,0),0)</f>
        <v>0</v>
      </c>
      <c r="H166" s="5">
        <f>IFERROR(VLOOKUP(B166,'[3]new sheet'!$A$1:$IV$65536,2,0),0)</f>
        <v>0</v>
      </c>
    </row>
    <row r="167" spans="1:8" ht="24" customHeight="1">
      <c r="A167" s="7"/>
      <c r="B167" s="7">
        <v>212</v>
      </c>
      <c r="C167" s="8" t="s">
        <v>146</v>
      </c>
      <c r="D167" s="8" t="s">
        <v>1934</v>
      </c>
      <c r="E167" s="2">
        <f>IFERROR(VLOOKUP(B167,'[1]new sheet'!$A$1:$IV$65536,5,FALSE),0)</f>
        <v>0</v>
      </c>
      <c r="F167" s="3">
        <f>IFERROR(VLOOKUP(B167,'[1]new sheet'!$A$1:$IV$65536,4,FALSE),0)</f>
        <v>0</v>
      </c>
      <c r="G167" s="4">
        <f>IFERROR(VLOOKUP(B167,'[2]new sheet'!$A$1:$IV$65536,2,0),0)</f>
        <v>12</v>
      </c>
      <c r="H167" s="5">
        <f>IFERROR(VLOOKUP(B167,'[3]new sheet'!$A$1:$IV$65536,2,0),0)</f>
        <v>4</v>
      </c>
    </row>
    <row r="168" spans="1:8" ht="24" customHeight="1">
      <c r="A168" s="7">
        <v>4099591</v>
      </c>
      <c r="B168" s="7">
        <v>3868</v>
      </c>
      <c r="C168" s="8" t="s">
        <v>1585</v>
      </c>
      <c r="D168" s="8" t="s">
        <v>1934</v>
      </c>
      <c r="E168" s="2">
        <f>IFERROR(VLOOKUP(B168,'[1]new sheet'!$A$1:$IV$65536,5,FALSE),0)</f>
        <v>0</v>
      </c>
      <c r="F168" s="3">
        <f>IFERROR(VLOOKUP(B168,'[1]new sheet'!$A$1:$IV$65536,4,FALSE),0)</f>
        <v>0</v>
      </c>
      <c r="G168" s="4">
        <f>IFERROR(VLOOKUP(B168,'[2]new sheet'!$A$1:$IV$65536,2,0),0)</f>
        <v>1</v>
      </c>
      <c r="H168" s="5">
        <f>IFERROR(VLOOKUP(B168,'[3]new sheet'!$A$1:$IV$65536,2,0),0)</f>
        <v>0</v>
      </c>
    </row>
    <row r="169" spans="1:8" ht="24" customHeight="1">
      <c r="A169" s="7">
        <v>4099413</v>
      </c>
      <c r="B169" s="7">
        <v>3685</v>
      </c>
      <c r="C169" s="8" t="s">
        <v>1577</v>
      </c>
      <c r="D169" s="8" t="s">
        <v>1934</v>
      </c>
      <c r="E169" s="2">
        <f>IFERROR(VLOOKUP(B169,'[1]new sheet'!$A$1:$IV$65536,5,FALSE),0)</f>
        <v>33</v>
      </c>
      <c r="F169" s="3">
        <f>IFERROR(VLOOKUP(B169,'[1]new sheet'!$A$1:$IV$65536,4,FALSE),0)</f>
        <v>1</v>
      </c>
      <c r="G169" s="4">
        <f>IFERROR(VLOOKUP(B169,'[2]new sheet'!$A$1:$IV$65536,2,0),0)</f>
        <v>33</v>
      </c>
      <c r="H169" s="5">
        <f>IFERROR(VLOOKUP(B169,'[3]new sheet'!$A$1:$IV$65536,2,0),0)</f>
        <v>4</v>
      </c>
    </row>
    <row r="170" spans="1:8" ht="24" customHeight="1">
      <c r="A170" s="7">
        <v>4099542</v>
      </c>
      <c r="B170" s="7">
        <v>3891</v>
      </c>
      <c r="C170" s="8" t="s">
        <v>1594</v>
      </c>
      <c r="D170" s="8" t="s">
        <v>1934</v>
      </c>
      <c r="E170" s="2">
        <f>IFERROR(VLOOKUP(B170,'[1]new sheet'!$A$1:$IV$65536,5,FALSE),0)</f>
        <v>0</v>
      </c>
      <c r="F170" s="3">
        <f>IFERROR(VLOOKUP(B170,'[1]new sheet'!$A$1:$IV$65536,4,FALSE),0)</f>
        <v>0</v>
      </c>
      <c r="G170" s="4">
        <f>IFERROR(VLOOKUP(B170,'[2]new sheet'!$A$1:$IV$65536,2,0),0)</f>
        <v>0</v>
      </c>
      <c r="H170" s="5">
        <f>IFERROR(VLOOKUP(B170,'[3]new sheet'!$A$1:$IV$65536,2,0),0)</f>
        <v>0</v>
      </c>
    </row>
    <row r="171" spans="1:8" ht="24" customHeight="1">
      <c r="A171" s="7">
        <v>4099416</v>
      </c>
      <c r="B171" s="7">
        <v>3686</v>
      </c>
      <c r="C171" s="8" t="s">
        <v>147</v>
      </c>
      <c r="D171" s="8" t="s">
        <v>1934</v>
      </c>
      <c r="E171" s="2">
        <f>IFERROR(VLOOKUP(B171,'[1]new sheet'!$A$1:$IV$65536,5,FALSE),0)</f>
        <v>90</v>
      </c>
      <c r="F171" s="3">
        <f>IFERROR(VLOOKUP(B171,'[1]new sheet'!$A$1:$IV$65536,4,FALSE),0)</f>
        <v>1</v>
      </c>
      <c r="G171" s="4">
        <f>IFERROR(VLOOKUP(B171,'[2]new sheet'!$A$1:$IV$65536,2,0),0)</f>
        <v>23</v>
      </c>
      <c r="H171" s="5">
        <f>IFERROR(VLOOKUP(B171,'[3]new sheet'!$A$1:$IV$65536,2,0),0)</f>
        <v>8</v>
      </c>
    </row>
    <row r="172" spans="1:8" ht="24" customHeight="1">
      <c r="A172" s="7">
        <v>4099528</v>
      </c>
      <c r="B172" s="7">
        <v>3890</v>
      </c>
      <c r="C172" s="8" t="s">
        <v>1595</v>
      </c>
      <c r="D172" s="8" t="s">
        <v>1934</v>
      </c>
      <c r="E172" s="2">
        <f>IFERROR(VLOOKUP(B172,'[1]new sheet'!$A$1:$IV$65536,5,FALSE),0)</f>
        <v>0</v>
      </c>
      <c r="F172" s="3">
        <f>IFERROR(VLOOKUP(B172,'[1]new sheet'!$A$1:$IV$65536,4,FALSE),0)</f>
        <v>0</v>
      </c>
      <c r="G172" s="4">
        <f>IFERROR(VLOOKUP(B172,'[2]new sheet'!$A$1:$IV$65536,2,0),0)</f>
        <v>0</v>
      </c>
      <c r="H172" s="5">
        <f>IFERROR(VLOOKUP(B172,'[3]new sheet'!$A$1:$IV$65536,2,0),0)</f>
        <v>0</v>
      </c>
    </row>
    <row r="173" spans="1:8" ht="24" customHeight="1">
      <c r="A173" s="7">
        <v>4099360</v>
      </c>
      <c r="B173" s="7">
        <v>3865</v>
      </c>
      <c r="C173" s="8" t="s">
        <v>1583</v>
      </c>
      <c r="D173" s="8" t="s">
        <v>1934</v>
      </c>
      <c r="E173" s="2">
        <f>IFERROR(VLOOKUP(B173,'[1]new sheet'!$A$1:$IV$65536,5,FALSE),0)</f>
        <v>21</v>
      </c>
      <c r="F173" s="3">
        <f>IFERROR(VLOOKUP(B173,'[1]new sheet'!$A$1:$IV$65536,4,FALSE),0)</f>
        <v>2</v>
      </c>
      <c r="G173" s="4">
        <f>IFERROR(VLOOKUP(B173,'[2]new sheet'!$A$1:$IV$65536,2,0),0)</f>
        <v>8</v>
      </c>
      <c r="H173" s="5">
        <f>IFERROR(VLOOKUP(B173,'[3]new sheet'!$A$1:$IV$65536,2,0),0)</f>
        <v>1</v>
      </c>
    </row>
    <row r="174" spans="1:8" ht="24" customHeight="1">
      <c r="A174" s="7">
        <v>4099422</v>
      </c>
      <c r="B174" s="7">
        <v>3687</v>
      </c>
      <c r="C174" s="8" t="s">
        <v>148</v>
      </c>
      <c r="D174" s="8" t="s">
        <v>1934</v>
      </c>
      <c r="E174" s="2">
        <f>IFERROR(VLOOKUP(B174,'[1]new sheet'!$A$1:$IV$65536,5,FALSE),0)</f>
        <v>13</v>
      </c>
      <c r="F174" s="3">
        <f>IFERROR(VLOOKUP(B174,'[1]new sheet'!$A$1:$IV$65536,4,FALSE),0)</f>
        <v>1</v>
      </c>
      <c r="G174" s="4">
        <f>IFERROR(VLOOKUP(B174,'[2]new sheet'!$A$1:$IV$65536,2,0),0)</f>
        <v>31</v>
      </c>
      <c r="H174" s="5">
        <f>IFERROR(VLOOKUP(B174,'[3]new sheet'!$A$1:$IV$65536,2,0),0)</f>
        <v>3</v>
      </c>
    </row>
    <row r="175" spans="1:8" ht="24" customHeight="1">
      <c r="A175" s="7">
        <v>4099541</v>
      </c>
      <c r="B175" s="7">
        <v>3889</v>
      </c>
      <c r="C175" s="8" t="s">
        <v>1596</v>
      </c>
      <c r="D175" s="8" t="s">
        <v>1934</v>
      </c>
      <c r="E175" s="2">
        <f>IFERROR(VLOOKUP(B175,'[1]new sheet'!$A$1:$IV$65536,5,FALSE),0)</f>
        <v>0</v>
      </c>
      <c r="F175" s="3">
        <f>IFERROR(VLOOKUP(B175,'[1]new sheet'!$A$1:$IV$65536,4,FALSE),0)</f>
        <v>0</v>
      </c>
      <c r="G175" s="4">
        <f>IFERROR(VLOOKUP(B175,'[2]new sheet'!$A$1:$IV$65536,2,0),0)</f>
        <v>0</v>
      </c>
      <c r="H175" s="5">
        <f>IFERROR(VLOOKUP(B175,'[3]new sheet'!$A$1:$IV$65536,2,0),0)</f>
        <v>0</v>
      </c>
    </row>
    <row r="176" spans="1:8" ht="24" customHeight="1">
      <c r="A176" s="7">
        <v>4099410</v>
      </c>
      <c r="B176" s="7">
        <v>3688</v>
      </c>
      <c r="C176" s="8" t="s">
        <v>149</v>
      </c>
      <c r="D176" s="8" t="s">
        <v>1934</v>
      </c>
      <c r="E176" s="2">
        <f>IFERROR(VLOOKUP(B176,'[1]new sheet'!$A$1:$IV$65536,5,FALSE),0)</f>
        <v>0</v>
      </c>
      <c r="F176" s="3">
        <f>IFERROR(VLOOKUP(B176,'[1]new sheet'!$A$1:$IV$65536,4,FALSE),0)</f>
        <v>0</v>
      </c>
      <c r="G176" s="4">
        <f>IFERROR(VLOOKUP(B176,'[2]new sheet'!$A$1:$IV$65536,2,0),0)</f>
        <v>0</v>
      </c>
      <c r="H176" s="5">
        <f>IFERROR(VLOOKUP(B176,'[3]new sheet'!$A$1:$IV$65536,2,0),0)</f>
        <v>0</v>
      </c>
    </row>
    <row r="177" spans="1:8" ht="24" customHeight="1">
      <c r="A177" s="7">
        <v>4099527</v>
      </c>
      <c r="B177" s="7">
        <v>3888</v>
      </c>
      <c r="C177" s="8" t="s">
        <v>1597</v>
      </c>
      <c r="D177" s="8" t="s">
        <v>1934</v>
      </c>
      <c r="E177" s="2">
        <f>IFERROR(VLOOKUP(B177,'[1]new sheet'!$A$1:$IV$65536,5,FALSE),0)</f>
        <v>0</v>
      </c>
      <c r="F177" s="3">
        <f>IFERROR(VLOOKUP(B177,'[1]new sheet'!$A$1:$IV$65536,4,FALSE),0)</f>
        <v>0</v>
      </c>
      <c r="G177" s="4">
        <f>IFERROR(VLOOKUP(B177,'[2]new sheet'!$A$1:$IV$65536,2,0),0)</f>
        <v>0</v>
      </c>
      <c r="H177" s="5">
        <f>IFERROR(VLOOKUP(B177,'[3]new sheet'!$A$1:$IV$65536,2,0),0)</f>
        <v>0</v>
      </c>
    </row>
    <row r="178" spans="1:8" ht="24" customHeight="1">
      <c r="A178" s="7">
        <v>4099366</v>
      </c>
      <c r="B178" s="7">
        <v>3866</v>
      </c>
      <c r="C178" s="8" t="s">
        <v>1584</v>
      </c>
      <c r="D178" s="8" t="s">
        <v>1934</v>
      </c>
      <c r="E178" s="2">
        <f>IFERROR(VLOOKUP(B178,'[1]new sheet'!$A$1:$IV$65536,5,FALSE),0)</f>
        <v>39</v>
      </c>
      <c r="F178" s="3">
        <f>IFERROR(VLOOKUP(B178,'[1]new sheet'!$A$1:$IV$65536,4,FALSE),0)</f>
        <v>0</v>
      </c>
      <c r="G178" s="4">
        <f>IFERROR(VLOOKUP(B178,'[2]new sheet'!$A$1:$IV$65536,2,0),0)</f>
        <v>6</v>
      </c>
      <c r="H178" s="5">
        <f>IFERROR(VLOOKUP(B178,'[3]new sheet'!$A$1:$IV$65536,2,0),0)</f>
        <v>0</v>
      </c>
    </row>
    <row r="179" spans="1:8" ht="24" customHeight="1">
      <c r="A179" s="7">
        <v>4099407</v>
      </c>
      <c r="B179" s="7">
        <v>3689</v>
      </c>
      <c r="C179" s="8" t="s">
        <v>150</v>
      </c>
      <c r="D179" s="8" t="s">
        <v>1934</v>
      </c>
      <c r="E179" s="2">
        <f>IFERROR(VLOOKUP(B179,'[1]new sheet'!$A$1:$IV$65536,5,FALSE),0)</f>
        <v>58</v>
      </c>
      <c r="F179" s="3">
        <f>IFERROR(VLOOKUP(B179,'[1]new sheet'!$A$1:$IV$65536,4,FALSE),0)</f>
        <v>0</v>
      </c>
      <c r="G179" s="4">
        <f>IFERROR(VLOOKUP(B179,'[2]new sheet'!$A$1:$IV$65536,2,0),0)</f>
        <v>19</v>
      </c>
      <c r="H179" s="5">
        <f>IFERROR(VLOOKUP(B179,'[3]new sheet'!$A$1:$IV$65536,2,0),0)</f>
        <v>3</v>
      </c>
    </row>
    <row r="180" spans="1:8" ht="24" customHeight="1">
      <c r="A180" s="7">
        <v>4099526</v>
      </c>
      <c r="B180" s="7">
        <v>3875</v>
      </c>
      <c r="C180" s="8" t="s">
        <v>1598</v>
      </c>
      <c r="D180" s="8" t="s">
        <v>1934</v>
      </c>
      <c r="E180" s="2">
        <f>IFERROR(VLOOKUP(B180,'[1]new sheet'!$A$1:$IV$65536,5,FALSE),0)</f>
        <v>0</v>
      </c>
      <c r="F180" s="3">
        <f>IFERROR(VLOOKUP(B180,'[1]new sheet'!$A$1:$IV$65536,4,FALSE),0)</f>
        <v>0</v>
      </c>
      <c r="G180" s="4">
        <f>IFERROR(VLOOKUP(B180,'[2]new sheet'!$A$1:$IV$65536,2,0),0)</f>
        <v>0</v>
      </c>
      <c r="H180" s="5">
        <f>IFERROR(VLOOKUP(B180,'[3]new sheet'!$A$1:$IV$65536,2,0),0)</f>
        <v>0</v>
      </c>
    </row>
    <row r="181" spans="1:8" ht="24" customHeight="1">
      <c r="A181" s="7">
        <v>4099580</v>
      </c>
      <c r="B181" s="7">
        <v>3913</v>
      </c>
      <c r="C181" s="8" t="s">
        <v>1609</v>
      </c>
      <c r="D181" s="8" t="s">
        <v>1934</v>
      </c>
      <c r="E181" s="2">
        <f>IFERROR(VLOOKUP(B181,'[1]new sheet'!$A$1:$IV$65536,5,FALSE),0)</f>
        <v>26</v>
      </c>
      <c r="F181" s="3">
        <f>IFERROR(VLOOKUP(B181,'[1]new sheet'!$A$1:$IV$65536,4,FALSE),0)</f>
        <v>0</v>
      </c>
      <c r="G181" s="4">
        <f>IFERROR(VLOOKUP(B181,'[2]new sheet'!$A$1:$IV$65536,2,0),0)</f>
        <v>6</v>
      </c>
      <c r="H181" s="5">
        <f>IFERROR(VLOOKUP(B181,'[3]new sheet'!$A$1:$IV$65536,2,0),0)</f>
        <v>2</v>
      </c>
    </row>
    <row r="182" spans="1:8" ht="24" customHeight="1">
      <c r="A182" s="7">
        <v>4099404</v>
      </c>
      <c r="B182" s="7">
        <v>3690</v>
      </c>
      <c r="C182" s="8" t="s">
        <v>151</v>
      </c>
      <c r="D182" s="8" t="s">
        <v>1934</v>
      </c>
      <c r="E182" s="2">
        <f>IFERROR(VLOOKUP(B182,'[1]new sheet'!$A$1:$IV$65536,5,FALSE),0)</f>
        <v>71</v>
      </c>
      <c r="F182" s="3">
        <f>IFERROR(VLOOKUP(B182,'[1]new sheet'!$A$1:$IV$65536,4,FALSE),0)</f>
        <v>1</v>
      </c>
      <c r="G182" s="4">
        <f>IFERROR(VLOOKUP(B182,'[2]new sheet'!$A$1:$IV$65536,2,0),0)</f>
        <v>27</v>
      </c>
      <c r="H182" s="5">
        <f>IFERROR(VLOOKUP(B182,'[3]new sheet'!$A$1:$IV$65536,2,0),0)</f>
        <v>3</v>
      </c>
    </row>
    <row r="183" spans="1:8" ht="24" customHeight="1">
      <c r="A183" s="7">
        <v>4099539</v>
      </c>
      <c r="B183" s="7">
        <v>3874</v>
      </c>
      <c r="C183" s="8" t="s">
        <v>1599</v>
      </c>
      <c r="D183" s="8" t="s">
        <v>1934</v>
      </c>
      <c r="E183" s="2">
        <f>IFERROR(VLOOKUP(B183,'[1]new sheet'!$A$1:$IV$65536,5,FALSE),0)</f>
        <v>0</v>
      </c>
      <c r="F183" s="3">
        <f>IFERROR(VLOOKUP(B183,'[1]new sheet'!$A$1:$IV$65536,4,FALSE),0)</f>
        <v>0</v>
      </c>
      <c r="G183" s="4">
        <f>IFERROR(VLOOKUP(B183,'[2]new sheet'!$A$1:$IV$65536,2,0),0)</f>
        <v>0</v>
      </c>
      <c r="H183" s="5">
        <f>IFERROR(VLOOKUP(B183,'[3]new sheet'!$A$1:$IV$65536,2,0),0)</f>
        <v>0</v>
      </c>
    </row>
    <row r="184" spans="1:8" ht="24" customHeight="1">
      <c r="A184" s="7">
        <v>4099419</v>
      </c>
      <c r="B184" s="7">
        <v>3691</v>
      </c>
      <c r="C184" s="8" t="s">
        <v>152</v>
      </c>
      <c r="D184" s="8" t="s">
        <v>1934</v>
      </c>
      <c r="E184" s="2">
        <f>IFERROR(VLOOKUP(B184,'[1]new sheet'!$A$1:$IV$65536,5,FALSE),0)</f>
        <v>0</v>
      </c>
      <c r="F184" s="3">
        <f>IFERROR(VLOOKUP(B184,'[1]new sheet'!$A$1:$IV$65536,4,FALSE),0)</f>
        <v>0</v>
      </c>
      <c r="G184" s="4">
        <f>IFERROR(VLOOKUP(B184,'[2]new sheet'!$A$1:$IV$65536,2,0),0)</f>
        <v>0</v>
      </c>
      <c r="H184" s="5">
        <f>IFERROR(VLOOKUP(B184,'[3]new sheet'!$A$1:$IV$65536,2,0),0)</f>
        <v>0</v>
      </c>
    </row>
    <row r="185" spans="1:8" ht="24" customHeight="1">
      <c r="A185" s="7">
        <v>4099540</v>
      </c>
      <c r="B185" s="7">
        <v>3873</v>
      </c>
      <c r="C185" s="8" t="s">
        <v>1600</v>
      </c>
      <c r="D185" s="8" t="s">
        <v>1934</v>
      </c>
      <c r="E185" s="2">
        <f>IFERROR(VLOOKUP(B185,'[1]new sheet'!$A$1:$IV$65536,5,FALSE),0)</f>
        <v>0</v>
      </c>
      <c r="F185" s="3">
        <f>IFERROR(VLOOKUP(B185,'[1]new sheet'!$A$1:$IV$65536,4,FALSE),0)</f>
        <v>0</v>
      </c>
      <c r="G185" s="4">
        <f>IFERROR(VLOOKUP(B185,'[2]new sheet'!$A$1:$IV$65536,2,0),0)</f>
        <v>2</v>
      </c>
      <c r="H185" s="5">
        <f>IFERROR(VLOOKUP(B185,'[3]new sheet'!$A$1:$IV$65536,2,0),0)</f>
        <v>0</v>
      </c>
    </row>
    <row r="186" spans="1:8" ht="24" customHeight="1">
      <c r="A186" s="7">
        <v>4099358</v>
      </c>
      <c r="B186" s="7">
        <v>3867</v>
      </c>
      <c r="C186" s="8" t="s">
        <v>1615</v>
      </c>
      <c r="D186" s="8" t="s">
        <v>1934</v>
      </c>
      <c r="E186" s="2">
        <f>IFERROR(VLOOKUP(B186,'[1]new sheet'!$A$1:$IV$65536,5,FALSE),0)</f>
        <v>0</v>
      </c>
      <c r="F186" s="3">
        <f>IFERROR(VLOOKUP(B186,'[1]new sheet'!$A$1:$IV$65536,4,FALSE),0)</f>
        <v>0</v>
      </c>
      <c r="G186" s="4">
        <f>IFERROR(VLOOKUP(B186,'[2]new sheet'!$A$1:$IV$65536,2,0),0)</f>
        <v>0</v>
      </c>
      <c r="H186" s="5">
        <f>IFERROR(VLOOKUP(B186,'[3]new sheet'!$A$1:$IV$65536,2,0),0)</f>
        <v>0</v>
      </c>
    </row>
    <row r="187" spans="1:8" ht="24" customHeight="1">
      <c r="A187" s="7">
        <v>4099427</v>
      </c>
      <c r="B187" s="7">
        <v>3871</v>
      </c>
      <c r="C187" s="8" t="s">
        <v>1587</v>
      </c>
      <c r="D187" s="8" t="s">
        <v>1934</v>
      </c>
      <c r="E187" s="2">
        <f>IFERROR(VLOOKUP(B187,'[1]new sheet'!$A$1:$IV$65536,5,FALSE),0)</f>
        <v>0</v>
      </c>
      <c r="F187" s="3">
        <f>IFERROR(VLOOKUP(B187,'[1]new sheet'!$A$1:$IV$65536,4,FALSE),0)</f>
        <v>0</v>
      </c>
      <c r="G187" s="4">
        <f>IFERROR(VLOOKUP(B187,'[2]new sheet'!$A$1:$IV$65536,2,0),0)</f>
        <v>0</v>
      </c>
      <c r="H187" s="5">
        <f>IFERROR(VLOOKUP(B187,'[3]new sheet'!$A$1:$IV$65536,2,0),0)</f>
        <v>0</v>
      </c>
    </row>
    <row r="188" spans="1:8" ht="24" customHeight="1">
      <c r="A188" s="7">
        <v>4099425</v>
      </c>
      <c r="B188" s="7">
        <v>3872</v>
      </c>
      <c r="C188" s="8" t="s">
        <v>1588</v>
      </c>
      <c r="D188" s="8" t="s">
        <v>1934</v>
      </c>
      <c r="E188" s="2">
        <f>IFERROR(VLOOKUP(B188,'[1]new sheet'!$A$1:$IV$65536,5,FALSE),0)</f>
        <v>5</v>
      </c>
      <c r="F188" s="3">
        <f>IFERROR(VLOOKUP(B188,'[1]new sheet'!$A$1:$IV$65536,4,FALSE),0)</f>
        <v>0</v>
      </c>
      <c r="G188" s="4">
        <f>IFERROR(VLOOKUP(B188,'[2]new sheet'!$A$1:$IV$65536,2,0),0)</f>
        <v>2</v>
      </c>
      <c r="H188" s="5">
        <f>IFERROR(VLOOKUP(B188,'[3]new sheet'!$A$1:$IV$65536,2,0),0)</f>
        <v>0</v>
      </c>
    </row>
    <row r="189" spans="1:8" ht="24" customHeight="1">
      <c r="A189" s="7">
        <v>4099590</v>
      </c>
      <c r="B189" s="7">
        <v>3869</v>
      </c>
      <c r="C189" s="8" t="s">
        <v>1723</v>
      </c>
      <c r="D189" s="8" t="s">
        <v>1934</v>
      </c>
      <c r="E189" s="2">
        <f>IFERROR(VLOOKUP(B189,'[1]new sheet'!$A$1:$IV$65536,5,FALSE),0)</f>
        <v>8</v>
      </c>
      <c r="F189" s="3">
        <f>IFERROR(VLOOKUP(B189,'[1]new sheet'!$A$1:$IV$65536,4,FALSE),0)</f>
        <v>0</v>
      </c>
      <c r="G189" s="4">
        <f>IFERROR(VLOOKUP(B189,'[2]new sheet'!$A$1:$IV$65536,2,0),0)</f>
        <v>1</v>
      </c>
      <c r="H189" s="5">
        <f>IFERROR(VLOOKUP(B189,'[3]new sheet'!$A$1:$IV$65536,2,0),0)</f>
        <v>0</v>
      </c>
    </row>
    <row r="190" spans="1:8" ht="24" customHeight="1">
      <c r="A190" s="7">
        <v>4099376</v>
      </c>
      <c r="B190" s="7">
        <v>3870</v>
      </c>
      <c r="C190" s="8" t="s">
        <v>1586</v>
      </c>
      <c r="D190" s="8" t="s">
        <v>1934</v>
      </c>
      <c r="E190" s="2">
        <f>IFERROR(VLOOKUP(B190,'[1]new sheet'!$A$1:$IV$65536,5,FALSE),0)</f>
        <v>8</v>
      </c>
      <c r="F190" s="3">
        <f>IFERROR(VLOOKUP(B190,'[1]new sheet'!$A$1:$IV$65536,4,FALSE),0)</f>
        <v>0</v>
      </c>
      <c r="G190" s="4">
        <f>IFERROR(VLOOKUP(B190,'[2]new sheet'!$A$1:$IV$65536,2,0),0)</f>
        <v>0</v>
      </c>
      <c r="H190" s="5">
        <f>IFERROR(VLOOKUP(B190,'[3]new sheet'!$A$1:$IV$65536,2,0),0)</f>
        <v>0</v>
      </c>
    </row>
    <row r="191" spans="1:8" ht="24" customHeight="1">
      <c r="A191" s="7">
        <v>4099632</v>
      </c>
      <c r="B191" s="7">
        <v>3985</v>
      </c>
      <c r="C191" s="8" t="s">
        <v>1644</v>
      </c>
      <c r="D191" s="8" t="s">
        <v>1934</v>
      </c>
      <c r="E191" s="2">
        <f>IFERROR(VLOOKUP(B191,'[1]new sheet'!$A$1:$IV$65536,5,FALSE),0)</f>
        <v>14</v>
      </c>
      <c r="F191" s="3">
        <f>IFERROR(VLOOKUP(B191,'[1]new sheet'!$A$1:$IV$65536,4,FALSE),0)</f>
        <v>0</v>
      </c>
      <c r="G191" s="4">
        <f>IFERROR(VLOOKUP(B191,'[2]new sheet'!$A$1:$IV$65536,2,0),0)</f>
        <v>0</v>
      </c>
      <c r="H191" s="5">
        <f>IFERROR(VLOOKUP(B191,'[3]new sheet'!$A$1:$IV$65536,2,0),0)</f>
        <v>0</v>
      </c>
    </row>
    <row r="192" spans="1:8" ht="24" customHeight="1">
      <c r="A192" s="7">
        <v>4099609</v>
      </c>
      <c r="B192" s="7">
        <v>3692</v>
      </c>
      <c r="C192" s="8" t="s">
        <v>153</v>
      </c>
      <c r="D192" s="8" t="s">
        <v>1934</v>
      </c>
      <c r="E192" s="2">
        <f>IFERROR(VLOOKUP(B192,'[1]new sheet'!$A$1:$IV$65536,5,FALSE),0)</f>
        <v>2</v>
      </c>
      <c r="F192" s="3">
        <f>IFERROR(VLOOKUP(B192,'[1]new sheet'!$A$1:$IV$65536,4,FALSE),0)</f>
        <v>0</v>
      </c>
      <c r="G192" s="4">
        <f>IFERROR(VLOOKUP(B192,'[2]new sheet'!$A$1:$IV$65536,2,0),0)</f>
        <v>9</v>
      </c>
      <c r="H192" s="5">
        <f>IFERROR(VLOOKUP(B192,'[3]new sheet'!$A$1:$IV$65536,2,0),0)</f>
        <v>1</v>
      </c>
    </row>
    <row r="193" spans="1:8" ht="20.25" customHeight="1">
      <c r="A193" s="7">
        <v>4099604</v>
      </c>
      <c r="B193" s="7">
        <v>3695</v>
      </c>
      <c r="C193" s="8" t="s">
        <v>154</v>
      </c>
      <c r="D193" s="8" t="s">
        <v>1934</v>
      </c>
      <c r="E193" s="2">
        <f>IFERROR(VLOOKUP(B193,'[1]new sheet'!$A$1:$IV$65536,5,FALSE),0)</f>
        <v>9</v>
      </c>
      <c r="F193" s="3">
        <f>IFERROR(VLOOKUP(B193,'[1]new sheet'!$A$1:$IV$65536,4,FALSE),0)</f>
        <v>0</v>
      </c>
      <c r="G193" s="4">
        <f>IFERROR(VLOOKUP(B193,'[2]new sheet'!$A$1:$IV$65536,2,0),0)</f>
        <v>9</v>
      </c>
      <c r="H193" s="5">
        <f>IFERROR(VLOOKUP(B193,'[3]new sheet'!$A$1:$IV$65536,2,0),0)</f>
        <v>0</v>
      </c>
    </row>
    <row r="194" spans="1:8" ht="24" customHeight="1">
      <c r="A194" s="7">
        <v>4099606</v>
      </c>
      <c r="B194" s="7">
        <v>3693</v>
      </c>
      <c r="C194" s="8" t="s">
        <v>155</v>
      </c>
      <c r="D194" s="8" t="s">
        <v>1934</v>
      </c>
      <c r="E194" s="2">
        <f>IFERROR(VLOOKUP(B194,'[1]new sheet'!$A$1:$IV$65536,5,FALSE),0)</f>
        <v>8</v>
      </c>
      <c r="F194" s="3">
        <f>IFERROR(VLOOKUP(B194,'[1]new sheet'!$A$1:$IV$65536,4,FALSE),0)</f>
        <v>0</v>
      </c>
      <c r="G194" s="4">
        <f>IFERROR(VLOOKUP(B194,'[2]new sheet'!$A$1:$IV$65536,2,0),0)</f>
        <v>5</v>
      </c>
      <c r="H194" s="5">
        <f>IFERROR(VLOOKUP(B194,'[3]new sheet'!$A$1:$IV$65536,2,0),0)</f>
        <v>0</v>
      </c>
    </row>
    <row r="195" spans="1:8" ht="24" customHeight="1">
      <c r="A195" s="7">
        <v>4099608</v>
      </c>
      <c r="B195" s="7">
        <v>3694</v>
      </c>
      <c r="C195" s="8" t="s">
        <v>156</v>
      </c>
      <c r="D195" s="8" t="s">
        <v>1934</v>
      </c>
      <c r="E195" s="2">
        <f>IFERROR(VLOOKUP(B195,'[1]new sheet'!$A$1:$IV$65536,5,FALSE),0)</f>
        <v>3</v>
      </c>
      <c r="F195" s="3">
        <f>IFERROR(VLOOKUP(B195,'[1]new sheet'!$A$1:$IV$65536,4,FALSE),0)</f>
        <v>0</v>
      </c>
      <c r="G195" s="4">
        <f>IFERROR(VLOOKUP(B195,'[2]new sheet'!$A$1:$IV$65536,2,0),0)</f>
        <v>7</v>
      </c>
      <c r="H195" s="5">
        <f>IFERROR(VLOOKUP(B195,'[3]new sheet'!$A$1:$IV$65536,2,0),0)</f>
        <v>0</v>
      </c>
    </row>
    <row r="196" spans="1:8" ht="24" customHeight="1">
      <c r="A196" s="7">
        <v>4099605</v>
      </c>
      <c r="B196" s="7">
        <v>3696</v>
      </c>
      <c r="C196" s="8" t="s">
        <v>157</v>
      </c>
      <c r="D196" s="8" t="s">
        <v>1934</v>
      </c>
      <c r="E196" s="2">
        <f>IFERROR(VLOOKUP(B196,'[1]new sheet'!$A$1:$IV$65536,5,FALSE),0)</f>
        <v>39</v>
      </c>
      <c r="F196" s="3">
        <f>IFERROR(VLOOKUP(B196,'[1]new sheet'!$A$1:$IV$65536,4,FALSE),0)</f>
        <v>0</v>
      </c>
      <c r="G196" s="4">
        <f>IFERROR(VLOOKUP(B196,'[2]new sheet'!$A$1:$IV$65536,2,0),0)</f>
        <v>3</v>
      </c>
      <c r="H196" s="5">
        <f>IFERROR(VLOOKUP(B196,'[3]new sheet'!$A$1:$IV$65536,2,0),0)</f>
        <v>0</v>
      </c>
    </row>
    <row r="197" spans="1:8" ht="24" customHeight="1">
      <c r="A197" s="7">
        <v>4099599</v>
      </c>
      <c r="B197" s="7">
        <v>4099</v>
      </c>
      <c r="C197" s="8" t="s">
        <v>1724</v>
      </c>
      <c r="D197" s="8" t="s">
        <v>1934</v>
      </c>
      <c r="E197" s="2">
        <f>IFERROR(VLOOKUP(B197,'[1]new sheet'!$A$1:$IV$65536,5,FALSE),0)</f>
        <v>14</v>
      </c>
      <c r="F197" s="3">
        <f>IFERROR(VLOOKUP(B197,'[1]new sheet'!$A$1:$IV$65536,4,FALSE),0)</f>
        <v>0</v>
      </c>
      <c r="G197" s="4">
        <f>IFERROR(VLOOKUP(B197,'[2]new sheet'!$A$1:$IV$65536,2,0),0)</f>
        <v>2</v>
      </c>
      <c r="H197" s="5">
        <f>IFERROR(VLOOKUP(B197,'[3]new sheet'!$A$1:$IV$65536,2,0),0)</f>
        <v>0</v>
      </c>
    </row>
    <row r="198" spans="1:8" ht="24" customHeight="1">
      <c r="A198" s="7">
        <v>4099577</v>
      </c>
      <c r="B198" s="7">
        <v>3698</v>
      </c>
      <c r="C198" s="8" t="s">
        <v>1578</v>
      </c>
      <c r="D198" s="8" t="s">
        <v>1934</v>
      </c>
      <c r="E198" s="2">
        <f>IFERROR(VLOOKUP(B198,'[1]new sheet'!$A$1:$IV$65536,5,FALSE),0)</f>
        <v>40</v>
      </c>
      <c r="F198" s="3">
        <f>IFERROR(VLOOKUP(B198,'[1]new sheet'!$A$1:$IV$65536,4,FALSE),0)</f>
        <v>0</v>
      </c>
      <c r="G198" s="4">
        <f>IFERROR(VLOOKUP(B198,'[2]new sheet'!$A$1:$IV$65536,2,0),0)</f>
        <v>0</v>
      </c>
      <c r="H198" s="5">
        <f>IFERROR(VLOOKUP(B198,'[3]new sheet'!$A$1:$IV$65536,2,0),0)</f>
        <v>1</v>
      </c>
    </row>
    <row r="199" spans="1:8" ht="24" customHeight="1">
      <c r="A199" s="7">
        <v>4099592</v>
      </c>
      <c r="B199" s="7">
        <v>3863</v>
      </c>
      <c r="C199" s="8" t="s">
        <v>1581</v>
      </c>
      <c r="D199" s="8" t="s">
        <v>1934</v>
      </c>
      <c r="E199" s="2">
        <f>IFERROR(VLOOKUP(B199,'[1]new sheet'!$A$1:$IV$65536,5,FALSE),0)</f>
        <v>0</v>
      </c>
      <c r="F199" s="3">
        <f>IFERROR(VLOOKUP(B199,'[1]new sheet'!$A$1:$IV$65536,4,FALSE),0)</f>
        <v>0</v>
      </c>
      <c r="G199" s="4">
        <f>IFERROR(VLOOKUP(B199,'[2]new sheet'!$A$1:$IV$65536,2,0),0)</f>
        <v>0</v>
      </c>
      <c r="H199" s="5">
        <f>IFERROR(VLOOKUP(B199,'[3]new sheet'!$A$1:$IV$65536,2,0),0)</f>
        <v>0</v>
      </c>
    </row>
    <row r="200" spans="1:8" ht="24" customHeight="1">
      <c r="A200" s="7">
        <v>4099579</v>
      </c>
      <c r="B200" s="7">
        <v>3699</v>
      </c>
      <c r="C200" s="8" t="s">
        <v>158</v>
      </c>
      <c r="D200" s="8" t="s">
        <v>1934</v>
      </c>
      <c r="E200" s="2">
        <f>IFERROR(VLOOKUP(B200,'[1]new sheet'!$A$1:$IV$65536,5,FALSE),0)</f>
        <v>42</v>
      </c>
      <c r="F200" s="3">
        <f>IFERROR(VLOOKUP(B200,'[1]new sheet'!$A$1:$IV$65536,4,FALSE),0)</f>
        <v>0</v>
      </c>
      <c r="G200" s="4">
        <f>IFERROR(VLOOKUP(B200,'[2]new sheet'!$A$1:$IV$65536,2,0),0)</f>
        <v>0</v>
      </c>
      <c r="H200" s="5">
        <f>IFERROR(VLOOKUP(B200,'[3]new sheet'!$A$1:$IV$65536,2,0),0)</f>
        <v>0</v>
      </c>
    </row>
    <row r="201" spans="1:8" ht="24" customHeight="1">
      <c r="A201" s="7">
        <v>4099594</v>
      </c>
      <c r="B201" s="7">
        <v>3864</v>
      </c>
      <c r="C201" s="8" t="s">
        <v>1582</v>
      </c>
      <c r="D201" s="8" t="s">
        <v>1934</v>
      </c>
      <c r="E201" s="2">
        <f>IFERROR(VLOOKUP(B201,'[1]new sheet'!$A$1:$IV$65536,5,FALSE),0)</f>
        <v>1</v>
      </c>
      <c r="F201" s="3">
        <f>IFERROR(VLOOKUP(B201,'[1]new sheet'!$A$1:$IV$65536,4,FALSE),0)</f>
        <v>0</v>
      </c>
      <c r="G201" s="4">
        <f>IFERROR(VLOOKUP(B201,'[2]new sheet'!$A$1:$IV$65536,2,0),0)</f>
        <v>0</v>
      </c>
      <c r="H201" s="5">
        <f>IFERROR(VLOOKUP(B201,'[3]new sheet'!$A$1:$IV$65536,2,0),0)</f>
        <v>0</v>
      </c>
    </row>
    <row r="202" spans="1:8" ht="24" customHeight="1">
      <c r="A202" s="7">
        <v>4099578</v>
      </c>
      <c r="B202" s="7">
        <v>3697</v>
      </c>
      <c r="C202" s="8" t="s">
        <v>159</v>
      </c>
      <c r="D202" s="8" t="s">
        <v>1934</v>
      </c>
      <c r="E202" s="2">
        <f>IFERROR(VLOOKUP(B202,'[1]new sheet'!$A$1:$IV$65536,5,FALSE),0)</f>
        <v>36</v>
      </c>
      <c r="F202" s="3">
        <f>IFERROR(VLOOKUP(B202,'[1]new sheet'!$A$1:$IV$65536,4,FALSE),0)</f>
        <v>0</v>
      </c>
      <c r="G202" s="4">
        <f>IFERROR(VLOOKUP(B202,'[2]new sheet'!$A$1:$IV$65536,2,0),0)</f>
        <v>3</v>
      </c>
      <c r="H202" s="5">
        <f>IFERROR(VLOOKUP(B202,'[3]new sheet'!$A$1:$IV$65536,2,0),0)</f>
        <v>0</v>
      </c>
    </row>
    <row r="203" spans="1:8" ht="24" customHeight="1">
      <c r="A203" s="7">
        <v>4099593</v>
      </c>
      <c r="B203" s="7">
        <v>3862</v>
      </c>
      <c r="C203" s="8" t="s">
        <v>1580</v>
      </c>
      <c r="D203" s="8" t="s">
        <v>1934</v>
      </c>
      <c r="E203" s="2">
        <f>IFERROR(VLOOKUP(B203,'[1]new sheet'!$A$1:$IV$65536,5,FALSE),0)</f>
        <v>2</v>
      </c>
      <c r="F203" s="3">
        <f>IFERROR(VLOOKUP(B203,'[1]new sheet'!$A$1:$IV$65536,4,FALSE),0)</f>
        <v>0</v>
      </c>
      <c r="G203" s="4">
        <f>IFERROR(VLOOKUP(B203,'[2]new sheet'!$A$1:$IV$65536,2,0),0)</f>
        <v>0</v>
      </c>
      <c r="H203" s="5">
        <f>IFERROR(VLOOKUP(B203,'[3]new sheet'!$A$1:$IV$65536,2,0),0)</f>
        <v>0</v>
      </c>
    </row>
    <row r="204" spans="1:8" ht="24" customHeight="1">
      <c r="A204" s="7">
        <v>4099598</v>
      </c>
      <c r="B204" s="7">
        <v>3700</v>
      </c>
      <c r="C204" s="8" t="s">
        <v>160</v>
      </c>
      <c r="D204" s="8" t="s">
        <v>1934</v>
      </c>
      <c r="E204" s="2">
        <f>IFERROR(VLOOKUP(B204,'[1]new sheet'!$A$1:$IV$65536,5,FALSE),0)</f>
        <v>42</v>
      </c>
      <c r="F204" s="3">
        <f>IFERROR(VLOOKUP(B204,'[1]new sheet'!$A$1:$IV$65536,4,FALSE),0)</f>
        <v>0</v>
      </c>
      <c r="G204" s="4">
        <f>IFERROR(VLOOKUP(B204,'[2]new sheet'!$A$1:$IV$65536,2,0),0)</f>
        <v>2</v>
      </c>
      <c r="H204" s="5">
        <f>IFERROR(VLOOKUP(B204,'[3]new sheet'!$A$1:$IV$65536,2,0),0)</f>
        <v>0</v>
      </c>
    </row>
    <row r="205" spans="1:8" ht="24" customHeight="1">
      <c r="A205" s="7">
        <v>4099624</v>
      </c>
      <c r="B205" s="7">
        <v>3877</v>
      </c>
      <c r="C205" s="8" t="s">
        <v>1590</v>
      </c>
      <c r="D205" s="8" t="s">
        <v>1934</v>
      </c>
      <c r="E205" s="2">
        <f>IFERROR(VLOOKUP(B205,'[1]new sheet'!$A$1:$IV$65536,5,FALSE),0)</f>
        <v>0</v>
      </c>
      <c r="F205" s="3">
        <f>IFERROR(VLOOKUP(B205,'[1]new sheet'!$A$1:$IV$65536,4,FALSE),0)</f>
        <v>0</v>
      </c>
      <c r="G205" s="4">
        <f>IFERROR(VLOOKUP(B205,'[2]new sheet'!$A$1:$IV$65536,2,0),0)</f>
        <v>0</v>
      </c>
      <c r="H205" s="5">
        <f>IFERROR(VLOOKUP(B205,'[3]new sheet'!$A$1:$IV$65536,2,0),0)</f>
        <v>0</v>
      </c>
    </row>
    <row r="206" spans="1:8" ht="24" customHeight="1">
      <c r="A206" s="7">
        <v>4099625</v>
      </c>
      <c r="B206" s="7">
        <v>3878</v>
      </c>
      <c r="C206" s="8" t="s">
        <v>1591</v>
      </c>
      <c r="D206" s="8" t="s">
        <v>1934</v>
      </c>
      <c r="E206" s="2">
        <f>IFERROR(VLOOKUP(B206,'[1]new sheet'!$A$1:$IV$65536,5,FALSE),0)</f>
        <v>7</v>
      </c>
      <c r="F206" s="3">
        <f>IFERROR(VLOOKUP(B206,'[1]new sheet'!$A$1:$IV$65536,4,FALSE),0)</f>
        <v>0</v>
      </c>
      <c r="G206" s="4">
        <f>IFERROR(VLOOKUP(B206,'[2]new sheet'!$A$1:$IV$65536,2,0),0)</f>
        <v>0</v>
      </c>
      <c r="H206" s="5">
        <f>IFERROR(VLOOKUP(B206,'[3]new sheet'!$A$1:$IV$65536,2,0),0)</f>
        <v>0</v>
      </c>
    </row>
    <row r="207" spans="1:8" ht="24" customHeight="1">
      <c r="A207" s="7">
        <v>4099626</v>
      </c>
      <c r="B207" s="7">
        <v>3876</v>
      </c>
      <c r="C207" s="8" t="s">
        <v>1589</v>
      </c>
      <c r="D207" s="8" t="s">
        <v>1934</v>
      </c>
      <c r="E207" s="2">
        <f>IFERROR(VLOOKUP(B207,'[1]new sheet'!$A$1:$IV$65536,5,FALSE),0)</f>
        <v>0</v>
      </c>
      <c r="F207" s="3">
        <f>IFERROR(VLOOKUP(B207,'[1]new sheet'!$A$1:$IV$65536,4,FALSE),0)</f>
        <v>1</v>
      </c>
      <c r="G207" s="4">
        <f>IFERROR(VLOOKUP(B207,'[2]new sheet'!$A$1:$IV$65536,2,0),0)</f>
        <v>1</v>
      </c>
      <c r="H207" s="5">
        <f>IFERROR(VLOOKUP(B207,'[3]new sheet'!$A$1:$IV$65536,2,0),0)</f>
        <v>4</v>
      </c>
    </row>
    <row r="208" spans="1:8" ht="24" customHeight="1">
      <c r="A208" s="7">
        <v>60803</v>
      </c>
      <c r="B208" s="7">
        <v>3776</v>
      </c>
      <c r="C208" s="8" t="s">
        <v>1662</v>
      </c>
      <c r="D208" s="8" t="s">
        <v>1934</v>
      </c>
      <c r="E208" s="2">
        <f>IFERROR(VLOOKUP(B208,'[1]new sheet'!$A$1:$IV$65536,5,FALSE),0)</f>
        <v>0</v>
      </c>
      <c r="F208" s="3">
        <f>IFERROR(VLOOKUP(B208,'[1]new sheet'!$A$1:$IV$65536,4,FALSE),0)</f>
        <v>0</v>
      </c>
      <c r="G208" s="4">
        <f>IFERROR(VLOOKUP(B208,'[2]new sheet'!$A$1:$IV$65536,2,0),0)</f>
        <v>0</v>
      </c>
      <c r="H208" s="5">
        <f>IFERROR(VLOOKUP(B208,'[3]new sheet'!$A$1:$IV$65536,2,0),0)</f>
        <v>0</v>
      </c>
    </row>
    <row r="209" spans="1:8" ht="24" customHeight="1">
      <c r="A209" s="7"/>
      <c r="B209" s="7">
        <v>3961</v>
      </c>
      <c r="C209" s="8" t="s">
        <v>1637</v>
      </c>
      <c r="D209" s="8" t="s">
        <v>1935</v>
      </c>
      <c r="E209" s="2">
        <f>IFERROR(VLOOKUP(B209,'[1]new sheet'!$A$1:$IV$65536,5,FALSE),0)</f>
        <v>1028.6199999999999</v>
      </c>
      <c r="F209" s="3">
        <f>IFERROR(VLOOKUP(B209,'[1]new sheet'!$A$1:$IV$65536,4,FALSE),0)</f>
        <v>60</v>
      </c>
      <c r="G209" s="4">
        <f>IFERROR(VLOOKUP(B209,'[2]new sheet'!$A$1:$IV$65536,2,0),0)</f>
        <v>1135.02</v>
      </c>
      <c r="H209" s="5">
        <f>IFERROR(VLOOKUP(B209,'[3]new sheet'!$A$1:$IV$65536,2,0),0)</f>
        <v>234.75</v>
      </c>
    </row>
    <row r="210" spans="1:8" ht="24" customHeight="1">
      <c r="A210" s="7"/>
      <c r="B210" s="7">
        <v>4064</v>
      </c>
      <c r="C210" s="8" t="s">
        <v>1694</v>
      </c>
      <c r="D210" s="8" t="s">
        <v>1935</v>
      </c>
      <c r="E210" s="2">
        <f>IFERROR(VLOOKUP(B210,'[1]new sheet'!$A$1:$IV$65536,5,FALSE),0)</f>
        <v>412.07</v>
      </c>
      <c r="F210" s="3">
        <f>IFERROR(VLOOKUP(B210,'[1]new sheet'!$A$1:$IV$65536,4,FALSE),0)</f>
        <v>40</v>
      </c>
      <c r="G210" s="4">
        <f>IFERROR(VLOOKUP(B210,'[2]new sheet'!$A$1:$IV$65536,2,0),0)</f>
        <v>977.88</v>
      </c>
      <c r="H210" s="5">
        <f>IFERROR(VLOOKUP(B210,'[3]new sheet'!$A$1:$IV$65536,2,0),0)</f>
        <v>251.12</v>
      </c>
    </row>
    <row r="211" spans="1:8" ht="24" customHeight="1">
      <c r="A211" s="7"/>
      <c r="B211" s="7">
        <v>455</v>
      </c>
      <c r="C211" s="8" t="s">
        <v>161</v>
      </c>
      <c r="D211" s="8" t="s">
        <v>1935</v>
      </c>
      <c r="E211" s="2">
        <f>IFERROR(VLOOKUP(B211,'[1]new sheet'!$A$1:$IV$65536,5,FALSE),0)</f>
        <v>0.01</v>
      </c>
      <c r="F211" s="3">
        <f>IFERROR(VLOOKUP(B211,'[1]new sheet'!$A$1:$IV$65536,4,FALSE),0)</f>
        <v>0</v>
      </c>
      <c r="G211" s="4">
        <f>IFERROR(VLOOKUP(B211,'[2]new sheet'!$A$1:$IV$65536,2,0),0)</f>
        <v>0</v>
      </c>
      <c r="H211" s="5">
        <f>IFERROR(VLOOKUP(B211,'[3]new sheet'!$A$1:$IV$65536,2,0),0)</f>
        <v>0</v>
      </c>
    </row>
    <row r="212" spans="1:8" ht="24" customHeight="1">
      <c r="A212" s="7" t="s">
        <v>162</v>
      </c>
      <c r="B212" s="7">
        <v>2409</v>
      </c>
      <c r="C212" s="8" t="s">
        <v>163</v>
      </c>
      <c r="D212" s="8" t="s">
        <v>1935</v>
      </c>
      <c r="E212" s="2">
        <f>IFERROR(VLOOKUP(B212,'[1]new sheet'!$A$1:$IV$65536,5,FALSE),0)</f>
        <v>0</v>
      </c>
      <c r="F212" s="3">
        <f>IFERROR(VLOOKUP(B212,'[1]new sheet'!$A$1:$IV$65536,4,FALSE),0)</f>
        <v>0</v>
      </c>
      <c r="G212" s="4">
        <f>IFERROR(VLOOKUP(B212,'[2]new sheet'!$A$1:$IV$65536,2,0),0)</f>
        <v>0</v>
      </c>
      <c r="H212" s="5">
        <f>IFERROR(VLOOKUP(B212,'[3]new sheet'!$A$1:$IV$65536,2,0),0)</f>
        <v>0</v>
      </c>
    </row>
    <row r="213" spans="1:8" ht="24" customHeight="1">
      <c r="A213" s="7">
        <v>0</v>
      </c>
      <c r="B213" s="7">
        <v>79</v>
      </c>
      <c r="C213" s="8" t="s">
        <v>164</v>
      </c>
      <c r="D213" s="8" t="s">
        <v>1935</v>
      </c>
      <c r="E213" s="2">
        <f>IFERROR(VLOOKUP(B213,'[1]new sheet'!$A$1:$IV$65536,5,FALSE),0)</f>
        <v>0</v>
      </c>
      <c r="F213" s="3">
        <f>IFERROR(VLOOKUP(B213,'[1]new sheet'!$A$1:$IV$65536,4,FALSE),0)</f>
        <v>0</v>
      </c>
      <c r="G213" s="4">
        <f>IFERROR(VLOOKUP(B213,'[2]new sheet'!$A$1:$IV$65536,2,0),0)</f>
        <v>0</v>
      </c>
      <c r="H213" s="5">
        <f>IFERROR(VLOOKUP(B213,'[3]new sheet'!$A$1:$IV$65536,2,0),0)</f>
        <v>0</v>
      </c>
    </row>
    <row r="214" spans="1:8" ht="24" customHeight="1">
      <c r="A214" s="7" t="s">
        <v>165</v>
      </c>
      <c r="B214" s="7">
        <v>1261</v>
      </c>
      <c r="C214" s="8" t="s">
        <v>166</v>
      </c>
      <c r="D214" s="8" t="s">
        <v>1934</v>
      </c>
      <c r="E214" s="2">
        <f>IFERROR(VLOOKUP(B214,'[1]new sheet'!$A$1:$IV$65536,5,FALSE),0)</f>
        <v>0</v>
      </c>
      <c r="F214" s="3">
        <f>IFERROR(VLOOKUP(B214,'[1]new sheet'!$A$1:$IV$65536,4,FALSE),0)</f>
        <v>0</v>
      </c>
      <c r="G214" s="4">
        <f>IFERROR(VLOOKUP(B214,'[2]new sheet'!$A$1:$IV$65536,2,0),0)</f>
        <v>0</v>
      </c>
      <c r="H214" s="5">
        <f>IFERROR(VLOOKUP(B214,'[3]new sheet'!$A$1:$IV$65536,2,0),0)</f>
        <v>0</v>
      </c>
    </row>
    <row r="215" spans="1:8" ht="24" customHeight="1">
      <c r="A215" s="7">
        <v>625701</v>
      </c>
      <c r="B215" s="7">
        <v>781</v>
      </c>
      <c r="C215" s="8" t="s">
        <v>167</v>
      </c>
      <c r="D215" s="8" t="s">
        <v>1935</v>
      </c>
      <c r="E215" s="2">
        <f>IFERROR(VLOOKUP(B215,'[1]new sheet'!$A$1:$IV$65536,5,FALSE),0)</f>
        <v>0</v>
      </c>
      <c r="F215" s="3">
        <f>IFERROR(VLOOKUP(B215,'[1]new sheet'!$A$1:$IV$65536,4,FALSE),0)</f>
        <v>0</v>
      </c>
      <c r="G215" s="4">
        <f>IFERROR(VLOOKUP(B215,'[2]new sheet'!$A$1:$IV$65536,2,0),0)</f>
        <v>0</v>
      </c>
      <c r="H215" s="5">
        <f>IFERROR(VLOOKUP(B215,'[3]new sheet'!$A$1:$IV$65536,2,0),0)</f>
        <v>0</v>
      </c>
    </row>
    <row r="216" spans="1:8" ht="24" customHeight="1">
      <c r="A216" s="7" t="s">
        <v>168</v>
      </c>
      <c r="B216" s="7">
        <v>2410</v>
      </c>
      <c r="C216" s="8" t="s">
        <v>169</v>
      </c>
      <c r="D216" s="8" t="s">
        <v>1935</v>
      </c>
      <c r="E216" s="2">
        <f>IFERROR(VLOOKUP(B216,'[1]new sheet'!$A$1:$IV$65536,5,FALSE),0)</f>
        <v>0</v>
      </c>
      <c r="F216" s="3">
        <f>IFERROR(VLOOKUP(B216,'[1]new sheet'!$A$1:$IV$65536,4,FALSE),0)</f>
        <v>0</v>
      </c>
      <c r="G216" s="4">
        <f>IFERROR(VLOOKUP(B216,'[2]new sheet'!$A$1:$IV$65536,2,0),0)</f>
        <v>0</v>
      </c>
      <c r="H216" s="5">
        <f>IFERROR(VLOOKUP(B216,'[3]new sheet'!$A$1:$IV$65536,2,0),0)</f>
        <v>0</v>
      </c>
    </row>
    <row r="217" spans="1:8" ht="24" customHeight="1">
      <c r="A217" s="7">
        <v>195</v>
      </c>
      <c r="B217" s="7">
        <v>456</v>
      </c>
      <c r="C217" s="8" t="s">
        <v>170</v>
      </c>
      <c r="D217" s="32" t="s">
        <v>1935</v>
      </c>
      <c r="E217" s="23">
        <f>IFERROR(VLOOKUP(B217,'[1]new sheet'!$A$1:$IV$65536,5,FALSE),0)</f>
        <v>0</v>
      </c>
      <c r="F217" s="3">
        <f>IFERROR(VLOOKUP(B217,'[1]new sheet'!$A$1:$IV$65536,4,FALSE),0)</f>
        <v>0</v>
      </c>
      <c r="G217" s="4">
        <f>IFERROR(VLOOKUP(B217,'[2]new sheet'!$A$1:$IV$65536,2,0),0)</f>
        <v>0</v>
      </c>
      <c r="H217" s="5">
        <f>IFERROR(VLOOKUP(B217,'[3]new sheet'!$A$1:$IV$65536,2,0),0)</f>
        <v>0</v>
      </c>
    </row>
    <row r="218" spans="1:8" ht="24" customHeight="1">
      <c r="A218" s="24">
        <v>802002</v>
      </c>
      <c r="B218" s="24">
        <v>1676</v>
      </c>
      <c r="C218" s="25" t="s">
        <v>171</v>
      </c>
      <c r="D218" s="25" t="s">
        <v>1935</v>
      </c>
      <c r="E218" s="2">
        <f>IFERROR(VLOOKUP(B218,'[1]new sheet'!$A$1:$IV$65536,5,FALSE),0)</f>
        <v>97.06</v>
      </c>
      <c r="F218" s="3">
        <f>IFERROR(VLOOKUP(B218,'[1]new sheet'!$A$1:$IV$65536,4,FALSE),0)</f>
        <v>75</v>
      </c>
      <c r="G218" s="4">
        <f>IFERROR(VLOOKUP(B218,'[2]new sheet'!$A$1:$IV$65536,2,0),0)</f>
        <v>0</v>
      </c>
      <c r="H218" s="5">
        <f>IFERROR(VLOOKUP(B218,'[3]new sheet'!$A$1:$IV$65536,2,0),0)</f>
        <v>28.44</v>
      </c>
    </row>
    <row r="219" spans="1:8" ht="24" customHeight="1">
      <c r="A219" s="7"/>
      <c r="B219" s="7">
        <v>80</v>
      </c>
      <c r="C219" s="8" t="s">
        <v>172</v>
      </c>
      <c r="D219" s="8" t="s">
        <v>1934</v>
      </c>
      <c r="E219" s="2">
        <f>IFERROR(VLOOKUP(B219,'[1]new sheet'!$A$1:$IV$65536,5,FALSE),0)</f>
        <v>0</v>
      </c>
      <c r="F219" s="3">
        <f>IFERROR(VLOOKUP(B219,'[1]new sheet'!$A$1:$IV$65536,4,FALSE),0)</f>
        <v>0</v>
      </c>
      <c r="G219" s="4">
        <f>IFERROR(VLOOKUP(B219,'[2]new sheet'!$A$1:$IV$65536,2,0),0)</f>
        <v>0</v>
      </c>
      <c r="H219" s="5">
        <f>IFERROR(VLOOKUP(B219,'[3]new sheet'!$A$1:$IV$65536,2,0),0)</f>
        <v>0</v>
      </c>
    </row>
    <row r="220" spans="1:8" ht="24" customHeight="1">
      <c r="A220" s="7">
        <v>40037</v>
      </c>
      <c r="B220" s="7">
        <v>3081</v>
      </c>
      <c r="C220" s="8" t="s">
        <v>173</v>
      </c>
      <c r="D220" s="8" t="s">
        <v>1935</v>
      </c>
      <c r="E220" s="2">
        <f>IFERROR(VLOOKUP(B220,'[1]new sheet'!$A$1:$IV$65536,5,FALSE),0)</f>
        <v>0</v>
      </c>
      <c r="F220" s="3">
        <f>IFERROR(VLOOKUP(B220,'[1]new sheet'!$A$1:$IV$65536,4,FALSE),0)</f>
        <v>0</v>
      </c>
      <c r="G220" s="4">
        <f>IFERROR(VLOOKUP(B220,'[2]new sheet'!$A$1:$IV$65536,2,0),0)</f>
        <v>0</v>
      </c>
      <c r="H220" s="5">
        <f>IFERROR(VLOOKUP(B220,'[3]new sheet'!$A$1:$IV$65536,2,0),0)</f>
        <v>0</v>
      </c>
    </row>
    <row r="221" spans="1:8" ht="24" customHeight="1">
      <c r="A221" s="7">
        <v>16131</v>
      </c>
      <c r="B221" s="7">
        <v>3936</v>
      </c>
      <c r="C221" s="8" t="s">
        <v>1616</v>
      </c>
      <c r="D221" s="8" t="s">
        <v>1934</v>
      </c>
      <c r="E221" s="2">
        <f>IFERROR(VLOOKUP(B221,'[1]new sheet'!$A$1:$IV$65536,5,FALSE),0)</f>
        <v>28</v>
      </c>
      <c r="F221" s="3">
        <f>IFERROR(VLOOKUP(B221,'[1]new sheet'!$A$1:$IV$65536,4,FALSE),0)</f>
        <v>0</v>
      </c>
      <c r="G221" s="4">
        <f>IFERROR(VLOOKUP(B221,'[2]new sheet'!$A$1:$IV$65536,2,0),0)</f>
        <v>17</v>
      </c>
      <c r="H221" s="5">
        <f>IFERROR(VLOOKUP(B221,'[3]new sheet'!$A$1:$IV$65536,2,0),0)</f>
        <v>5</v>
      </c>
    </row>
    <row r="222" spans="1:8" ht="24" customHeight="1">
      <c r="A222" s="7">
        <v>3073</v>
      </c>
      <c r="B222" s="7">
        <v>3933</v>
      </c>
      <c r="C222" s="8" t="s">
        <v>1617</v>
      </c>
      <c r="D222" s="8" t="s">
        <v>1934</v>
      </c>
      <c r="E222" s="2">
        <f>IFERROR(VLOOKUP(B222,'[1]new sheet'!$A$1:$IV$65536,5,FALSE),0)</f>
        <v>9</v>
      </c>
      <c r="F222" s="3">
        <f>IFERROR(VLOOKUP(B222,'[1]new sheet'!$A$1:$IV$65536,4,FALSE),0)</f>
        <v>1</v>
      </c>
      <c r="G222" s="4">
        <f>IFERROR(VLOOKUP(B222,'[2]new sheet'!$A$1:$IV$65536,2,0),0)</f>
        <v>40</v>
      </c>
      <c r="H222" s="5">
        <f>IFERROR(VLOOKUP(B222,'[3]new sheet'!$A$1:$IV$65536,2,0),0)</f>
        <v>13</v>
      </c>
    </row>
    <row r="223" spans="1:8" ht="24" customHeight="1">
      <c r="A223" s="7">
        <v>3074</v>
      </c>
      <c r="B223" s="7">
        <v>3934</v>
      </c>
      <c r="C223" s="8" t="s">
        <v>1618</v>
      </c>
      <c r="D223" s="8" t="s">
        <v>1934</v>
      </c>
      <c r="E223" s="2">
        <f>IFERROR(VLOOKUP(B223,'[1]new sheet'!$A$1:$IV$65536,5,FALSE),0)</f>
        <v>17</v>
      </c>
      <c r="F223" s="3">
        <f>IFERROR(VLOOKUP(B223,'[1]new sheet'!$A$1:$IV$65536,4,FALSE),0)</f>
        <v>1</v>
      </c>
      <c r="G223" s="4">
        <f>IFERROR(VLOOKUP(B223,'[2]new sheet'!$A$1:$IV$65536,2,0),0)</f>
        <v>33</v>
      </c>
      <c r="H223" s="5">
        <f>IFERROR(VLOOKUP(B223,'[3]new sheet'!$A$1:$IV$65536,2,0),0)</f>
        <v>9</v>
      </c>
    </row>
    <row r="224" spans="1:8" ht="24" customHeight="1">
      <c r="A224" s="7">
        <v>16131</v>
      </c>
      <c r="B224" s="7">
        <v>3937</v>
      </c>
      <c r="C224" s="8" t="s">
        <v>1619</v>
      </c>
      <c r="D224" s="8" t="s">
        <v>1934</v>
      </c>
      <c r="E224" s="2">
        <f>IFERROR(VLOOKUP(B224,'[1]new sheet'!$A$1:$IV$65536,5,FALSE),0)</f>
        <v>31</v>
      </c>
      <c r="F224" s="3">
        <f>IFERROR(VLOOKUP(B224,'[1]new sheet'!$A$1:$IV$65536,4,FALSE),0)</f>
        <v>0</v>
      </c>
      <c r="G224" s="4">
        <f>IFERROR(VLOOKUP(B224,'[2]new sheet'!$A$1:$IV$65536,2,0),0)</f>
        <v>8</v>
      </c>
      <c r="H224" s="5">
        <f>IFERROR(VLOOKUP(B224,'[3]new sheet'!$A$1:$IV$65536,2,0),0)</f>
        <v>2</v>
      </c>
    </row>
    <row r="225" spans="1:8" ht="24" customHeight="1">
      <c r="A225" s="7">
        <v>3075</v>
      </c>
      <c r="B225" s="7">
        <v>3935</v>
      </c>
      <c r="C225" s="8" t="s">
        <v>1620</v>
      </c>
      <c r="D225" s="8" t="s">
        <v>1934</v>
      </c>
      <c r="E225" s="2">
        <f>IFERROR(VLOOKUP(B225,'[1]new sheet'!$A$1:$IV$65536,5,FALSE),0)</f>
        <v>75</v>
      </c>
      <c r="F225" s="3">
        <f>IFERROR(VLOOKUP(B225,'[1]new sheet'!$A$1:$IV$65536,4,FALSE),0)</f>
        <v>0</v>
      </c>
      <c r="G225" s="4">
        <f>IFERROR(VLOOKUP(B225,'[2]new sheet'!$A$1:$IV$65536,2,0),0)</f>
        <v>32</v>
      </c>
      <c r="H225" s="5">
        <f>IFERROR(VLOOKUP(B225,'[3]new sheet'!$A$1:$IV$65536,2,0),0)</f>
        <v>6</v>
      </c>
    </row>
    <row r="226" spans="1:8" ht="24" customHeight="1">
      <c r="A226" s="7">
        <v>16148</v>
      </c>
      <c r="B226" s="7">
        <v>3938</v>
      </c>
      <c r="C226" s="8" t="s">
        <v>1621</v>
      </c>
      <c r="D226" s="8" t="s">
        <v>1934</v>
      </c>
      <c r="E226" s="2">
        <f>IFERROR(VLOOKUP(B226,'[1]new sheet'!$A$1:$IV$65536,5,FALSE),0)</f>
        <v>28</v>
      </c>
      <c r="F226" s="3">
        <f>IFERROR(VLOOKUP(B226,'[1]new sheet'!$A$1:$IV$65536,4,FALSE),0)</f>
        <v>0</v>
      </c>
      <c r="G226" s="4">
        <f>IFERROR(VLOOKUP(B226,'[2]new sheet'!$A$1:$IV$65536,2,0),0)</f>
        <v>10</v>
      </c>
      <c r="H226" s="5">
        <f>IFERROR(VLOOKUP(B226,'[3]new sheet'!$A$1:$IV$65536,2,0),0)</f>
        <v>0</v>
      </c>
    </row>
    <row r="227" spans="1:8" ht="24" customHeight="1">
      <c r="A227" s="7">
        <v>10918</v>
      </c>
      <c r="B227" s="7">
        <v>3282</v>
      </c>
      <c r="C227" s="8" t="s">
        <v>174</v>
      </c>
      <c r="D227" s="8" t="s">
        <v>1934</v>
      </c>
      <c r="E227" s="2">
        <f>IFERROR(VLOOKUP(B227,'[1]new sheet'!$A$1:$IV$65536,5,FALSE),0)</f>
        <v>0</v>
      </c>
      <c r="F227" s="3">
        <f>IFERROR(VLOOKUP(B227,'[1]new sheet'!$A$1:$IV$65536,4,FALSE),0)</f>
        <v>0</v>
      </c>
      <c r="G227" s="4">
        <f>IFERROR(VLOOKUP(B227,'[2]new sheet'!$A$1:$IV$65536,2,0),0)</f>
        <v>85</v>
      </c>
      <c r="H227" s="5">
        <f>IFERROR(VLOOKUP(B227,'[3]new sheet'!$A$1:$IV$65536,2,0),0)</f>
        <v>84</v>
      </c>
    </row>
    <row r="228" spans="1:8" ht="24" customHeight="1">
      <c r="A228" s="7"/>
      <c r="B228" s="7">
        <v>460</v>
      </c>
      <c r="C228" s="8" t="s">
        <v>175</v>
      </c>
      <c r="D228" s="8" t="s">
        <v>1934</v>
      </c>
      <c r="E228" s="2">
        <f>IFERROR(VLOOKUP(B228,'[1]new sheet'!$A$1:$IV$65536,5,FALSE),0)</f>
        <v>0</v>
      </c>
      <c r="F228" s="3">
        <f>IFERROR(VLOOKUP(B228,'[1]new sheet'!$A$1:$IV$65536,4,FALSE),0)</f>
        <v>0</v>
      </c>
      <c r="G228" s="4">
        <f>IFERROR(VLOOKUP(B228,'[2]new sheet'!$A$1:$IV$65536,2,0),0)</f>
        <v>0</v>
      </c>
      <c r="H228" s="5">
        <f>IFERROR(VLOOKUP(B228,'[3]new sheet'!$A$1:$IV$65536,2,0),0)</f>
        <v>0</v>
      </c>
    </row>
    <row r="229" spans="1:8" s="10" customFormat="1" ht="23.25" customHeight="1">
      <c r="A229" s="7">
        <v>2706</v>
      </c>
      <c r="B229" s="7">
        <v>2063</v>
      </c>
      <c r="C229" s="8" t="s">
        <v>176</v>
      </c>
      <c r="D229" s="8" t="s">
        <v>1934</v>
      </c>
      <c r="E229" s="2">
        <f>IFERROR(VLOOKUP(B229,'[1]new sheet'!$A$1:$IV$65536,5,FALSE),0)</f>
        <v>0</v>
      </c>
      <c r="F229" s="3">
        <f>IFERROR(VLOOKUP(B229,'[1]new sheet'!$A$1:$IV$65536,4,FALSE),0)</f>
        <v>0</v>
      </c>
      <c r="G229" s="4">
        <f>IFERROR(VLOOKUP(B229,'[2]new sheet'!$A$1:$IV$65536,2,0),0)</f>
        <v>0</v>
      </c>
      <c r="H229" s="5">
        <f>IFERROR(VLOOKUP(B229,'[3]new sheet'!$A$1:$IV$65536,2,0),0)</f>
        <v>0</v>
      </c>
    </row>
    <row r="230" spans="1:8" s="10" customFormat="1" ht="24" customHeight="1">
      <c r="A230" s="7">
        <v>1416</v>
      </c>
      <c r="B230" s="7">
        <v>2559</v>
      </c>
      <c r="C230" s="8" t="s">
        <v>177</v>
      </c>
      <c r="D230" s="8" t="s">
        <v>1934</v>
      </c>
      <c r="E230" s="2">
        <f>IFERROR(VLOOKUP(B230,'[1]new sheet'!$A$1:$IV$65536,5,FALSE),0)</f>
        <v>0</v>
      </c>
      <c r="F230" s="3">
        <f>IFERROR(VLOOKUP(B230,'[1]new sheet'!$A$1:$IV$65536,4,FALSE),0)</f>
        <v>0</v>
      </c>
      <c r="G230" s="4">
        <f>IFERROR(VLOOKUP(B230,'[2]new sheet'!$A$1:$IV$65536,2,0),0)</f>
        <v>0</v>
      </c>
      <c r="H230" s="5">
        <f>IFERROR(VLOOKUP(B230,'[3]new sheet'!$A$1:$IV$65536,2,0),0)</f>
        <v>0</v>
      </c>
    </row>
    <row r="231" spans="1:8" s="6" customFormat="1" ht="24" customHeight="1">
      <c r="A231" s="7">
        <v>311</v>
      </c>
      <c r="B231" s="7">
        <v>942</v>
      </c>
      <c r="C231" s="8" t="s">
        <v>178</v>
      </c>
      <c r="D231" s="8" t="s">
        <v>1934</v>
      </c>
      <c r="E231" s="2">
        <f>IFERROR(VLOOKUP(B231,'[1]new sheet'!$A$1:$IV$65536,5,FALSE),0)</f>
        <v>408</v>
      </c>
      <c r="F231" s="3">
        <f>IFERROR(VLOOKUP(B231,'[1]new sheet'!$A$1:$IV$65536,4,FALSE),0)</f>
        <v>4</v>
      </c>
      <c r="G231" s="4">
        <f>IFERROR(VLOOKUP(B231,'[2]new sheet'!$A$1:$IV$65536,2,0),0)</f>
        <v>200</v>
      </c>
      <c r="H231" s="5">
        <f>IFERROR(VLOOKUP(B231,'[3]new sheet'!$A$1:$IV$65536,2,0),0)</f>
        <v>49</v>
      </c>
    </row>
    <row r="232" spans="1:8" ht="24" customHeight="1">
      <c r="A232" s="7"/>
      <c r="B232" s="7">
        <v>459</v>
      </c>
      <c r="C232" s="8" t="s">
        <v>179</v>
      </c>
      <c r="D232" s="8" t="s">
        <v>1934</v>
      </c>
      <c r="E232" s="2">
        <f>IFERROR(VLOOKUP(B232,'[1]new sheet'!$A$1:$IV$65536,5,FALSE),0)</f>
        <v>0</v>
      </c>
      <c r="F232" s="3">
        <f>IFERROR(VLOOKUP(B232,'[1]new sheet'!$A$1:$IV$65536,4,FALSE),0)</f>
        <v>0</v>
      </c>
      <c r="G232" s="4">
        <f>IFERROR(VLOOKUP(B232,'[2]new sheet'!$A$1:$IV$65536,2,0),0)</f>
        <v>0</v>
      </c>
      <c r="H232" s="5">
        <f>IFERROR(VLOOKUP(B232,'[3]new sheet'!$A$1:$IV$65536,2,0),0)</f>
        <v>0</v>
      </c>
    </row>
    <row r="233" spans="1:8" ht="24" customHeight="1">
      <c r="A233" s="7">
        <v>1821</v>
      </c>
      <c r="B233" s="7">
        <v>204</v>
      </c>
      <c r="C233" s="8" t="s">
        <v>180</v>
      </c>
      <c r="D233" s="8" t="s">
        <v>1934</v>
      </c>
      <c r="E233" s="2">
        <f>IFERROR(VLOOKUP(B233,'[1]new sheet'!$A$1:$IV$65536,5,FALSE),0)</f>
        <v>0</v>
      </c>
      <c r="F233" s="3">
        <f>IFERROR(VLOOKUP(B233,'[1]new sheet'!$A$1:$IV$65536,4,FALSE),0)</f>
        <v>0</v>
      </c>
      <c r="G233" s="4">
        <f>IFERROR(VLOOKUP(B233,'[2]new sheet'!$A$1:$IV$65536,2,0),0)</f>
        <v>0</v>
      </c>
      <c r="H233" s="5">
        <f>IFERROR(VLOOKUP(B233,'[3]new sheet'!$A$1:$IV$65536,2,0),0)</f>
        <v>0</v>
      </c>
    </row>
    <row r="234" spans="1:8" ht="24" customHeight="1">
      <c r="A234" s="7">
        <v>200426</v>
      </c>
      <c r="B234" s="7">
        <v>4095</v>
      </c>
      <c r="C234" s="8" t="s">
        <v>1710</v>
      </c>
      <c r="D234" s="8" t="s">
        <v>1934</v>
      </c>
      <c r="E234" s="2">
        <f>IFERROR(VLOOKUP(B234,'[1]new sheet'!$A$1:$IV$65536,5,FALSE),0)</f>
        <v>301</v>
      </c>
      <c r="F234" s="3">
        <f>IFERROR(VLOOKUP(B234,'[1]new sheet'!$A$1:$IV$65536,4,FALSE),0)</f>
        <v>4</v>
      </c>
      <c r="G234" s="4">
        <f>IFERROR(VLOOKUP(B234,'[2]new sheet'!$A$1:$IV$65536,2,0),0)</f>
        <v>55</v>
      </c>
      <c r="H234" s="5">
        <f>IFERROR(VLOOKUP(B234,'[3]new sheet'!$A$1:$IV$65536,2,0),0)</f>
        <v>10</v>
      </c>
    </row>
    <row r="235" spans="1:8" ht="24" customHeight="1">
      <c r="A235" s="7"/>
      <c r="B235" s="7">
        <v>469</v>
      </c>
      <c r="C235" s="8" t="s">
        <v>181</v>
      </c>
      <c r="D235" s="8" t="s">
        <v>1934</v>
      </c>
      <c r="E235" s="2">
        <f>IFERROR(VLOOKUP(B235,'[1]new sheet'!$A$1:$IV$65536,5,FALSE),0)</f>
        <v>147</v>
      </c>
      <c r="F235" s="3">
        <f>IFERROR(VLOOKUP(B235,'[1]new sheet'!$A$1:$IV$65536,4,FALSE),0)</f>
        <v>2</v>
      </c>
      <c r="G235" s="4">
        <f>IFERROR(VLOOKUP(B235,'[2]new sheet'!$A$1:$IV$65536,2,0),0)</f>
        <v>109</v>
      </c>
      <c r="H235" s="5">
        <f>IFERROR(VLOOKUP(B235,'[3]new sheet'!$A$1:$IV$65536,2,0),0)</f>
        <v>43</v>
      </c>
    </row>
    <row r="236" spans="1:8" s="9" customFormat="1" ht="23.25" customHeight="1">
      <c r="A236" s="7" t="s">
        <v>182</v>
      </c>
      <c r="B236" s="7">
        <v>916</v>
      </c>
      <c r="C236" s="8" t="s">
        <v>183</v>
      </c>
      <c r="D236" s="8" t="s">
        <v>1934</v>
      </c>
      <c r="E236" s="2">
        <f>IFERROR(VLOOKUP(B236,'[1]new sheet'!$A$1:$IV$65536,5,FALSE),0)</f>
        <v>0</v>
      </c>
      <c r="F236" s="3">
        <f>IFERROR(VLOOKUP(B236,'[1]new sheet'!$A$1:$IV$65536,4,FALSE),0)</f>
        <v>0</v>
      </c>
      <c r="G236" s="4">
        <f>IFERROR(VLOOKUP(B236,'[2]new sheet'!$A$1:$IV$65536,2,0),0)</f>
        <v>0</v>
      </c>
      <c r="H236" s="5">
        <f>IFERROR(VLOOKUP(B236,'[3]new sheet'!$A$1:$IV$65536,2,0),0)</f>
        <v>0</v>
      </c>
    </row>
    <row r="237" spans="1:8" s="9" customFormat="1" ht="23.25" customHeight="1">
      <c r="A237" s="7" t="s">
        <v>184</v>
      </c>
      <c r="B237" s="7">
        <v>915</v>
      </c>
      <c r="C237" s="8" t="s">
        <v>185</v>
      </c>
      <c r="D237" s="8" t="s">
        <v>1934</v>
      </c>
      <c r="E237" s="2">
        <f>IFERROR(VLOOKUP(B237,'[1]new sheet'!$A$1:$IV$65536,5,FALSE),0)</f>
        <v>0</v>
      </c>
      <c r="F237" s="3">
        <f>IFERROR(VLOOKUP(B237,'[1]new sheet'!$A$1:$IV$65536,4,FALSE),0)</f>
        <v>0</v>
      </c>
      <c r="G237" s="4">
        <f>IFERROR(VLOOKUP(B237,'[2]new sheet'!$A$1:$IV$65536,2,0),0)</f>
        <v>0</v>
      </c>
      <c r="H237" s="5">
        <f>IFERROR(VLOOKUP(B237,'[3]new sheet'!$A$1:$IV$65536,2,0),0)</f>
        <v>0</v>
      </c>
    </row>
    <row r="238" spans="1:8" ht="24" customHeight="1">
      <c r="A238" s="7" t="s">
        <v>186</v>
      </c>
      <c r="B238" s="7">
        <v>914</v>
      </c>
      <c r="C238" s="8" t="s">
        <v>187</v>
      </c>
      <c r="D238" s="8" t="s">
        <v>1934</v>
      </c>
      <c r="E238" s="2">
        <f>IFERROR(VLOOKUP(B238,'[1]new sheet'!$A$1:$IV$65536,5,FALSE),0)</f>
        <v>0</v>
      </c>
      <c r="F238" s="3">
        <f>IFERROR(VLOOKUP(B238,'[1]new sheet'!$A$1:$IV$65536,4,FALSE),0)</f>
        <v>0</v>
      </c>
      <c r="G238" s="4">
        <f>IFERROR(VLOOKUP(B238,'[2]new sheet'!$A$1:$IV$65536,2,0),0)</f>
        <v>0</v>
      </c>
      <c r="H238" s="5">
        <f>IFERROR(VLOOKUP(B238,'[3]new sheet'!$A$1:$IV$65536,2,0),0)</f>
        <v>0</v>
      </c>
    </row>
    <row r="239" spans="1:8" s="6" customFormat="1" ht="24" customHeight="1">
      <c r="A239" s="7" t="s">
        <v>188</v>
      </c>
      <c r="B239" s="7">
        <v>1024</v>
      </c>
      <c r="C239" s="8" t="s">
        <v>189</v>
      </c>
      <c r="D239" s="8" t="s">
        <v>1934</v>
      </c>
      <c r="E239" s="2">
        <f>IFERROR(VLOOKUP(B239,'[1]new sheet'!$A$1:$IV$65536,5,FALSE),0)</f>
        <v>0</v>
      </c>
      <c r="F239" s="3">
        <f>IFERROR(VLOOKUP(B239,'[1]new sheet'!$A$1:$IV$65536,4,FALSE),0)</f>
        <v>0</v>
      </c>
      <c r="G239" s="4">
        <f>IFERROR(VLOOKUP(B239,'[2]new sheet'!$A$1:$IV$65536,2,0),0)</f>
        <v>0</v>
      </c>
      <c r="H239" s="5">
        <f>IFERROR(VLOOKUP(B239,'[3]new sheet'!$A$1:$IV$65536,2,0),0)</f>
        <v>0</v>
      </c>
    </row>
    <row r="240" spans="1:8" ht="24" customHeight="1">
      <c r="A240" s="7">
        <v>2348</v>
      </c>
      <c r="B240" s="7">
        <v>2172</v>
      </c>
      <c r="C240" s="8" t="s">
        <v>190</v>
      </c>
      <c r="D240" s="8" t="s">
        <v>1934</v>
      </c>
      <c r="E240" s="2">
        <f>IFERROR(VLOOKUP(B240,'[1]new sheet'!$A$1:$IV$65536,5,FALSE),0)</f>
        <v>0</v>
      </c>
      <c r="F240" s="3">
        <f>IFERROR(VLOOKUP(B240,'[1]new sheet'!$A$1:$IV$65536,4,FALSE),0)</f>
        <v>0</v>
      </c>
      <c r="G240" s="4">
        <f>IFERROR(VLOOKUP(B240,'[2]new sheet'!$A$1:$IV$65536,2,0),0)</f>
        <v>0</v>
      </c>
      <c r="H240" s="5">
        <f>IFERROR(VLOOKUP(B240,'[3]new sheet'!$A$1:$IV$65536,2,0),0)</f>
        <v>0</v>
      </c>
    </row>
    <row r="241" spans="1:8" ht="24" customHeight="1">
      <c r="A241" s="7">
        <v>2377</v>
      </c>
      <c r="B241" s="7">
        <v>1467</v>
      </c>
      <c r="C241" s="8" t="s">
        <v>191</v>
      </c>
      <c r="D241" s="8" t="s">
        <v>1934</v>
      </c>
      <c r="E241" s="2">
        <f>IFERROR(VLOOKUP(B241,'[1]new sheet'!$A$1:$IV$65536,5,FALSE),0)</f>
        <v>0</v>
      </c>
      <c r="F241" s="3">
        <f>IFERROR(VLOOKUP(B241,'[1]new sheet'!$A$1:$IV$65536,4,FALSE),0)</f>
        <v>0</v>
      </c>
      <c r="G241" s="4">
        <f>IFERROR(VLOOKUP(B241,'[2]new sheet'!$A$1:$IV$65536,2,0),0)</f>
        <v>0</v>
      </c>
      <c r="H241" s="5">
        <f>IFERROR(VLOOKUP(B241,'[3]new sheet'!$A$1:$IV$65536,2,0),0)</f>
        <v>0</v>
      </c>
    </row>
    <row r="242" spans="1:8" ht="24" customHeight="1">
      <c r="A242" s="7">
        <v>2051</v>
      </c>
      <c r="B242" s="7">
        <v>462</v>
      </c>
      <c r="C242" s="8" t="s">
        <v>192</v>
      </c>
      <c r="D242" s="8" t="s">
        <v>1934</v>
      </c>
      <c r="E242" s="2">
        <f>IFERROR(VLOOKUP(B242,'[1]new sheet'!$A$1:$IV$65536,5,FALSE),0)</f>
        <v>0</v>
      </c>
      <c r="F242" s="3">
        <f>IFERROR(VLOOKUP(B242,'[1]new sheet'!$A$1:$IV$65536,4,FALSE),0)</f>
        <v>0</v>
      </c>
      <c r="G242" s="4">
        <f>IFERROR(VLOOKUP(B242,'[2]new sheet'!$A$1:$IV$65536,2,0),0)</f>
        <v>0</v>
      </c>
      <c r="H242" s="5">
        <f>IFERROR(VLOOKUP(B242,'[3]new sheet'!$A$1:$IV$65536,2,0),0)</f>
        <v>0</v>
      </c>
    </row>
    <row r="243" spans="1:8" ht="24" customHeight="1">
      <c r="A243" s="7"/>
      <c r="B243" s="7">
        <v>458</v>
      </c>
      <c r="C243" s="8" t="s">
        <v>1633</v>
      </c>
      <c r="D243" s="8" t="s">
        <v>1934</v>
      </c>
      <c r="E243" s="2">
        <f>IFERROR(VLOOKUP(B243,'[1]new sheet'!$A$1:$IV$65536,5,FALSE),0)</f>
        <v>0</v>
      </c>
      <c r="F243" s="3">
        <f>IFERROR(VLOOKUP(B243,'[1]new sheet'!$A$1:$IV$65536,4,FALSE),0)</f>
        <v>0</v>
      </c>
      <c r="G243" s="4">
        <f>IFERROR(VLOOKUP(B243,'[2]new sheet'!$A$1:$IV$65536,2,0),0)</f>
        <v>0</v>
      </c>
      <c r="H243" s="5">
        <f>IFERROR(VLOOKUP(B243,'[3]new sheet'!$A$1:$IV$65536,2,0),0)</f>
        <v>0</v>
      </c>
    </row>
    <row r="244" spans="1:8" ht="24" customHeight="1">
      <c r="A244" s="7">
        <v>1254</v>
      </c>
      <c r="B244" s="7">
        <v>464</v>
      </c>
      <c r="C244" s="8" t="s">
        <v>193</v>
      </c>
      <c r="D244" s="8" t="s">
        <v>1934</v>
      </c>
      <c r="E244" s="2">
        <f>IFERROR(VLOOKUP(B244,'[1]new sheet'!$A$1:$IV$65536,5,FALSE),0)</f>
        <v>0</v>
      </c>
      <c r="F244" s="3">
        <f>IFERROR(VLOOKUP(B244,'[1]new sheet'!$A$1:$IV$65536,4,FALSE),0)</f>
        <v>0</v>
      </c>
      <c r="G244" s="4">
        <f>IFERROR(VLOOKUP(B244,'[2]new sheet'!$A$1:$IV$65536,2,0),0)</f>
        <v>0</v>
      </c>
      <c r="H244" s="5">
        <f>IFERROR(VLOOKUP(B244,'[3]new sheet'!$A$1:$IV$65536,2,0),0)</f>
        <v>0</v>
      </c>
    </row>
    <row r="245" spans="1:8" ht="24" customHeight="1">
      <c r="A245" s="7">
        <v>1253</v>
      </c>
      <c r="B245" s="7">
        <v>1468</v>
      </c>
      <c r="C245" s="8" t="s">
        <v>194</v>
      </c>
      <c r="D245" s="8" t="s">
        <v>1934</v>
      </c>
      <c r="E245" s="2">
        <f>IFERROR(VLOOKUP(B245,'[1]new sheet'!$A$1:$IV$65536,5,FALSE),0)</f>
        <v>0</v>
      </c>
      <c r="F245" s="3">
        <f>IFERROR(VLOOKUP(B245,'[1]new sheet'!$A$1:$IV$65536,4,FALSE),0)</f>
        <v>0</v>
      </c>
      <c r="G245" s="4">
        <f>IFERROR(VLOOKUP(B245,'[2]new sheet'!$A$1:$IV$65536,2,0),0)</f>
        <v>0</v>
      </c>
      <c r="H245" s="5">
        <f>IFERROR(VLOOKUP(B245,'[3]new sheet'!$A$1:$IV$65536,2,0),0)</f>
        <v>0</v>
      </c>
    </row>
    <row r="246" spans="1:8" s="9" customFormat="1" ht="24" customHeight="1">
      <c r="A246" s="7">
        <v>2160</v>
      </c>
      <c r="B246" s="7">
        <v>463</v>
      </c>
      <c r="C246" s="8" t="s">
        <v>195</v>
      </c>
      <c r="D246" s="8" t="s">
        <v>1934</v>
      </c>
      <c r="E246" s="2">
        <f>IFERROR(VLOOKUP(B246,'[1]new sheet'!$A$1:$IV$65536,5,FALSE),0)</f>
        <v>0</v>
      </c>
      <c r="F246" s="3">
        <f>IFERROR(VLOOKUP(B246,'[1]new sheet'!$A$1:$IV$65536,4,FALSE),0)</f>
        <v>0</v>
      </c>
      <c r="G246" s="4">
        <f>IFERROR(VLOOKUP(B246,'[2]new sheet'!$A$1:$IV$65536,2,0),0)</f>
        <v>0</v>
      </c>
      <c r="H246" s="5">
        <f>IFERROR(VLOOKUP(B246,'[3]new sheet'!$A$1:$IV$65536,2,0),0)</f>
        <v>0</v>
      </c>
    </row>
    <row r="247" spans="1:8" s="6" customFormat="1" ht="24" customHeight="1">
      <c r="A247" s="7">
        <v>13547</v>
      </c>
      <c r="B247" s="7">
        <v>205</v>
      </c>
      <c r="C247" s="8" t="s">
        <v>196</v>
      </c>
      <c r="D247" s="8" t="s">
        <v>1934</v>
      </c>
      <c r="E247" s="2">
        <f>IFERROR(VLOOKUP(B247,'[1]new sheet'!$A$1:$IV$65536,5,FALSE),0)</f>
        <v>0</v>
      </c>
      <c r="F247" s="3">
        <f>IFERROR(VLOOKUP(B247,'[1]new sheet'!$A$1:$IV$65536,4,FALSE),0)</f>
        <v>0</v>
      </c>
      <c r="G247" s="4">
        <f>IFERROR(VLOOKUP(B247,'[2]new sheet'!$A$1:$IV$65536,2,0),0)</f>
        <v>0</v>
      </c>
      <c r="H247" s="5">
        <f>IFERROR(VLOOKUP(B247,'[3]new sheet'!$A$1:$IV$65536,2,0),0)</f>
        <v>0</v>
      </c>
    </row>
    <row r="248" spans="1:8" ht="24" customHeight="1">
      <c r="A248" s="7"/>
      <c r="B248" s="7">
        <v>465</v>
      </c>
      <c r="C248" s="8" t="s">
        <v>197</v>
      </c>
      <c r="D248" s="8" t="s">
        <v>1934</v>
      </c>
      <c r="E248" s="2">
        <f>IFERROR(VLOOKUP(B248,'[1]new sheet'!$A$1:$IV$65536,5,FALSE),0)</f>
        <v>0</v>
      </c>
      <c r="F248" s="3">
        <f>IFERROR(VLOOKUP(B248,'[1]new sheet'!$A$1:$IV$65536,4,FALSE),0)</f>
        <v>0</v>
      </c>
      <c r="G248" s="4">
        <f>IFERROR(VLOOKUP(B248,'[2]new sheet'!$A$1:$IV$65536,2,0),0)</f>
        <v>0</v>
      </c>
      <c r="H248" s="5">
        <f>IFERROR(VLOOKUP(B248,'[3]new sheet'!$A$1:$IV$65536,2,0),0)</f>
        <v>0</v>
      </c>
    </row>
    <row r="249" spans="1:8" ht="24" customHeight="1">
      <c r="A249" s="7">
        <v>3004240</v>
      </c>
      <c r="B249" s="7">
        <v>2402</v>
      </c>
      <c r="C249" s="8" t="s">
        <v>198</v>
      </c>
      <c r="D249" s="8" t="s">
        <v>1934</v>
      </c>
      <c r="E249" s="2">
        <f>IFERROR(VLOOKUP(B249,'[1]new sheet'!$A$1:$IV$65536,5,FALSE),0)</f>
        <v>0</v>
      </c>
      <c r="F249" s="3">
        <f>IFERROR(VLOOKUP(B249,'[1]new sheet'!$A$1:$IV$65536,4,FALSE),0)</f>
        <v>0</v>
      </c>
      <c r="G249" s="4">
        <f>IFERROR(VLOOKUP(B249,'[2]new sheet'!$A$1:$IV$65536,2,0),0)</f>
        <v>0</v>
      </c>
      <c r="H249" s="5">
        <f>IFERROR(VLOOKUP(B249,'[3]new sheet'!$A$1:$IV$65536,2,0),0)</f>
        <v>0</v>
      </c>
    </row>
    <row r="250" spans="1:8" ht="24" customHeight="1">
      <c r="A250" s="7"/>
      <c r="B250" s="7">
        <v>782</v>
      </c>
      <c r="C250" s="8" t="s">
        <v>199</v>
      </c>
      <c r="D250" s="8" t="s">
        <v>1934</v>
      </c>
      <c r="E250" s="2">
        <f>IFERROR(VLOOKUP(B250,'[1]new sheet'!$A$1:$IV$65536,5,FALSE),0)</f>
        <v>0</v>
      </c>
      <c r="F250" s="3">
        <f>IFERROR(VLOOKUP(B250,'[1]new sheet'!$A$1:$IV$65536,4,FALSE),0)</f>
        <v>0</v>
      </c>
      <c r="G250" s="4">
        <f>IFERROR(VLOOKUP(B250,'[2]new sheet'!$A$1:$IV$65536,2,0),0)</f>
        <v>0</v>
      </c>
      <c r="H250" s="5">
        <f>IFERROR(VLOOKUP(B250,'[3]new sheet'!$A$1:$IV$65536,2,0),0)</f>
        <v>0</v>
      </c>
    </row>
    <row r="251" spans="1:8" ht="24" customHeight="1">
      <c r="A251" s="7">
        <v>3004019</v>
      </c>
      <c r="B251" s="7">
        <v>2329</v>
      </c>
      <c r="C251" s="8" t="s">
        <v>200</v>
      </c>
      <c r="D251" s="8" t="s">
        <v>1934</v>
      </c>
      <c r="E251" s="2">
        <f>IFERROR(VLOOKUP(B251,'[1]new sheet'!$A$1:$IV$65536,5,FALSE),0)</f>
        <v>524</v>
      </c>
      <c r="F251" s="3">
        <f>IFERROR(VLOOKUP(B251,'[1]new sheet'!$A$1:$IV$65536,4,FALSE),0)</f>
        <v>15</v>
      </c>
      <c r="G251" s="4">
        <f>IFERROR(VLOOKUP(B251,'[2]new sheet'!$A$1:$IV$65536,2,0),0)</f>
        <v>97</v>
      </c>
      <c r="H251" s="5">
        <f>IFERROR(VLOOKUP(B251,'[3]new sheet'!$A$1:$IV$65536,2,0),0)</f>
        <v>86</v>
      </c>
    </row>
    <row r="252" spans="1:8" ht="24" customHeight="1">
      <c r="A252" s="7">
        <v>90127</v>
      </c>
      <c r="B252" s="7">
        <v>461</v>
      </c>
      <c r="C252" s="8" t="s">
        <v>201</v>
      </c>
      <c r="D252" s="8" t="s">
        <v>1934</v>
      </c>
      <c r="E252" s="2">
        <f>IFERROR(VLOOKUP(B252,'[1]new sheet'!$A$1:$IV$65536,5,FALSE),0)</f>
        <v>338</v>
      </c>
      <c r="F252" s="3">
        <f>IFERROR(VLOOKUP(B252,'[1]new sheet'!$A$1:$IV$65536,4,FALSE),0)</f>
        <v>18</v>
      </c>
      <c r="G252" s="4">
        <f>IFERROR(VLOOKUP(B252,'[2]new sheet'!$A$1:$IV$65536,2,0),0)</f>
        <v>217</v>
      </c>
      <c r="H252" s="5">
        <f>IFERROR(VLOOKUP(B252,'[3]new sheet'!$A$1:$IV$65536,2,0),0)</f>
        <v>205</v>
      </c>
    </row>
    <row r="253" spans="1:8" ht="24" customHeight="1">
      <c r="A253" s="7">
        <v>10928</v>
      </c>
      <c r="B253" s="7">
        <v>203</v>
      </c>
      <c r="C253" s="8" t="s">
        <v>202</v>
      </c>
      <c r="D253" s="8" t="s">
        <v>1934</v>
      </c>
      <c r="E253" s="2">
        <f>IFERROR(VLOOKUP(B253,'[1]new sheet'!$A$1:$IV$65536,5,FALSE),0)</f>
        <v>282</v>
      </c>
      <c r="F253" s="3">
        <f>IFERROR(VLOOKUP(B253,'[1]new sheet'!$A$1:$IV$65536,4,FALSE),0)</f>
        <v>8</v>
      </c>
      <c r="G253" s="4">
        <f>IFERROR(VLOOKUP(B253,'[2]new sheet'!$A$1:$IV$65536,2,0),0)</f>
        <v>442</v>
      </c>
      <c r="H253" s="5">
        <f>IFERROR(VLOOKUP(B253,'[3]new sheet'!$A$1:$IV$65536,2,0),0)</f>
        <v>126</v>
      </c>
    </row>
    <row r="254" spans="1:8" ht="24" customHeight="1">
      <c r="A254" s="7">
        <v>881</v>
      </c>
      <c r="B254" s="7">
        <v>202</v>
      </c>
      <c r="C254" s="8" t="s">
        <v>203</v>
      </c>
      <c r="D254" s="8" t="s">
        <v>1934</v>
      </c>
      <c r="E254" s="2">
        <f>IFERROR(VLOOKUP(B254,'[1]new sheet'!$A$1:$IV$65536,5,FALSE),0)</f>
        <v>0</v>
      </c>
      <c r="F254" s="3">
        <f>IFERROR(VLOOKUP(B254,'[1]new sheet'!$A$1:$IV$65536,4,FALSE),0)</f>
        <v>0</v>
      </c>
      <c r="G254" s="4">
        <f>IFERROR(VLOOKUP(B254,'[2]new sheet'!$A$1:$IV$65536,2,0),0)</f>
        <v>1432</v>
      </c>
      <c r="H254" s="5">
        <f>IFERROR(VLOOKUP(B254,'[3]new sheet'!$A$1:$IV$65536,2,0),0)</f>
        <v>175</v>
      </c>
    </row>
    <row r="255" spans="1:8" ht="24" customHeight="1">
      <c r="A255" s="7">
        <v>577936</v>
      </c>
      <c r="B255" s="7">
        <v>466</v>
      </c>
      <c r="C255" s="8" t="s">
        <v>204</v>
      </c>
      <c r="D255" s="8" t="s">
        <v>1934</v>
      </c>
      <c r="E255" s="2">
        <f>IFERROR(VLOOKUP(B255,'[1]new sheet'!$A$1:$IV$65536,5,FALSE),0)</f>
        <v>31</v>
      </c>
      <c r="F255" s="3">
        <f>IFERROR(VLOOKUP(B255,'[1]new sheet'!$A$1:$IV$65536,4,FALSE),0)</f>
        <v>0</v>
      </c>
      <c r="G255" s="4">
        <f>IFERROR(VLOOKUP(B255,'[2]new sheet'!$A$1:$IV$65536,2,0),0)</f>
        <v>6</v>
      </c>
      <c r="H255" s="5">
        <f>IFERROR(VLOOKUP(B255,'[3]new sheet'!$A$1:$IV$65536,2,0),0)</f>
        <v>1</v>
      </c>
    </row>
    <row r="256" spans="1:8" ht="24" customHeight="1">
      <c r="A256" s="7">
        <v>2723</v>
      </c>
      <c r="B256" s="7">
        <v>1469</v>
      </c>
      <c r="C256" s="8" t="s">
        <v>205</v>
      </c>
      <c r="D256" s="8" t="s">
        <v>1934</v>
      </c>
      <c r="E256" s="2">
        <f>IFERROR(VLOOKUP(B256,'[1]new sheet'!$A$1:$IV$65536,5,FALSE),0)</f>
        <v>0</v>
      </c>
      <c r="F256" s="3">
        <f>IFERROR(VLOOKUP(B256,'[1]new sheet'!$A$1:$IV$65536,4,FALSE),0)</f>
        <v>0</v>
      </c>
      <c r="G256" s="4">
        <f>IFERROR(VLOOKUP(B256,'[2]new sheet'!$A$1:$IV$65536,2,0),0)</f>
        <v>0</v>
      </c>
      <c r="H256" s="5">
        <f>IFERROR(VLOOKUP(B256,'[3]new sheet'!$A$1:$IV$65536,2,0),0)</f>
        <v>0</v>
      </c>
    </row>
    <row r="257" spans="1:8" ht="24" customHeight="1">
      <c r="A257" s="7">
        <v>574104</v>
      </c>
      <c r="B257" s="7">
        <v>1347</v>
      </c>
      <c r="C257" s="8" t="s">
        <v>206</v>
      </c>
      <c r="D257" s="8" t="s">
        <v>1934</v>
      </c>
      <c r="E257" s="2">
        <f>IFERROR(VLOOKUP(B257,'[1]new sheet'!$A$1:$IV$65536,5,FALSE),0)</f>
        <v>16</v>
      </c>
      <c r="F257" s="3">
        <f>IFERROR(VLOOKUP(B257,'[1]new sheet'!$A$1:$IV$65536,4,FALSE),0)</f>
        <v>0</v>
      </c>
      <c r="G257" s="4">
        <f>IFERROR(VLOOKUP(B257,'[2]new sheet'!$A$1:$IV$65536,2,0),0)</f>
        <v>4</v>
      </c>
      <c r="H257" s="5">
        <f>IFERROR(VLOOKUP(B257,'[3]new sheet'!$A$1:$IV$65536,2,0),0)</f>
        <v>3</v>
      </c>
    </row>
    <row r="258" spans="1:8" ht="24" customHeight="1">
      <c r="A258" s="7">
        <v>574104</v>
      </c>
      <c r="B258" s="7">
        <v>467</v>
      </c>
      <c r="C258" s="8" t="s">
        <v>207</v>
      </c>
      <c r="D258" s="8" t="s">
        <v>1934</v>
      </c>
      <c r="E258" s="2">
        <f>IFERROR(VLOOKUP(B258,'[1]new sheet'!$A$1:$IV$65536,5,FALSE),0)</f>
        <v>0</v>
      </c>
      <c r="F258" s="3">
        <f>IFERROR(VLOOKUP(B258,'[1]new sheet'!$A$1:$IV$65536,4,FALSE),0)</f>
        <v>0</v>
      </c>
      <c r="G258" s="4">
        <f>IFERROR(VLOOKUP(B258,'[2]new sheet'!$A$1:$IV$65536,2,0),0)</f>
        <v>0</v>
      </c>
      <c r="H258" s="5">
        <f>IFERROR(VLOOKUP(B258,'[3]new sheet'!$A$1:$IV$65536,2,0),0)</f>
        <v>0</v>
      </c>
    </row>
    <row r="259" spans="1:8" ht="24" customHeight="1">
      <c r="A259" s="7">
        <v>827134</v>
      </c>
      <c r="B259" s="7">
        <v>783</v>
      </c>
      <c r="C259" s="8" t="s">
        <v>208</v>
      </c>
      <c r="D259" s="8" t="s">
        <v>1934</v>
      </c>
      <c r="E259" s="2">
        <f>IFERROR(VLOOKUP(B259,'[1]new sheet'!$A$1:$IV$65536,5,FALSE),0)</f>
        <v>26</v>
      </c>
      <c r="F259" s="3">
        <f>IFERROR(VLOOKUP(B259,'[1]new sheet'!$A$1:$IV$65536,4,FALSE),0)</f>
        <v>0</v>
      </c>
      <c r="G259" s="4">
        <f>IFERROR(VLOOKUP(B259,'[2]new sheet'!$A$1:$IV$65536,2,0),0)</f>
        <v>10</v>
      </c>
      <c r="H259" s="5">
        <f>IFERROR(VLOOKUP(B259,'[3]new sheet'!$A$1:$IV$65536,2,0),0)</f>
        <v>3</v>
      </c>
    </row>
    <row r="260" spans="1:8" ht="24" customHeight="1">
      <c r="A260" s="7">
        <v>216699</v>
      </c>
      <c r="B260" s="7">
        <v>468</v>
      </c>
      <c r="C260" s="8" t="s">
        <v>209</v>
      </c>
      <c r="D260" s="8" t="s">
        <v>1934</v>
      </c>
      <c r="E260" s="2">
        <f>IFERROR(VLOOKUP(B260,'[1]new sheet'!$A$1:$IV$65536,5,FALSE),0)</f>
        <v>0</v>
      </c>
      <c r="F260" s="3">
        <f>IFERROR(VLOOKUP(B260,'[1]new sheet'!$A$1:$IV$65536,4,FALSE),0)</f>
        <v>0</v>
      </c>
      <c r="G260" s="4">
        <f>IFERROR(VLOOKUP(B260,'[2]new sheet'!$A$1:$IV$65536,2,0),0)</f>
        <v>0</v>
      </c>
      <c r="H260" s="5">
        <f>IFERROR(VLOOKUP(B260,'[3]new sheet'!$A$1:$IV$65536,2,0),0)</f>
        <v>0</v>
      </c>
    </row>
    <row r="261" spans="1:8" ht="24" customHeight="1">
      <c r="A261" s="7">
        <v>1931</v>
      </c>
      <c r="B261" s="7">
        <v>2216</v>
      </c>
      <c r="C261" s="8" t="s">
        <v>210</v>
      </c>
      <c r="D261" s="8" t="s">
        <v>1937</v>
      </c>
      <c r="E261" s="2">
        <f>IFERROR(VLOOKUP(B261,'[1]new sheet'!$A$1:$IV$65536,5,FALSE),0)</f>
        <v>0</v>
      </c>
      <c r="F261" s="3">
        <f>IFERROR(VLOOKUP(B261,'[1]new sheet'!$A$1:$IV$65536,4,FALSE),0)</f>
        <v>0</v>
      </c>
      <c r="G261" s="4">
        <f>IFERROR(VLOOKUP(B261,'[2]new sheet'!$A$1:$IV$65536,2,0),0)</f>
        <v>0</v>
      </c>
      <c r="H261" s="5">
        <f>IFERROR(VLOOKUP(B261,'[3]new sheet'!$A$1:$IV$65536,2,0),0)</f>
        <v>0</v>
      </c>
    </row>
    <row r="262" spans="1:8" ht="24" customHeight="1">
      <c r="A262" s="7">
        <v>1811</v>
      </c>
      <c r="B262" s="7">
        <v>1002</v>
      </c>
      <c r="C262" s="8" t="s">
        <v>211</v>
      </c>
      <c r="D262" s="8" t="s">
        <v>1934</v>
      </c>
      <c r="E262" s="2">
        <f>IFERROR(VLOOKUP(B262,'[1]new sheet'!$A$1:$IV$65536,5,FALSE),0)</f>
        <v>0</v>
      </c>
      <c r="F262" s="3">
        <f>IFERROR(VLOOKUP(B262,'[1]new sheet'!$A$1:$IV$65536,4,FALSE),0)</f>
        <v>0</v>
      </c>
      <c r="G262" s="4">
        <f>IFERROR(VLOOKUP(B262,'[2]new sheet'!$A$1:$IV$65536,2,0),0)</f>
        <v>0</v>
      </c>
      <c r="H262" s="5">
        <f>IFERROR(VLOOKUP(B262,'[3]new sheet'!$A$1:$IV$65536,2,0),0)</f>
        <v>0</v>
      </c>
    </row>
    <row r="263" spans="1:8" ht="24" customHeight="1">
      <c r="A263" s="7">
        <v>1930</v>
      </c>
      <c r="B263" s="7">
        <v>2217</v>
      </c>
      <c r="C263" s="8" t="s">
        <v>212</v>
      </c>
      <c r="D263" s="8" t="s">
        <v>1937</v>
      </c>
      <c r="E263" s="2">
        <f>IFERROR(VLOOKUP(B263,'[1]new sheet'!$A$1:$IV$65536,5,FALSE),0)</f>
        <v>0</v>
      </c>
      <c r="F263" s="3">
        <f>IFERROR(VLOOKUP(B263,'[1]new sheet'!$A$1:$IV$65536,4,FALSE),0)</f>
        <v>0</v>
      </c>
      <c r="G263" s="4">
        <f>IFERROR(VLOOKUP(B263,'[2]new sheet'!$A$1:$IV$65536,2,0),0)</f>
        <v>0</v>
      </c>
      <c r="H263" s="5">
        <f>IFERROR(VLOOKUP(B263,'[3]new sheet'!$A$1:$IV$65536,2,0),0)</f>
        <v>0</v>
      </c>
    </row>
    <row r="264" spans="1:8" ht="24" customHeight="1">
      <c r="A264" s="7">
        <v>1813</v>
      </c>
      <c r="B264" s="7">
        <v>1001</v>
      </c>
      <c r="C264" s="8" t="s">
        <v>213</v>
      </c>
      <c r="D264" s="8" t="s">
        <v>1934</v>
      </c>
      <c r="E264" s="2">
        <f>IFERROR(VLOOKUP(B264,'[1]new sheet'!$A$1:$IV$65536,5,FALSE),0)</f>
        <v>0</v>
      </c>
      <c r="F264" s="3">
        <f>IFERROR(VLOOKUP(B264,'[1]new sheet'!$A$1:$IV$65536,4,FALSE),0)</f>
        <v>0</v>
      </c>
      <c r="G264" s="4">
        <f>IFERROR(VLOOKUP(B264,'[2]new sheet'!$A$1:$IV$65536,2,0),0)</f>
        <v>0</v>
      </c>
      <c r="H264" s="5">
        <f>IFERROR(VLOOKUP(B264,'[3]new sheet'!$A$1:$IV$65536,2,0),0)</f>
        <v>0</v>
      </c>
    </row>
    <row r="265" spans="1:8" ht="24" customHeight="1">
      <c r="A265" s="7">
        <v>4</v>
      </c>
      <c r="B265" s="7">
        <v>196</v>
      </c>
      <c r="C265" s="8" t="s">
        <v>214</v>
      </c>
      <c r="D265" s="8" t="s">
        <v>1937</v>
      </c>
      <c r="E265" s="2">
        <f>IFERROR(VLOOKUP(B265,'[1]new sheet'!$A$1:$IV$65536,5,FALSE),0)</f>
        <v>0</v>
      </c>
      <c r="F265" s="3">
        <f>IFERROR(VLOOKUP(B265,'[1]new sheet'!$A$1:$IV$65536,4,FALSE),0)</f>
        <v>0</v>
      </c>
      <c r="G265" s="4">
        <f>IFERROR(VLOOKUP(B265,'[2]new sheet'!$A$1:$IV$65536,2,0),0)</f>
        <v>593</v>
      </c>
      <c r="H265" s="5">
        <f>IFERROR(VLOOKUP(B265,'[3]new sheet'!$A$1:$IV$65536,2,0),0)</f>
        <v>0</v>
      </c>
    </row>
    <row r="266" spans="1:8" ht="24" customHeight="1">
      <c r="A266" s="7">
        <v>3</v>
      </c>
      <c r="B266" s="7">
        <v>197</v>
      </c>
      <c r="C266" s="8" t="s">
        <v>215</v>
      </c>
      <c r="D266" s="8" t="s">
        <v>1937</v>
      </c>
      <c r="E266" s="2">
        <f>IFERROR(VLOOKUP(B266,'[1]new sheet'!$A$1:$IV$65536,5,FALSE),0)</f>
        <v>0</v>
      </c>
      <c r="F266" s="3">
        <f>IFERROR(VLOOKUP(B266,'[1]new sheet'!$A$1:$IV$65536,4,FALSE),0)</f>
        <v>0</v>
      </c>
      <c r="G266" s="4">
        <f>IFERROR(VLOOKUP(B266,'[2]new sheet'!$A$1:$IV$65536,2,0),0)</f>
        <v>3214</v>
      </c>
      <c r="H266" s="5">
        <f>IFERROR(VLOOKUP(B266,'[3]new sheet'!$A$1:$IV$65536,2,0),0)</f>
        <v>156</v>
      </c>
    </row>
    <row r="267" spans="1:8" ht="24" customHeight="1">
      <c r="A267" s="7">
        <v>801</v>
      </c>
      <c r="B267" s="7">
        <v>3818</v>
      </c>
      <c r="C267" s="8" t="s">
        <v>1545</v>
      </c>
      <c r="D267" s="8" t="s">
        <v>1938</v>
      </c>
      <c r="E267" s="2">
        <f>IFERROR(VLOOKUP(B267,'[1]new sheet'!$A$1:$IV$65536,5,FALSE),0)</f>
        <v>0</v>
      </c>
      <c r="F267" s="3">
        <f>IFERROR(VLOOKUP(B267,'[1]new sheet'!$A$1:$IV$65536,4,FALSE),0)</f>
        <v>0</v>
      </c>
      <c r="G267" s="4">
        <f>IFERROR(VLOOKUP(B267,'[2]new sheet'!$A$1:$IV$65536,2,0),0)</f>
        <v>0</v>
      </c>
      <c r="H267" s="5">
        <f>IFERROR(VLOOKUP(B267,'[3]new sheet'!$A$1:$IV$65536,2,0),0)</f>
        <v>0</v>
      </c>
    </row>
    <row r="268" spans="1:8" ht="24" customHeight="1">
      <c r="A268" s="7">
        <v>227</v>
      </c>
      <c r="B268" s="7">
        <v>198</v>
      </c>
      <c r="C268" s="8" t="s">
        <v>216</v>
      </c>
      <c r="D268" s="8" t="s">
        <v>1937</v>
      </c>
      <c r="E268" s="2">
        <f>IFERROR(VLOOKUP(B268,'[1]new sheet'!$A$1:$IV$65536,5,FALSE),0)</f>
        <v>0</v>
      </c>
      <c r="F268" s="3">
        <f>IFERROR(VLOOKUP(B268,'[1]new sheet'!$A$1:$IV$65536,4,FALSE),0)</f>
        <v>0</v>
      </c>
      <c r="G268" s="4">
        <f>IFERROR(VLOOKUP(B268,'[2]new sheet'!$A$1:$IV$65536,2,0),0)</f>
        <v>0</v>
      </c>
      <c r="H268" s="5">
        <f>IFERROR(VLOOKUP(B268,'[3]new sheet'!$A$1:$IV$65536,2,0),0)</f>
        <v>0</v>
      </c>
    </row>
    <row r="269" spans="1:8" ht="24" customHeight="1">
      <c r="A269" s="7">
        <v>110</v>
      </c>
      <c r="B269" s="7">
        <v>195</v>
      </c>
      <c r="C269" s="8" t="s">
        <v>217</v>
      </c>
      <c r="D269" s="8" t="s">
        <v>1937</v>
      </c>
      <c r="E269" s="2">
        <f>IFERROR(VLOOKUP(B269,'[1]new sheet'!$A$1:$IV$65536,5,FALSE),0)</f>
        <v>0</v>
      </c>
      <c r="F269" s="3">
        <f>IFERROR(VLOOKUP(B269,'[1]new sheet'!$A$1:$IV$65536,4,FALSE),0)</f>
        <v>0</v>
      </c>
      <c r="G269" s="4">
        <f>IFERROR(VLOOKUP(B269,'[2]new sheet'!$A$1:$IV$65536,2,0),0)</f>
        <v>3288</v>
      </c>
      <c r="H269" s="5">
        <f>IFERROR(VLOOKUP(B269,'[3]new sheet'!$A$1:$IV$65536,2,0),0)</f>
        <v>0</v>
      </c>
    </row>
    <row r="270" spans="1:8" ht="24" customHeight="1">
      <c r="A270" s="7">
        <v>5093</v>
      </c>
      <c r="B270" s="7">
        <v>3321</v>
      </c>
      <c r="C270" s="8" t="s">
        <v>1546</v>
      </c>
      <c r="D270" s="8" t="s">
        <v>1937</v>
      </c>
      <c r="E270" s="2">
        <f>IFERROR(VLOOKUP(B270,'[1]new sheet'!$A$1:$IV$65536,5,FALSE),0)</f>
        <v>0</v>
      </c>
      <c r="F270" s="3">
        <f>IFERROR(VLOOKUP(B270,'[1]new sheet'!$A$1:$IV$65536,4,FALSE),0)</f>
        <v>0</v>
      </c>
      <c r="G270" s="4">
        <f>IFERROR(VLOOKUP(B270,'[2]new sheet'!$A$1:$IV$65536,2,0),0)</f>
        <v>1189</v>
      </c>
      <c r="H270" s="5">
        <f>IFERROR(VLOOKUP(B270,'[3]new sheet'!$A$1:$IV$65536,2,0),0)</f>
        <v>0</v>
      </c>
    </row>
    <row r="271" spans="1:8" ht="24" customHeight="1">
      <c r="A271" s="7">
        <v>3198</v>
      </c>
      <c r="B271" s="7">
        <v>3939</v>
      </c>
      <c r="C271" s="8" t="s">
        <v>1622</v>
      </c>
      <c r="D271" s="8" t="s">
        <v>1937</v>
      </c>
      <c r="E271" s="2">
        <f>IFERROR(VLOOKUP(B271,'[1]new sheet'!$A$1:$IV$65536,5,FALSE),0)</f>
        <v>0</v>
      </c>
      <c r="F271" s="3">
        <f>IFERROR(VLOOKUP(B271,'[1]new sheet'!$A$1:$IV$65536,4,FALSE),0)</f>
        <v>0</v>
      </c>
      <c r="G271" s="4">
        <f>IFERROR(VLOOKUP(B271,'[2]new sheet'!$A$1:$IV$65536,2,0),0)</f>
        <v>0</v>
      </c>
      <c r="H271" s="5">
        <f>IFERROR(VLOOKUP(B271,'[3]new sheet'!$A$1:$IV$65536,2,0),0)</f>
        <v>0</v>
      </c>
    </row>
    <row r="272" spans="1:8" ht="24" customHeight="1">
      <c r="A272" s="7">
        <v>0</v>
      </c>
      <c r="B272" s="7">
        <v>206</v>
      </c>
      <c r="C272" s="8" t="s">
        <v>218</v>
      </c>
      <c r="D272" s="8" t="s">
        <v>1937</v>
      </c>
      <c r="E272" s="2">
        <f>IFERROR(VLOOKUP(B272,'[1]new sheet'!$A$1:$IV$65536,5,FALSE),0)</f>
        <v>1398</v>
      </c>
      <c r="F272" s="3">
        <f>IFERROR(VLOOKUP(B272,'[1]new sheet'!$A$1:$IV$65536,4,FALSE),0)</f>
        <v>284</v>
      </c>
      <c r="G272" s="4">
        <f>IFERROR(VLOOKUP(B272,'[2]new sheet'!$A$1:$IV$65536,2,0),0)</f>
        <v>1209</v>
      </c>
      <c r="H272" s="5">
        <f>IFERROR(VLOOKUP(B272,'[3]new sheet'!$A$1:$IV$65536,2,0),0)</f>
        <v>1527</v>
      </c>
    </row>
    <row r="273" spans="1:8" ht="24" customHeight="1">
      <c r="A273" s="7">
        <v>631</v>
      </c>
      <c r="B273" s="7">
        <v>4004</v>
      </c>
      <c r="C273" s="8" t="s">
        <v>219</v>
      </c>
      <c r="D273" s="8" t="s">
        <v>1938</v>
      </c>
      <c r="E273" s="2">
        <f>IFERROR(VLOOKUP(B273,'[1]new sheet'!$A$1:$IV$65536,5,FALSE),0)</f>
        <v>0</v>
      </c>
      <c r="F273" s="3">
        <f>IFERROR(VLOOKUP(B273,'[1]new sheet'!$A$1:$IV$65536,4,FALSE),0)</f>
        <v>0</v>
      </c>
      <c r="G273" s="4">
        <f>IFERROR(VLOOKUP(B273,'[2]new sheet'!$A$1:$IV$65536,2,0),0)</f>
        <v>0</v>
      </c>
      <c r="H273" s="5">
        <f>IFERROR(VLOOKUP(B273,'[3]new sheet'!$A$1:$IV$65536,2,0),0)</f>
        <v>0</v>
      </c>
    </row>
    <row r="274" spans="1:8" ht="24" customHeight="1">
      <c r="A274" s="7"/>
      <c r="B274" s="7">
        <v>200</v>
      </c>
      <c r="C274" s="8" t="s">
        <v>220</v>
      </c>
      <c r="D274" s="8" t="s">
        <v>1937</v>
      </c>
      <c r="E274" s="2">
        <f>IFERROR(VLOOKUP(B274,'[1]new sheet'!$A$1:$IV$65536,5,FALSE),0)</f>
        <v>0</v>
      </c>
      <c r="F274" s="3">
        <f>IFERROR(VLOOKUP(B274,'[1]new sheet'!$A$1:$IV$65536,4,FALSE),0)</f>
        <v>0</v>
      </c>
      <c r="G274" s="4">
        <f>IFERROR(VLOOKUP(B274,'[2]new sheet'!$A$1:$IV$65536,2,0),0)</f>
        <v>975</v>
      </c>
      <c r="H274" s="5">
        <f>IFERROR(VLOOKUP(B274,'[3]new sheet'!$A$1:$IV$65536,2,0),0)</f>
        <v>461</v>
      </c>
    </row>
    <row r="275" spans="1:8" ht="24" customHeight="1">
      <c r="A275" s="7">
        <v>120001</v>
      </c>
      <c r="B275" s="7">
        <v>4157</v>
      </c>
      <c r="C275" s="8" t="s">
        <v>1761</v>
      </c>
      <c r="D275" s="8" t="s">
        <v>1937</v>
      </c>
      <c r="E275" s="2">
        <f>IFERROR(VLOOKUP(B275,'[1]new sheet'!$A$1:$IV$65536,5,FALSE),0)</f>
        <v>0</v>
      </c>
      <c r="F275" s="3">
        <f>IFERROR(VLOOKUP(B275,'[1]new sheet'!$A$1:$IV$65536,4,FALSE),0)</f>
        <v>0</v>
      </c>
      <c r="G275" s="4">
        <f>IFERROR(VLOOKUP(B275,'[2]new sheet'!$A$1:$IV$65536,2,0),0)</f>
        <v>0</v>
      </c>
      <c r="H275" s="5">
        <f>IFERROR(VLOOKUP(B275,'[3]new sheet'!$A$1:$IV$65536,2,0),0)</f>
        <v>0</v>
      </c>
    </row>
    <row r="276" spans="1:8" ht="24" customHeight="1">
      <c r="A276" s="7">
        <v>120002</v>
      </c>
      <c r="B276" s="7">
        <v>4158</v>
      </c>
      <c r="C276" s="8" t="s">
        <v>1762</v>
      </c>
      <c r="D276" s="8" t="s">
        <v>1937</v>
      </c>
      <c r="E276" s="2">
        <f>IFERROR(VLOOKUP(B276,'[1]new sheet'!$A$1:$IV$65536,5,FALSE),0)</f>
        <v>0</v>
      </c>
      <c r="F276" s="3">
        <f>IFERROR(VLOOKUP(B276,'[1]new sheet'!$A$1:$IV$65536,4,FALSE),0)</f>
        <v>0</v>
      </c>
      <c r="G276" s="4">
        <f>IFERROR(VLOOKUP(B276,'[2]new sheet'!$A$1:$IV$65536,2,0),0)</f>
        <v>0</v>
      </c>
      <c r="H276" s="5">
        <f>IFERROR(VLOOKUP(B276,'[3]new sheet'!$A$1:$IV$65536,2,0),0)</f>
        <v>0</v>
      </c>
    </row>
    <row r="277" spans="1:8" ht="24" customHeight="1">
      <c r="A277" s="7">
        <v>2</v>
      </c>
      <c r="B277" s="7">
        <v>918</v>
      </c>
      <c r="C277" s="8" t="s">
        <v>221</v>
      </c>
      <c r="D277" s="8" t="s">
        <v>1937</v>
      </c>
      <c r="E277" s="2">
        <f>IFERROR(VLOOKUP(B277,'[1]new sheet'!$A$1:$IV$65536,5,FALSE),0)</f>
        <v>0</v>
      </c>
      <c r="F277" s="3">
        <f>IFERROR(VLOOKUP(B277,'[1]new sheet'!$A$1:$IV$65536,4,FALSE),0)</f>
        <v>0</v>
      </c>
      <c r="G277" s="4">
        <f>IFERROR(VLOOKUP(B277,'[2]new sheet'!$A$1:$IV$65536,2,0),0)</f>
        <v>444</v>
      </c>
      <c r="H277" s="5">
        <f>IFERROR(VLOOKUP(B277,'[3]new sheet'!$A$1:$IV$65536,2,0),0)</f>
        <v>0</v>
      </c>
    </row>
    <row r="278" spans="1:8" ht="24" customHeight="1">
      <c r="A278" s="7">
        <v>801</v>
      </c>
      <c r="B278" s="7">
        <v>199</v>
      </c>
      <c r="C278" s="8" t="s">
        <v>222</v>
      </c>
      <c r="D278" s="8" t="s">
        <v>1938</v>
      </c>
      <c r="E278" s="2">
        <f>IFERROR(VLOOKUP(B278,'[1]new sheet'!$A$1:$IV$65536,5,FALSE),0)</f>
        <v>0</v>
      </c>
      <c r="F278" s="3">
        <f>IFERROR(VLOOKUP(B278,'[1]new sheet'!$A$1:$IV$65536,4,FALSE),0)</f>
        <v>0</v>
      </c>
      <c r="G278" s="4">
        <f>IFERROR(VLOOKUP(B278,'[2]new sheet'!$A$1:$IV$65536,2,0),0)</f>
        <v>102</v>
      </c>
      <c r="H278" s="5">
        <f>IFERROR(VLOOKUP(B278,'[3]new sheet'!$A$1:$IV$65536,2,0),0)</f>
        <v>0</v>
      </c>
    </row>
    <row r="279" spans="1:8" ht="24" customHeight="1">
      <c r="A279" s="7"/>
      <c r="B279" s="7">
        <v>2089</v>
      </c>
      <c r="C279" s="8" t="s">
        <v>223</v>
      </c>
      <c r="D279" s="8" t="s">
        <v>1937</v>
      </c>
      <c r="E279" s="2">
        <f>IFERROR(VLOOKUP(B279,'[1]new sheet'!$A$1:$IV$65536,5,FALSE),0)</f>
        <v>0</v>
      </c>
      <c r="F279" s="3">
        <f>IFERROR(VLOOKUP(B279,'[1]new sheet'!$A$1:$IV$65536,4,FALSE),0)</f>
        <v>1</v>
      </c>
      <c r="G279" s="4">
        <f>IFERROR(VLOOKUP(B279,'[2]new sheet'!$A$1:$IV$65536,2,0),0)</f>
        <v>22</v>
      </c>
      <c r="H279" s="5">
        <f>IFERROR(VLOOKUP(B279,'[3]new sheet'!$A$1:$IV$65536,2,0),0)</f>
        <v>8</v>
      </c>
    </row>
    <row r="280" spans="1:8" ht="24" customHeight="1">
      <c r="A280" s="7">
        <v>254</v>
      </c>
      <c r="B280" s="7">
        <v>201</v>
      </c>
      <c r="C280" s="8" t="s">
        <v>1735</v>
      </c>
      <c r="D280" s="8" t="s">
        <v>1937</v>
      </c>
      <c r="E280" s="2">
        <f>IFERROR(VLOOKUP(B280,'[1]new sheet'!$A$1:$IV$65536,5,FALSE),0)</f>
        <v>0</v>
      </c>
      <c r="F280" s="3">
        <f>IFERROR(VLOOKUP(B280,'[1]new sheet'!$A$1:$IV$65536,4,FALSE),0)</f>
        <v>0</v>
      </c>
      <c r="G280" s="4">
        <f>IFERROR(VLOOKUP(B280,'[2]new sheet'!$A$1:$IV$65536,2,0),0)</f>
        <v>140</v>
      </c>
      <c r="H280" s="5">
        <f>IFERROR(VLOOKUP(B280,'[3]new sheet'!$A$1:$IV$65536,2,0),0)</f>
        <v>0</v>
      </c>
    </row>
    <row r="281" spans="1:8" ht="24" customHeight="1">
      <c r="A281" s="7">
        <v>634</v>
      </c>
      <c r="B281" s="7">
        <v>457</v>
      </c>
      <c r="C281" s="8" t="s">
        <v>1736</v>
      </c>
      <c r="D281" s="8" t="s">
        <v>1937</v>
      </c>
      <c r="E281" s="2">
        <f>IFERROR(VLOOKUP(B281,'[1]new sheet'!$A$1:$IV$65536,5,FALSE),0)</f>
        <v>0</v>
      </c>
      <c r="F281" s="3">
        <f>IFERROR(VLOOKUP(B281,'[1]new sheet'!$A$1:$IV$65536,4,FALSE),0)</f>
        <v>0</v>
      </c>
      <c r="G281" s="4">
        <f>IFERROR(VLOOKUP(B281,'[2]new sheet'!$A$1:$IV$65536,2,0),0)</f>
        <v>833</v>
      </c>
      <c r="H281" s="5">
        <f>IFERROR(VLOOKUP(B281,'[3]new sheet'!$A$1:$IV$65536,2,0),0)</f>
        <v>0</v>
      </c>
    </row>
    <row r="282" spans="1:8" ht="24" customHeight="1">
      <c r="A282" s="7">
        <v>3060</v>
      </c>
      <c r="B282" s="7">
        <v>3940</v>
      </c>
      <c r="C282" s="8" t="s">
        <v>1623</v>
      </c>
      <c r="D282" s="8" t="s">
        <v>1934</v>
      </c>
      <c r="E282" s="2">
        <f>IFERROR(VLOOKUP(B282,'[1]new sheet'!$A$1:$IV$65536,5,FALSE),0)</f>
        <v>0</v>
      </c>
      <c r="F282" s="3">
        <f>IFERROR(VLOOKUP(B282,'[1]new sheet'!$A$1:$IV$65536,4,FALSE),0)</f>
        <v>0</v>
      </c>
      <c r="G282" s="4">
        <f>IFERROR(VLOOKUP(B282,'[2]new sheet'!$A$1:$IV$65536,2,0),0)</f>
        <v>8</v>
      </c>
      <c r="H282" s="5">
        <f>IFERROR(VLOOKUP(B282,'[3]new sheet'!$A$1:$IV$65536,2,0),0)</f>
        <v>5</v>
      </c>
    </row>
    <row r="283" spans="1:8" ht="24" customHeight="1">
      <c r="A283" s="7">
        <v>15020025</v>
      </c>
      <c r="B283" s="7">
        <v>4086</v>
      </c>
      <c r="C283" s="8" t="s">
        <v>1830</v>
      </c>
      <c r="D283" s="8" t="s">
        <v>1934</v>
      </c>
      <c r="E283" s="2">
        <f>IFERROR(VLOOKUP(B283,'[1]new sheet'!$A$1:$IV$65536,5,FALSE),0)</f>
        <v>68</v>
      </c>
      <c r="F283" s="3">
        <f>IFERROR(VLOOKUP(B283,'[1]new sheet'!$A$1:$IV$65536,4,FALSE),0)</f>
        <v>0</v>
      </c>
      <c r="G283" s="4">
        <f>IFERROR(VLOOKUP(B283,'[2]new sheet'!$A$1:$IV$65536,2,0),0)</f>
        <v>71</v>
      </c>
      <c r="H283" s="5">
        <f>IFERROR(VLOOKUP(B283,'[3]new sheet'!$A$1:$IV$65536,2,0),0)</f>
        <v>26</v>
      </c>
    </row>
    <row r="284" spans="1:8" ht="24" customHeight="1">
      <c r="A284" s="7">
        <v>20040005</v>
      </c>
      <c r="B284" s="7">
        <v>2161</v>
      </c>
      <c r="C284" s="8" t="s">
        <v>224</v>
      </c>
      <c r="D284" s="8" t="s">
        <v>1934</v>
      </c>
      <c r="E284" s="2">
        <f>IFERROR(VLOOKUP(B284,'[1]new sheet'!$A$1:$IV$65536,5,FALSE),0)</f>
        <v>45</v>
      </c>
      <c r="F284" s="3">
        <f>IFERROR(VLOOKUP(B284,'[1]new sheet'!$A$1:$IV$65536,4,FALSE),0)</f>
        <v>1</v>
      </c>
      <c r="G284" s="4">
        <f>IFERROR(VLOOKUP(B284,'[2]new sheet'!$A$1:$IV$65536,2,0),0)</f>
        <v>53</v>
      </c>
      <c r="H284" s="5">
        <f>IFERROR(VLOOKUP(B284,'[3]new sheet'!$A$1:$IV$65536,2,0),0)</f>
        <v>12</v>
      </c>
    </row>
    <row r="285" spans="1:8" ht="24" customHeight="1">
      <c r="A285" s="7">
        <v>15020023</v>
      </c>
      <c r="B285" s="7">
        <v>4271</v>
      </c>
      <c r="C285" s="8" t="s">
        <v>1882</v>
      </c>
      <c r="D285" s="8" t="s">
        <v>1934</v>
      </c>
      <c r="E285" s="2">
        <f>IFERROR(VLOOKUP(B285,'[1]new sheet'!$A$1:$IV$65536,5,FALSE),0)</f>
        <v>116</v>
      </c>
      <c r="F285" s="3">
        <f>IFERROR(VLOOKUP(B285,'[1]new sheet'!$A$1:$IV$65536,4,FALSE),0)</f>
        <v>2</v>
      </c>
      <c r="G285" s="4">
        <f>IFERROR(VLOOKUP(B285,'[2]new sheet'!$A$1:$IV$65536,2,0),0)</f>
        <v>29</v>
      </c>
      <c r="H285" s="5">
        <f>IFERROR(VLOOKUP(B285,'[3]new sheet'!$A$1:$IV$65536,2,0),0)</f>
        <v>24</v>
      </c>
    </row>
    <row r="286" spans="1:8" ht="24" customHeight="1">
      <c r="A286" s="7">
        <v>15020007</v>
      </c>
      <c r="B286" s="7">
        <v>17</v>
      </c>
      <c r="C286" s="8" t="s">
        <v>225</v>
      </c>
      <c r="D286" s="8" t="s">
        <v>1934</v>
      </c>
      <c r="E286" s="2">
        <f>IFERROR(VLOOKUP(B286,'[1]new sheet'!$A$1:$IV$65536,5,FALSE),0)</f>
        <v>297</v>
      </c>
      <c r="F286" s="3">
        <f>IFERROR(VLOOKUP(B286,'[1]new sheet'!$A$1:$IV$65536,4,FALSE),0)</f>
        <v>9</v>
      </c>
      <c r="G286" s="4">
        <f>IFERROR(VLOOKUP(B286,'[2]new sheet'!$A$1:$IV$65536,2,0),0)</f>
        <v>309</v>
      </c>
      <c r="H286" s="5">
        <f>IFERROR(VLOOKUP(B286,'[3]new sheet'!$A$1:$IV$65536,2,0),0)</f>
        <v>103</v>
      </c>
    </row>
    <row r="287" spans="1:8" ht="24" customHeight="1">
      <c r="A287" s="7">
        <v>15020006</v>
      </c>
      <c r="B287" s="7">
        <v>15</v>
      </c>
      <c r="C287" s="8" t="s">
        <v>226</v>
      </c>
      <c r="D287" s="8" t="s">
        <v>1934</v>
      </c>
      <c r="E287" s="2">
        <f>IFERROR(VLOOKUP(B287,'[1]new sheet'!$A$1:$IV$65536,5,FALSE),0)</f>
        <v>0</v>
      </c>
      <c r="F287" s="3">
        <f>IFERROR(VLOOKUP(B287,'[1]new sheet'!$A$1:$IV$65536,4,FALSE),0)</f>
        <v>0</v>
      </c>
      <c r="G287" s="4">
        <f>IFERROR(VLOOKUP(B287,'[2]new sheet'!$A$1:$IV$65536,2,0),0)</f>
        <v>390</v>
      </c>
      <c r="H287" s="5">
        <f>IFERROR(VLOOKUP(B287,'[3]new sheet'!$A$1:$IV$65536,2,0),0)</f>
        <v>112</v>
      </c>
    </row>
    <row r="288" spans="1:8" ht="24" customHeight="1">
      <c r="A288" s="7">
        <v>807311910</v>
      </c>
      <c r="B288" s="7">
        <v>1971</v>
      </c>
      <c r="C288" s="8" t="s">
        <v>227</v>
      </c>
      <c r="D288" s="8" t="s">
        <v>1934</v>
      </c>
      <c r="E288" s="2">
        <f>IFERROR(VLOOKUP(B288,'[1]new sheet'!$A$1:$IV$65536,5,FALSE),0)</f>
        <v>0</v>
      </c>
      <c r="F288" s="3">
        <f>IFERROR(VLOOKUP(B288,'[1]new sheet'!$A$1:$IV$65536,4,FALSE),0)</f>
        <v>0</v>
      </c>
      <c r="G288" s="4">
        <f>IFERROR(VLOOKUP(B288,'[2]new sheet'!$A$1:$IV$65536,2,0),0)</f>
        <v>0</v>
      </c>
      <c r="H288" s="5">
        <f>IFERROR(VLOOKUP(B288,'[3]new sheet'!$A$1:$IV$65536,2,0),0)</f>
        <v>0</v>
      </c>
    </row>
    <row r="289" spans="1:8" ht="24" customHeight="1">
      <c r="A289" s="7">
        <v>807311911</v>
      </c>
      <c r="B289" s="7">
        <v>1973</v>
      </c>
      <c r="C289" s="8" t="s">
        <v>228</v>
      </c>
      <c r="D289" s="8" t="s">
        <v>1934</v>
      </c>
      <c r="E289" s="2">
        <f>IFERROR(VLOOKUP(B289,'[1]new sheet'!$A$1:$IV$65536,5,FALSE),0)</f>
        <v>0</v>
      </c>
      <c r="F289" s="3">
        <f>IFERROR(VLOOKUP(B289,'[1]new sheet'!$A$1:$IV$65536,4,FALSE),0)</f>
        <v>0</v>
      </c>
      <c r="G289" s="4">
        <f>IFERROR(VLOOKUP(B289,'[2]new sheet'!$A$1:$IV$65536,2,0),0)</f>
        <v>0</v>
      </c>
      <c r="H289" s="5">
        <f>IFERROR(VLOOKUP(B289,'[3]new sheet'!$A$1:$IV$65536,2,0),0)</f>
        <v>0</v>
      </c>
    </row>
    <row r="290" spans="1:8" ht="24" customHeight="1">
      <c r="A290" s="7">
        <v>15020011</v>
      </c>
      <c r="B290" s="7">
        <v>470</v>
      </c>
      <c r="C290" s="8" t="s">
        <v>229</v>
      </c>
      <c r="D290" s="8" t="s">
        <v>1934</v>
      </c>
      <c r="E290" s="2">
        <f>IFERROR(VLOOKUP(B290,'[1]new sheet'!$A$1:$IV$65536,5,FALSE),0)</f>
        <v>257</v>
      </c>
      <c r="F290" s="3">
        <f>IFERROR(VLOOKUP(B290,'[1]new sheet'!$A$1:$IV$65536,4,FALSE),0)</f>
        <v>10</v>
      </c>
      <c r="G290" s="4">
        <f>IFERROR(VLOOKUP(B290,'[2]new sheet'!$A$1:$IV$65536,2,0),0)</f>
        <v>614</v>
      </c>
      <c r="H290" s="5">
        <f>IFERROR(VLOOKUP(B290,'[3]new sheet'!$A$1:$IV$65536,2,0),0)</f>
        <v>195</v>
      </c>
    </row>
    <row r="291" spans="1:8" ht="24" customHeight="1">
      <c r="A291" s="7">
        <v>15020001</v>
      </c>
      <c r="B291" s="7">
        <v>16</v>
      </c>
      <c r="C291" s="8" t="s">
        <v>230</v>
      </c>
      <c r="D291" s="8" t="s">
        <v>1934</v>
      </c>
      <c r="E291" s="2">
        <f>IFERROR(VLOOKUP(B291,'[1]new sheet'!$A$1:$IV$65536,5,FALSE),0)</f>
        <v>157</v>
      </c>
      <c r="F291" s="3">
        <f>IFERROR(VLOOKUP(B291,'[1]new sheet'!$A$1:$IV$65536,4,FALSE),0)</f>
        <v>12</v>
      </c>
      <c r="G291" s="4">
        <f>IFERROR(VLOOKUP(B291,'[2]new sheet'!$A$1:$IV$65536,2,0),0)</f>
        <v>797</v>
      </c>
      <c r="H291" s="5">
        <f>IFERROR(VLOOKUP(B291,'[3]new sheet'!$A$1:$IV$65536,2,0),0)</f>
        <v>295</v>
      </c>
    </row>
    <row r="292" spans="1:8" ht="24" customHeight="1">
      <c r="A292" s="7">
        <v>5050066</v>
      </c>
      <c r="B292" s="7">
        <v>3755</v>
      </c>
      <c r="C292" s="8" t="s">
        <v>231</v>
      </c>
      <c r="D292" s="8" t="s">
        <v>1934</v>
      </c>
      <c r="E292" s="2">
        <f>IFERROR(VLOOKUP(B292,'[1]new sheet'!$A$1:$IV$65536,5,FALSE),0)</f>
        <v>860</v>
      </c>
      <c r="F292" s="3">
        <f>IFERROR(VLOOKUP(B292,'[1]new sheet'!$A$1:$IV$65536,4,FALSE),0)</f>
        <v>18</v>
      </c>
      <c r="G292" s="4">
        <f>IFERROR(VLOOKUP(B292,'[2]new sheet'!$A$1:$IV$65536,2,0),0)</f>
        <v>935</v>
      </c>
      <c r="H292" s="5">
        <f>IFERROR(VLOOKUP(B292,'[3]new sheet'!$A$1:$IV$65536,2,0),0)</f>
        <v>257</v>
      </c>
    </row>
    <row r="293" spans="1:8" ht="24" customHeight="1">
      <c r="A293" s="7">
        <v>20040001</v>
      </c>
      <c r="B293" s="7">
        <v>472</v>
      </c>
      <c r="C293" s="8" t="s">
        <v>232</v>
      </c>
      <c r="D293" s="8" t="s">
        <v>1934</v>
      </c>
      <c r="E293" s="2">
        <f>IFERROR(VLOOKUP(B293,'[1]new sheet'!$A$1:$IV$65536,5,FALSE),0)</f>
        <v>1682</v>
      </c>
      <c r="F293" s="3">
        <f>IFERROR(VLOOKUP(B293,'[1]new sheet'!$A$1:$IV$65536,4,FALSE),0)</f>
        <v>30</v>
      </c>
      <c r="G293" s="4">
        <f>IFERROR(VLOOKUP(B293,'[2]new sheet'!$A$1:$IV$65536,2,0),0)</f>
        <v>1161</v>
      </c>
      <c r="H293" s="5">
        <f>IFERROR(VLOOKUP(B293,'[3]new sheet'!$A$1:$IV$65536,2,0),0)</f>
        <v>268</v>
      </c>
    </row>
    <row r="294" spans="1:8" ht="24" customHeight="1">
      <c r="A294" s="7">
        <v>20020003</v>
      </c>
      <c r="B294" s="7">
        <v>471</v>
      </c>
      <c r="C294" s="8" t="s">
        <v>233</v>
      </c>
      <c r="D294" s="8" t="s">
        <v>1934</v>
      </c>
      <c r="E294" s="2">
        <f>IFERROR(VLOOKUP(B294,'[1]new sheet'!$A$1:$IV$65536,5,FALSE),0)</f>
        <v>40</v>
      </c>
      <c r="F294" s="3">
        <f>IFERROR(VLOOKUP(B294,'[1]new sheet'!$A$1:$IV$65536,4,FALSE),0)</f>
        <v>0</v>
      </c>
      <c r="G294" s="4">
        <f>IFERROR(VLOOKUP(B294,'[2]new sheet'!$A$1:$IV$65536,2,0),0)</f>
        <v>79</v>
      </c>
      <c r="H294" s="5">
        <f>IFERROR(VLOOKUP(B294,'[3]new sheet'!$A$1:$IV$65536,2,0),0)</f>
        <v>11</v>
      </c>
    </row>
    <row r="295" spans="1:8" ht="24" customHeight="1">
      <c r="A295" s="7"/>
      <c r="B295" s="7">
        <v>473</v>
      </c>
      <c r="C295" s="8" t="s">
        <v>234</v>
      </c>
      <c r="D295" s="8" t="s">
        <v>1934</v>
      </c>
      <c r="E295" s="2">
        <f>IFERROR(VLOOKUP(B295,'[1]new sheet'!$A$1:$IV$65536,5,FALSE),0)</f>
        <v>0</v>
      </c>
      <c r="F295" s="3">
        <f>IFERROR(VLOOKUP(B295,'[1]new sheet'!$A$1:$IV$65536,4,FALSE),0)</f>
        <v>0</v>
      </c>
      <c r="G295" s="4">
        <f>IFERROR(VLOOKUP(B295,'[2]new sheet'!$A$1:$IV$65536,2,0),0)</f>
        <v>0</v>
      </c>
      <c r="H295" s="5">
        <f>IFERROR(VLOOKUP(B295,'[3]new sheet'!$A$1:$IV$65536,2,0),0)</f>
        <v>0</v>
      </c>
    </row>
    <row r="296" spans="1:8" ht="24" customHeight="1">
      <c r="A296" s="7">
        <v>12003</v>
      </c>
      <c r="B296" s="7">
        <v>894</v>
      </c>
      <c r="C296" s="8" t="s">
        <v>235</v>
      </c>
      <c r="D296" s="8" t="s">
        <v>1934</v>
      </c>
      <c r="E296" s="2">
        <f>IFERROR(VLOOKUP(B296,'[1]new sheet'!$A$1:$IV$65536,5,FALSE),0)</f>
        <v>0</v>
      </c>
      <c r="F296" s="3">
        <f>IFERROR(VLOOKUP(B296,'[1]new sheet'!$A$1:$IV$65536,4,FALSE),0)</f>
        <v>0</v>
      </c>
      <c r="G296" s="4">
        <f>IFERROR(VLOOKUP(B296,'[2]new sheet'!$A$1:$IV$65536,2,0),0)</f>
        <v>0</v>
      </c>
      <c r="H296" s="5">
        <f>IFERROR(VLOOKUP(B296,'[3]new sheet'!$A$1:$IV$65536,2,0),0)</f>
        <v>0</v>
      </c>
    </row>
    <row r="297" spans="1:8" ht="24" customHeight="1">
      <c r="A297" s="7">
        <v>8903</v>
      </c>
      <c r="B297" s="7">
        <v>3242</v>
      </c>
      <c r="C297" s="8" t="s">
        <v>236</v>
      </c>
      <c r="D297" s="8" t="s">
        <v>1934</v>
      </c>
      <c r="E297" s="2">
        <f>IFERROR(VLOOKUP(B297,'[1]new sheet'!$A$1:$IV$65536,5,FALSE),0)</f>
        <v>2100</v>
      </c>
      <c r="F297" s="3">
        <f>IFERROR(VLOOKUP(B297,'[1]new sheet'!$A$1:$IV$65536,4,FALSE),0)</f>
        <v>15</v>
      </c>
      <c r="G297" s="4">
        <f>IFERROR(VLOOKUP(B297,'[2]new sheet'!$A$1:$IV$65536,2,0),0)</f>
        <v>2395</v>
      </c>
      <c r="H297" s="5">
        <f>IFERROR(VLOOKUP(B297,'[3]new sheet'!$A$1:$IV$65536,2,0),0)</f>
        <v>859</v>
      </c>
    </row>
    <row r="298" spans="1:8" ht="24" customHeight="1">
      <c r="A298" s="7">
        <v>8902</v>
      </c>
      <c r="B298" s="7">
        <v>474</v>
      </c>
      <c r="C298" s="8" t="s">
        <v>237</v>
      </c>
      <c r="D298" s="8" t="s">
        <v>1934</v>
      </c>
      <c r="E298" s="2">
        <f>IFERROR(VLOOKUP(B298,'[1]new sheet'!$A$1:$IV$65536,5,FALSE),0)</f>
        <v>0</v>
      </c>
      <c r="F298" s="3">
        <f>IFERROR(VLOOKUP(B298,'[1]new sheet'!$A$1:$IV$65536,4,FALSE),0)</f>
        <v>0</v>
      </c>
      <c r="G298" s="4">
        <f>IFERROR(VLOOKUP(B298,'[2]new sheet'!$A$1:$IV$65536,2,0),0)</f>
        <v>0</v>
      </c>
      <c r="H298" s="5">
        <f>IFERROR(VLOOKUP(B298,'[3]new sheet'!$A$1:$IV$65536,2,0),0)</f>
        <v>0</v>
      </c>
    </row>
    <row r="299" spans="1:8" ht="24" customHeight="1">
      <c r="A299" s="7">
        <v>807411930</v>
      </c>
      <c r="B299" s="7">
        <v>1974</v>
      </c>
      <c r="C299" s="8" t="s">
        <v>238</v>
      </c>
      <c r="D299" s="8" t="s">
        <v>1934</v>
      </c>
      <c r="E299" s="2">
        <f>IFERROR(VLOOKUP(B299,'[1]new sheet'!$A$1:$IV$65536,5,FALSE),0)</f>
        <v>0</v>
      </c>
      <c r="F299" s="3">
        <f>IFERROR(VLOOKUP(B299,'[1]new sheet'!$A$1:$IV$65536,4,FALSE),0)</f>
        <v>0</v>
      </c>
      <c r="G299" s="4">
        <f>IFERROR(VLOOKUP(B299,'[2]new sheet'!$A$1:$IV$65536,2,0),0)</f>
        <v>0</v>
      </c>
      <c r="H299" s="5">
        <f>IFERROR(VLOOKUP(B299,'[3]new sheet'!$A$1:$IV$65536,2,0),0)</f>
        <v>0</v>
      </c>
    </row>
    <row r="300" spans="1:8" ht="24" customHeight="1">
      <c r="A300" s="7">
        <v>15020002</v>
      </c>
      <c r="B300" s="7">
        <v>476</v>
      </c>
      <c r="C300" s="8" t="s">
        <v>239</v>
      </c>
      <c r="D300" s="8" t="s">
        <v>1934</v>
      </c>
      <c r="E300" s="2">
        <f>IFERROR(VLOOKUP(B300,'[1]new sheet'!$A$1:$IV$65536,5,FALSE),0)</f>
        <v>48</v>
      </c>
      <c r="F300" s="3">
        <f>IFERROR(VLOOKUP(B300,'[1]new sheet'!$A$1:$IV$65536,4,FALSE),0)</f>
        <v>2</v>
      </c>
      <c r="G300" s="4">
        <f>IFERROR(VLOOKUP(B300,'[2]new sheet'!$A$1:$IV$65536,2,0),0)</f>
        <v>253</v>
      </c>
      <c r="H300" s="5">
        <f>IFERROR(VLOOKUP(B300,'[3]new sheet'!$A$1:$IV$65536,2,0),0)</f>
        <v>103</v>
      </c>
    </row>
    <row r="301" spans="1:8" ht="24" customHeight="1">
      <c r="A301" s="7">
        <v>5050067</v>
      </c>
      <c r="B301" s="7">
        <v>3756</v>
      </c>
      <c r="C301" s="8" t="s">
        <v>240</v>
      </c>
      <c r="D301" s="8" t="s">
        <v>1934</v>
      </c>
      <c r="E301" s="2">
        <f>IFERROR(VLOOKUP(B301,'[1]new sheet'!$A$1:$IV$65536,5,FALSE),0)</f>
        <v>544</v>
      </c>
      <c r="F301" s="3">
        <f>IFERROR(VLOOKUP(B301,'[1]new sheet'!$A$1:$IV$65536,4,FALSE),0)</f>
        <v>1</v>
      </c>
      <c r="G301" s="4">
        <f>IFERROR(VLOOKUP(B301,'[2]new sheet'!$A$1:$IV$65536,2,0),0)</f>
        <v>1</v>
      </c>
      <c r="H301" s="5">
        <f>IFERROR(VLOOKUP(B301,'[3]new sheet'!$A$1:$IV$65536,2,0),0)</f>
        <v>39</v>
      </c>
    </row>
    <row r="302" spans="1:8" ht="24" customHeight="1">
      <c r="A302" s="7"/>
      <c r="B302" s="7">
        <v>477</v>
      </c>
      <c r="C302" s="8" t="s">
        <v>241</v>
      </c>
      <c r="D302" s="8" t="s">
        <v>1934</v>
      </c>
      <c r="E302" s="2">
        <f>IFERROR(VLOOKUP(B302,'[1]new sheet'!$A$1:$IV$65536,5,FALSE),0)</f>
        <v>0</v>
      </c>
      <c r="F302" s="3">
        <f>IFERROR(VLOOKUP(B302,'[1]new sheet'!$A$1:$IV$65536,4,FALSE),0)</f>
        <v>0</v>
      </c>
      <c r="G302" s="4">
        <f>IFERROR(VLOOKUP(B302,'[2]new sheet'!$A$1:$IV$65536,2,0),0)</f>
        <v>0</v>
      </c>
      <c r="H302" s="5">
        <f>IFERROR(VLOOKUP(B302,'[3]new sheet'!$A$1:$IV$65536,2,0),0)</f>
        <v>0</v>
      </c>
    </row>
    <row r="303" spans="1:8" ht="24" customHeight="1">
      <c r="A303" s="7">
        <v>20040002</v>
      </c>
      <c r="B303" s="7">
        <v>478</v>
      </c>
      <c r="C303" s="8" t="s">
        <v>242</v>
      </c>
      <c r="D303" s="8" t="s">
        <v>1934</v>
      </c>
      <c r="E303" s="2">
        <f>IFERROR(VLOOKUP(B303,'[1]new sheet'!$A$1:$IV$65536,5,FALSE),0)</f>
        <v>246</v>
      </c>
      <c r="F303" s="3">
        <f>IFERROR(VLOOKUP(B303,'[1]new sheet'!$A$1:$IV$65536,4,FALSE),0)</f>
        <v>2</v>
      </c>
      <c r="G303" s="4">
        <f>IFERROR(VLOOKUP(B303,'[2]new sheet'!$A$1:$IV$65536,2,0),0)</f>
        <v>318</v>
      </c>
      <c r="H303" s="5">
        <f>IFERROR(VLOOKUP(B303,'[3]new sheet'!$A$1:$IV$65536,2,0),0)</f>
        <v>67</v>
      </c>
    </row>
    <row r="304" spans="1:8" ht="24" customHeight="1">
      <c r="A304" s="7">
        <v>15020004</v>
      </c>
      <c r="B304" s="7">
        <v>479</v>
      </c>
      <c r="C304" s="8" t="s">
        <v>243</v>
      </c>
      <c r="D304" s="8" t="s">
        <v>1934</v>
      </c>
      <c r="E304" s="2">
        <f>IFERROR(VLOOKUP(B304,'[1]new sheet'!$A$1:$IV$65536,5,FALSE),0)</f>
        <v>25</v>
      </c>
      <c r="F304" s="3">
        <f>IFERROR(VLOOKUP(B304,'[1]new sheet'!$A$1:$IV$65536,4,FALSE),0)</f>
        <v>1</v>
      </c>
      <c r="G304" s="4">
        <f>IFERROR(VLOOKUP(B304,'[2]new sheet'!$A$1:$IV$65536,2,0),0)</f>
        <v>47</v>
      </c>
      <c r="H304" s="5">
        <f>IFERROR(VLOOKUP(B304,'[3]new sheet'!$A$1:$IV$65536,2,0),0)</f>
        <v>14</v>
      </c>
    </row>
    <row r="305" spans="1:8" ht="24" customHeight="1">
      <c r="A305" s="7"/>
      <c r="B305" s="7">
        <v>309</v>
      </c>
      <c r="C305" s="8" t="s">
        <v>244</v>
      </c>
      <c r="D305" s="8" t="s">
        <v>1934</v>
      </c>
      <c r="E305" s="2">
        <f>IFERROR(VLOOKUP(B305,'[1]new sheet'!$A$1:$IV$65536,5,FALSE),0)</f>
        <v>0</v>
      </c>
      <c r="F305" s="3">
        <f>IFERROR(VLOOKUP(B305,'[1]new sheet'!$A$1:$IV$65536,4,FALSE),0)</f>
        <v>0</v>
      </c>
      <c r="G305" s="4">
        <f>IFERROR(VLOOKUP(B305,'[2]new sheet'!$A$1:$IV$65536,2,0),0)</f>
        <v>0</v>
      </c>
      <c r="H305" s="5">
        <f>IFERROR(VLOOKUP(B305,'[3]new sheet'!$A$1:$IV$65536,2,0),0)</f>
        <v>0</v>
      </c>
    </row>
    <row r="306" spans="1:8" ht="24" customHeight="1">
      <c r="A306" s="7">
        <v>11701</v>
      </c>
      <c r="B306" s="7">
        <v>3908</v>
      </c>
      <c r="C306" s="8" t="s">
        <v>1783</v>
      </c>
      <c r="D306" s="8" t="s">
        <v>1935</v>
      </c>
      <c r="E306" s="2">
        <f>IFERROR(VLOOKUP(B306,'[1]new sheet'!$A$1:$IV$65536,5,FALSE),0)</f>
        <v>672.53</v>
      </c>
      <c r="F306" s="3">
        <f>IFERROR(VLOOKUP(B306,'[1]new sheet'!$A$1:$IV$65536,4,FALSE),0)</f>
        <v>0</v>
      </c>
      <c r="G306" s="4">
        <f>IFERROR(VLOOKUP(B306,'[2]new sheet'!$A$1:$IV$65536,2,0),0)</f>
        <v>0</v>
      </c>
      <c r="H306" s="5">
        <f>IFERROR(VLOOKUP(B306,'[3]new sheet'!$A$1:$IV$65536,2,0),0)</f>
        <v>0</v>
      </c>
    </row>
    <row r="307" spans="1:8" ht="24" customHeight="1">
      <c r="A307" s="7">
        <v>996983</v>
      </c>
      <c r="B307" s="7">
        <v>2483</v>
      </c>
      <c r="C307" s="8" t="s">
        <v>245</v>
      </c>
      <c r="D307" s="8" t="s">
        <v>1935</v>
      </c>
      <c r="E307" s="2">
        <f>IFERROR(VLOOKUP(B307,'[1]new sheet'!$A$1:$IV$65536,5,FALSE),0)</f>
        <v>0</v>
      </c>
      <c r="F307" s="3">
        <f>IFERROR(VLOOKUP(B307,'[1]new sheet'!$A$1:$IV$65536,4,FALSE),0)</f>
        <v>0</v>
      </c>
      <c r="G307" s="4">
        <f>IFERROR(VLOOKUP(B307,'[2]new sheet'!$A$1:$IV$65536,2,0),0)</f>
        <v>0</v>
      </c>
      <c r="H307" s="5">
        <f>IFERROR(VLOOKUP(B307,'[3]new sheet'!$A$1:$IV$65536,2,0),0)</f>
        <v>0</v>
      </c>
    </row>
    <row r="308" spans="1:8" ht="24" customHeight="1">
      <c r="A308" s="7" t="s">
        <v>246</v>
      </c>
      <c r="B308" s="7">
        <v>2159</v>
      </c>
      <c r="C308" s="8" t="s">
        <v>247</v>
      </c>
      <c r="D308" s="8" t="s">
        <v>1935</v>
      </c>
      <c r="E308" s="2">
        <f>IFERROR(VLOOKUP(B308,'[1]new sheet'!$A$1:$IV$65536,5,FALSE),0)</f>
        <v>0</v>
      </c>
      <c r="F308" s="3">
        <f>IFERROR(VLOOKUP(B308,'[1]new sheet'!$A$1:$IV$65536,4,FALSE),0)</f>
        <v>0</v>
      </c>
      <c r="G308" s="4">
        <f>IFERROR(VLOOKUP(B308,'[2]new sheet'!$A$1:$IV$65536,2,0),0)</f>
        <v>0</v>
      </c>
      <c r="H308" s="5">
        <f>IFERROR(VLOOKUP(B308,'[3]new sheet'!$A$1:$IV$65536,2,0),0)</f>
        <v>0</v>
      </c>
    </row>
    <row r="309" spans="1:8" ht="24" customHeight="1">
      <c r="A309" s="7">
        <v>1299</v>
      </c>
      <c r="B309" s="7">
        <v>124</v>
      </c>
      <c r="C309" s="8" t="s">
        <v>248</v>
      </c>
      <c r="D309" s="8" t="s">
        <v>1934</v>
      </c>
      <c r="E309" s="2">
        <f>IFERROR(VLOOKUP(B309,'[1]new sheet'!$A$1:$IV$65536,5,FALSE),0)</f>
        <v>0</v>
      </c>
      <c r="F309" s="3">
        <f>IFERROR(VLOOKUP(B309,'[1]new sheet'!$A$1:$IV$65536,4,FALSE),0)</f>
        <v>0</v>
      </c>
      <c r="G309" s="4">
        <f>IFERROR(VLOOKUP(B309,'[2]new sheet'!$A$1:$IV$65536,2,0),0)</f>
        <v>0</v>
      </c>
      <c r="H309" s="5">
        <f>IFERROR(VLOOKUP(B309,'[3]new sheet'!$A$1:$IV$65536,2,0),0)</f>
        <v>0</v>
      </c>
    </row>
    <row r="310" spans="1:8" ht="24" customHeight="1">
      <c r="A310" s="7">
        <v>9818</v>
      </c>
      <c r="B310" s="7">
        <v>1802</v>
      </c>
      <c r="C310" s="8" t="s">
        <v>249</v>
      </c>
      <c r="D310" s="8" t="s">
        <v>1934</v>
      </c>
      <c r="E310" s="2">
        <f>IFERROR(VLOOKUP(B310,'[1]new sheet'!$A$1:$IV$65536,5,FALSE),0)</f>
        <v>0</v>
      </c>
      <c r="F310" s="3">
        <f>IFERROR(VLOOKUP(B310,'[1]new sheet'!$A$1:$IV$65536,4,FALSE),0)</f>
        <v>0</v>
      </c>
      <c r="G310" s="4">
        <f>IFERROR(VLOOKUP(B310,'[2]new sheet'!$A$1:$IV$65536,2,0),0)</f>
        <v>0</v>
      </c>
      <c r="H310" s="5">
        <f>IFERROR(VLOOKUP(B310,'[3]new sheet'!$A$1:$IV$65536,2,0),0)</f>
        <v>0</v>
      </c>
    </row>
    <row r="311" spans="1:8" ht="24" customHeight="1">
      <c r="A311" s="7">
        <v>20154</v>
      </c>
      <c r="B311" s="7">
        <v>1694</v>
      </c>
      <c r="C311" s="8" t="s">
        <v>250</v>
      </c>
      <c r="D311" s="8" t="s">
        <v>1934</v>
      </c>
      <c r="E311" s="2">
        <f>IFERROR(VLOOKUP(B311,'[1]new sheet'!$A$1:$IV$65536,5,FALSE),0)</f>
        <v>0</v>
      </c>
      <c r="F311" s="3">
        <f>IFERROR(VLOOKUP(B311,'[1]new sheet'!$A$1:$IV$65536,4,FALSE),0)</f>
        <v>0</v>
      </c>
      <c r="G311" s="4">
        <f>IFERROR(VLOOKUP(B311,'[2]new sheet'!$A$1:$IV$65536,2,0),0)</f>
        <v>0</v>
      </c>
      <c r="H311" s="5">
        <f>IFERROR(VLOOKUP(B311,'[3]new sheet'!$A$1:$IV$65536,2,0),0)</f>
        <v>0</v>
      </c>
    </row>
    <row r="312" spans="1:8" ht="24" customHeight="1">
      <c r="A312" s="7">
        <v>1299</v>
      </c>
      <c r="B312" s="7">
        <v>3930</v>
      </c>
      <c r="C312" s="8" t="s">
        <v>1613</v>
      </c>
      <c r="D312" s="8" t="s">
        <v>1934</v>
      </c>
      <c r="E312" s="2">
        <f>IFERROR(VLOOKUP(B312,'[1]new sheet'!$A$1:$IV$65536,5,FALSE),0)</f>
        <v>494</v>
      </c>
      <c r="F312" s="3">
        <f>IFERROR(VLOOKUP(B312,'[1]new sheet'!$A$1:$IV$65536,4,FALSE),0)</f>
        <v>5</v>
      </c>
      <c r="G312" s="4">
        <f>IFERROR(VLOOKUP(B312,'[2]new sheet'!$A$1:$IV$65536,2,0),0)</f>
        <v>351</v>
      </c>
      <c r="H312" s="5">
        <f>IFERROR(VLOOKUP(B312,'[3]new sheet'!$A$1:$IV$65536,2,0),0)</f>
        <v>79</v>
      </c>
    </row>
    <row r="313" spans="1:8" ht="24" customHeight="1">
      <c r="A313" s="7">
        <v>500404</v>
      </c>
      <c r="B313" s="7">
        <v>3352</v>
      </c>
      <c r="C313" s="8" t="s">
        <v>251</v>
      </c>
      <c r="D313" s="8" t="s">
        <v>1935</v>
      </c>
      <c r="E313" s="2">
        <f>IFERROR(VLOOKUP(B313,'[1]new sheet'!$A$1:$IV$65536,5,FALSE),0)</f>
        <v>0</v>
      </c>
      <c r="F313" s="3">
        <f>IFERROR(VLOOKUP(B313,'[1]new sheet'!$A$1:$IV$65536,4,FALSE),0)</f>
        <v>0</v>
      </c>
      <c r="G313" s="4">
        <f>IFERROR(VLOOKUP(B313,'[2]new sheet'!$A$1:$IV$65536,2,0),0)</f>
        <v>0</v>
      </c>
      <c r="H313" s="5">
        <f>IFERROR(VLOOKUP(B313,'[3]new sheet'!$A$1:$IV$65536,2,0),0)</f>
        <v>0</v>
      </c>
    </row>
    <row r="314" spans="1:8" ht="24" customHeight="1">
      <c r="A314" s="7">
        <v>60794</v>
      </c>
      <c r="B314" s="7">
        <v>1459</v>
      </c>
      <c r="C314" s="8" t="s">
        <v>252</v>
      </c>
      <c r="D314" s="8" t="s">
        <v>1934</v>
      </c>
      <c r="E314" s="2">
        <f>IFERROR(VLOOKUP(B314,'[1]new sheet'!$A$1:$IV$65536,5,FALSE),0)</f>
        <v>0</v>
      </c>
      <c r="F314" s="3">
        <f>IFERROR(VLOOKUP(B314,'[1]new sheet'!$A$1:$IV$65536,4,FALSE),0)</f>
        <v>0</v>
      </c>
      <c r="G314" s="4">
        <f>IFERROR(VLOOKUP(B314,'[2]new sheet'!$A$1:$IV$65536,2,0),0)</f>
        <v>0</v>
      </c>
      <c r="H314" s="5">
        <f>IFERROR(VLOOKUP(B314,'[3]new sheet'!$A$1:$IV$65536,2,0),0)</f>
        <v>0</v>
      </c>
    </row>
    <row r="315" spans="1:8" ht="24" customHeight="1">
      <c r="A315" s="7">
        <v>500404</v>
      </c>
      <c r="B315" s="7">
        <v>1258</v>
      </c>
      <c r="C315" s="8" t="s">
        <v>253</v>
      </c>
      <c r="D315" s="8" t="s">
        <v>1934</v>
      </c>
      <c r="E315" s="2">
        <f>IFERROR(VLOOKUP(B315,'[1]new sheet'!$A$1:$IV$65536,5,FALSE),0)</f>
        <v>0</v>
      </c>
      <c r="F315" s="3">
        <f>IFERROR(VLOOKUP(B315,'[1]new sheet'!$A$1:$IV$65536,4,FALSE),0)</f>
        <v>0</v>
      </c>
      <c r="G315" s="4">
        <f>IFERROR(VLOOKUP(B315,'[2]new sheet'!$A$1:$IV$65536,2,0),0)</f>
        <v>0</v>
      </c>
      <c r="H315" s="5">
        <f>IFERROR(VLOOKUP(B315,'[3]new sheet'!$A$1:$IV$65536,2,0),0)</f>
        <v>0</v>
      </c>
    </row>
    <row r="316" spans="1:8" ht="24" customHeight="1">
      <c r="A316" s="7">
        <v>594610</v>
      </c>
      <c r="B316" s="7">
        <v>2455</v>
      </c>
      <c r="C316" s="8" t="s">
        <v>254</v>
      </c>
      <c r="D316" s="8" t="s">
        <v>1934</v>
      </c>
      <c r="E316" s="2">
        <f>IFERROR(VLOOKUP(B316,'[1]new sheet'!$A$1:$IV$65536,5,FALSE),0)</f>
        <v>0</v>
      </c>
      <c r="F316" s="3">
        <f>IFERROR(VLOOKUP(B316,'[1]new sheet'!$A$1:$IV$65536,4,FALSE),0)</f>
        <v>0</v>
      </c>
      <c r="G316" s="4">
        <f>IFERROR(VLOOKUP(B316,'[2]new sheet'!$A$1:$IV$65536,2,0),0)</f>
        <v>0</v>
      </c>
      <c r="H316" s="5">
        <f>IFERROR(VLOOKUP(B316,'[3]new sheet'!$A$1:$IV$65536,2,0),0)</f>
        <v>0</v>
      </c>
    </row>
    <row r="317" spans="1:8" ht="24" customHeight="1">
      <c r="A317" s="7">
        <v>990997</v>
      </c>
      <c r="B317" s="7">
        <v>3071</v>
      </c>
      <c r="C317" s="8" t="s">
        <v>255</v>
      </c>
      <c r="D317" s="8" t="s">
        <v>1934</v>
      </c>
      <c r="E317" s="2">
        <f>IFERROR(VLOOKUP(B317,'[1]new sheet'!$A$1:$IV$65536,5,FALSE),0)</f>
        <v>10</v>
      </c>
      <c r="F317" s="3">
        <f>IFERROR(VLOOKUP(B317,'[1]new sheet'!$A$1:$IV$65536,4,FALSE),0)</f>
        <v>0</v>
      </c>
      <c r="G317" s="4">
        <f>IFERROR(VLOOKUP(B317,'[2]new sheet'!$A$1:$IV$65536,2,0),0)</f>
        <v>4</v>
      </c>
      <c r="H317" s="5">
        <f>IFERROR(VLOOKUP(B317,'[3]new sheet'!$A$1:$IV$65536,2,0),0)</f>
        <v>1</v>
      </c>
    </row>
    <row r="318" spans="1:8" ht="24" customHeight="1">
      <c r="A318" s="7">
        <v>999898</v>
      </c>
      <c r="B318" s="7">
        <v>307</v>
      </c>
      <c r="C318" s="8" t="s">
        <v>256</v>
      </c>
      <c r="D318" s="8" t="s">
        <v>1934</v>
      </c>
      <c r="E318" s="2">
        <f>IFERROR(VLOOKUP(B318,'[1]new sheet'!$A$1:$IV$65536,5,FALSE),0)</f>
        <v>0</v>
      </c>
      <c r="F318" s="3">
        <f>IFERROR(VLOOKUP(B318,'[1]new sheet'!$A$1:$IV$65536,4,FALSE),0)</f>
        <v>0</v>
      </c>
      <c r="G318" s="4">
        <f>IFERROR(VLOOKUP(B318,'[2]new sheet'!$A$1:$IV$65536,2,0),0)</f>
        <v>0</v>
      </c>
      <c r="H318" s="5">
        <f>IFERROR(VLOOKUP(B318,'[3]new sheet'!$A$1:$IV$65536,2,0),0)</f>
        <v>0</v>
      </c>
    </row>
    <row r="319" spans="1:8" ht="24" customHeight="1">
      <c r="A319" s="7">
        <v>27152</v>
      </c>
      <c r="B319" s="7">
        <v>482</v>
      </c>
      <c r="C319" s="8" t="s">
        <v>257</v>
      </c>
      <c r="D319" s="8" t="s">
        <v>1934</v>
      </c>
      <c r="E319" s="2">
        <f>IFERROR(VLOOKUP(B319,'[1]new sheet'!$A$1:$IV$65536,5,FALSE),0)</f>
        <v>9</v>
      </c>
      <c r="F319" s="3">
        <f>IFERROR(VLOOKUP(B319,'[1]new sheet'!$A$1:$IV$65536,4,FALSE),0)</f>
        <v>0</v>
      </c>
      <c r="G319" s="4">
        <f>IFERROR(VLOOKUP(B319,'[2]new sheet'!$A$1:$IV$65536,2,0),0)</f>
        <v>7</v>
      </c>
      <c r="H319" s="5">
        <f>IFERROR(VLOOKUP(B319,'[3]new sheet'!$A$1:$IV$65536,2,0),0)</f>
        <v>5</v>
      </c>
    </row>
    <row r="320" spans="1:8" ht="24" customHeight="1">
      <c r="A320" s="7">
        <v>574201</v>
      </c>
      <c r="B320" s="7">
        <v>306</v>
      </c>
      <c r="C320" s="8" t="s">
        <v>258</v>
      </c>
      <c r="D320" s="8" t="s">
        <v>1934</v>
      </c>
      <c r="E320" s="2">
        <f>IFERROR(VLOOKUP(B320,'[1]new sheet'!$A$1:$IV$65536,5,FALSE),0)</f>
        <v>5</v>
      </c>
      <c r="F320" s="3">
        <f>IFERROR(VLOOKUP(B320,'[1]new sheet'!$A$1:$IV$65536,4,FALSE),0)</f>
        <v>0</v>
      </c>
      <c r="G320" s="4">
        <f>IFERROR(VLOOKUP(B320,'[2]new sheet'!$A$1:$IV$65536,2,0),0)</f>
        <v>13</v>
      </c>
      <c r="H320" s="5">
        <f>IFERROR(VLOOKUP(B320,'[3]new sheet'!$A$1:$IV$65536,2,0),0)</f>
        <v>6</v>
      </c>
    </row>
    <row r="321" spans="1:8" ht="24" customHeight="1">
      <c r="A321" s="7">
        <v>41348</v>
      </c>
      <c r="B321" s="7">
        <v>305</v>
      </c>
      <c r="C321" s="8" t="s">
        <v>259</v>
      </c>
      <c r="D321" s="8" t="s">
        <v>1934</v>
      </c>
      <c r="E321" s="2">
        <f>IFERROR(VLOOKUP(B321,'[1]new sheet'!$A$1:$IV$65536,5,FALSE),0)</f>
        <v>0</v>
      </c>
      <c r="F321" s="3">
        <f>IFERROR(VLOOKUP(B321,'[1]new sheet'!$A$1:$IV$65536,4,FALSE),0)</f>
        <v>0</v>
      </c>
      <c r="G321" s="4">
        <f>IFERROR(VLOOKUP(B321,'[2]new sheet'!$A$1:$IV$65536,2,0),0)</f>
        <v>0</v>
      </c>
      <c r="H321" s="5">
        <f>IFERROR(VLOOKUP(B321,'[3]new sheet'!$A$1:$IV$65536,2,0),0)</f>
        <v>0</v>
      </c>
    </row>
    <row r="322" spans="1:8" ht="24" customHeight="1">
      <c r="A322" s="7">
        <v>41349</v>
      </c>
      <c r="B322" s="7">
        <v>483</v>
      </c>
      <c r="C322" s="8" t="s">
        <v>260</v>
      </c>
      <c r="D322" s="8" t="s">
        <v>1934</v>
      </c>
      <c r="E322" s="2">
        <f>IFERROR(VLOOKUP(B322,'[1]new sheet'!$A$1:$IV$65536,5,FALSE),0)</f>
        <v>0</v>
      </c>
      <c r="F322" s="3">
        <f>IFERROR(VLOOKUP(B322,'[1]new sheet'!$A$1:$IV$65536,4,FALSE),0)</f>
        <v>0</v>
      </c>
      <c r="G322" s="4">
        <f>IFERROR(VLOOKUP(B322,'[2]new sheet'!$A$1:$IV$65536,2,0),0)</f>
        <v>0</v>
      </c>
      <c r="H322" s="5">
        <f>IFERROR(VLOOKUP(B322,'[3]new sheet'!$A$1:$IV$65536,2,0),0)</f>
        <v>0</v>
      </c>
    </row>
    <row r="323" spans="1:8" ht="24" customHeight="1">
      <c r="A323" s="7">
        <v>41347</v>
      </c>
      <c r="B323" s="7">
        <v>784</v>
      </c>
      <c r="C323" s="8" t="s">
        <v>261</v>
      </c>
      <c r="D323" s="8" t="s">
        <v>1934</v>
      </c>
      <c r="E323" s="2">
        <f>IFERROR(VLOOKUP(B323,'[1]new sheet'!$A$1:$IV$65536,5,FALSE),0)</f>
        <v>0</v>
      </c>
      <c r="F323" s="3">
        <f>IFERROR(VLOOKUP(B323,'[1]new sheet'!$A$1:$IV$65536,4,FALSE),0)</f>
        <v>0</v>
      </c>
      <c r="G323" s="4">
        <f>IFERROR(VLOOKUP(B323,'[2]new sheet'!$A$1:$IV$65536,2,0),0)</f>
        <v>0</v>
      </c>
      <c r="H323" s="5">
        <f>IFERROR(VLOOKUP(B323,'[3]new sheet'!$A$1:$IV$65536,2,0),0)</f>
        <v>0</v>
      </c>
    </row>
    <row r="324" spans="1:8" ht="24" customHeight="1">
      <c r="A324" s="7">
        <v>999537</v>
      </c>
      <c r="B324" s="7">
        <v>2589</v>
      </c>
      <c r="C324" s="8" t="s">
        <v>262</v>
      </c>
      <c r="D324" s="8" t="s">
        <v>1934</v>
      </c>
      <c r="E324" s="2">
        <f>IFERROR(VLOOKUP(B324,'[1]new sheet'!$A$1:$IV$65536,5,FALSE),0)</f>
        <v>0</v>
      </c>
      <c r="F324" s="3">
        <f>IFERROR(VLOOKUP(B324,'[1]new sheet'!$A$1:$IV$65536,4,FALSE),0)</f>
        <v>0</v>
      </c>
      <c r="G324" s="4">
        <f>IFERROR(VLOOKUP(B324,'[2]new sheet'!$A$1:$IV$65536,2,0),0)</f>
        <v>0</v>
      </c>
      <c r="H324" s="5">
        <f>IFERROR(VLOOKUP(B324,'[3]new sheet'!$A$1:$IV$65536,2,0),0)</f>
        <v>0</v>
      </c>
    </row>
    <row r="325" spans="1:8" ht="24" customHeight="1">
      <c r="A325" s="7" t="s">
        <v>263</v>
      </c>
      <c r="B325" s="7">
        <v>1487</v>
      </c>
      <c r="C325" s="8" t="s">
        <v>264</v>
      </c>
      <c r="D325" s="8" t="s">
        <v>1935</v>
      </c>
      <c r="E325" s="2">
        <f>IFERROR(VLOOKUP(B325,'[1]new sheet'!$A$1:$IV$65536,5,FALSE),0)</f>
        <v>0</v>
      </c>
      <c r="F325" s="3">
        <f>IFERROR(VLOOKUP(B325,'[1]new sheet'!$A$1:$IV$65536,4,FALSE),0)</f>
        <v>0</v>
      </c>
      <c r="G325" s="4">
        <f>IFERROR(VLOOKUP(B325,'[2]new sheet'!$A$1:$IV$65536,2,0),0)</f>
        <v>0</v>
      </c>
      <c r="H325" s="5">
        <f>IFERROR(VLOOKUP(B325,'[3]new sheet'!$A$1:$IV$65536,2,0),0)</f>
        <v>0</v>
      </c>
    </row>
    <row r="326" spans="1:8" ht="24" customHeight="1">
      <c r="A326" s="7"/>
      <c r="B326" s="7">
        <v>484</v>
      </c>
      <c r="C326" s="8" t="s">
        <v>265</v>
      </c>
      <c r="D326" s="8" t="s">
        <v>1935</v>
      </c>
      <c r="E326" s="2">
        <f>IFERROR(VLOOKUP(B326,'[1]new sheet'!$A$1:$IV$65536,5,FALSE),0)</f>
        <v>0</v>
      </c>
      <c r="F326" s="3">
        <f>IFERROR(VLOOKUP(B326,'[1]new sheet'!$A$1:$IV$65536,4,FALSE),0)</f>
        <v>0</v>
      </c>
      <c r="G326" s="4">
        <f>IFERROR(VLOOKUP(B326,'[2]new sheet'!$A$1:$IV$65536,2,0),0)</f>
        <v>0</v>
      </c>
      <c r="H326" s="5">
        <f>IFERROR(VLOOKUP(B326,'[3]new sheet'!$A$1:$IV$65536,2,0),0)</f>
        <v>0</v>
      </c>
    </row>
    <row r="327" spans="1:8" ht="24" customHeight="1">
      <c r="A327" s="7">
        <v>831</v>
      </c>
      <c r="B327" s="7">
        <v>485</v>
      </c>
      <c r="C327" s="8" t="s">
        <v>266</v>
      </c>
      <c r="D327" s="8" t="s">
        <v>1935</v>
      </c>
      <c r="E327" s="2">
        <f>IFERROR(VLOOKUP(B327,'[1]new sheet'!$A$1:$IV$65536,5,FALSE),0)</f>
        <v>2242.4299999999998</v>
      </c>
      <c r="F327" s="3">
        <f>IFERROR(VLOOKUP(B327,'[1]new sheet'!$A$1:$IV$65536,4,FALSE),0)</f>
        <v>20</v>
      </c>
      <c r="G327" s="4">
        <f>IFERROR(VLOOKUP(B327,'[2]new sheet'!$A$1:$IV$65536,2,0),0)</f>
        <v>2263.1799999999998</v>
      </c>
      <c r="H327" s="5">
        <f>IFERROR(VLOOKUP(B327,'[3]new sheet'!$A$1:$IV$65536,2,0),0)</f>
        <v>820.72</v>
      </c>
    </row>
    <row r="328" spans="1:8" ht="24" customHeight="1">
      <c r="A328" s="7">
        <v>0</v>
      </c>
      <c r="B328" s="7">
        <v>69</v>
      </c>
      <c r="C328" s="8" t="s">
        <v>267</v>
      </c>
      <c r="D328" s="8" t="s">
        <v>1935</v>
      </c>
      <c r="E328" s="2">
        <f>IFERROR(VLOOKUP(B328,'[1]new sheet'!$A$1:$IV$65536,5,FALSE),0)</f>
        <v>1461.31</v>
      </c>
      <c r="F328" s="3">
        <f>IFERROR(VLOOKUP(B328,'[1]new sheet'!$A$1:$IV$65536,4,FALSE),0)</f>
        <v>20</v>
      </c>
      <c r="G328" s="4">
        <f>IFERROR(VLOOKUP(B328,'[2]new sheet'!$A$1:$IV$65536,2,0),0)</f>
        <v>422.1</v>
      </c>
      <c r="H328" s="5">
        <f>IFERROR(VLOOKUP(B328,'[3]new sheet'!$A$1:$IV$65536,2,0),0)</f>
        <v>166.06</v>
      </c>
    </row>
    <row r="329" spans="1:8" ht="24" customHeight="1">
      <c r="A329" s="7">
        <v>112470</v>
      </c>
      <c r="B329" s="7">
        <v>2648</v>
      </c>
      <c r="C329" s="8" t="s">
        <v>268</v>
      </c>
      <c r="D329" s="8" t="s">
        <v>1934</v>
      </c>
      <c r="E329" s="2">
        <f>IFERROR(VLOOKUP(B329,'[1]new sheet'!$A$1:$IV$65536,5,FALSE),0)</f>
        <v>0</v>
      </c>
      <c r="F329" s="3">
        <f>IFERROR(VLOOKUP(B329,'[1]new sheet'!$A$1:$IV$65536,4,FALSE),0)</f>
        <v>0</v>
      </c>
      <c r="G329" s="4">
        <f>IFERROR(VLOOKUP(B329,'[2]new sheet'!$A$1:$IV$65536,2,0),0)</f>
        <v>0</v>
      </c>
      <c r="H329" s="5">
        <f>IFERROR(VLOOKUP(B329,'[3]new sheet'!$A$1:$IV$65536,2,0),0)</f>
        <v>0</v>
      </c>
    </row>
    <row r="330" spans="1:8" ht="24" customHeight="1">
      <c r="A330" s="7">
        <v>21269</v>
      </c>
      <c r="B330" s="7">
        <v>3086</v>
      </c>
      <c r="C330" s="8" t="s">
        <v>269</v>
      </c>
      <c r="D330" s="8" t="s">
        <v>1934</v>
      </c>
      <c r="E330" s="2">
        <f>IFERROR(VLOOKUP(B330,'[1]new sheet'!$A$1:$IV$65536,5,FALSE),0)</f>
        <v>0</v>
      </c>
      <c r="F330" s="3">
        <f>IFERROR(VLOOKUP(B330,'[1]new sheet'!$A$1:$IV$65536,4,FALSE),0)</f>
        <v>0</v>
      </c>
      <c r="G330" s="4">
        <f>IFERROR(VLOOKUP(B330,'[2]new sheet'!$A$1:$IV$65536,2,0),0)</f>
        <v>0</v>
      </c>
      <c r="H330" s="5">
        <f>IFERROR(VLOOKUP(B330,'[3]new sheet'!$A$1:$IV$65536,2,0),0)</f>
        <v>0</v>
      </c>
    </row>
    <row r="331" spans="1:8" ht="24" customHeight="1">
      <c r="A331" s="7">
        <v>15202</v>
      </c>
      <c r="B331" s="7">
        <v>4296</v>
      </c>
      <c r="C331" s="8" t="s">
        <v>1883</v>
      </c>
      <c r="D331" s="8" t="s">
        <v>1934</v>
      </c>
      <c r="E331" s="2">
        <f>IFERROR(VLOOKUP(B331,'[1]new sheet'!$A$1:$IV$65536,5,FALSE),0)</f>
        <v>198</v>
      </c>
      <c r="F331" s="3">
        <f>IFERROR(VLOOKUP(B331,'[1]new sheet'!$A$1:$IV$65536,4,FALSE),0)</f>
        <v>1</v>
      </c>
      <c r="G331" s="4">
        <f>IFERROR(VLOOKUP(B331,'[2]new sheet'!$A$1:$IV$65536,2,0),0)</f>
        <v>23</v>
      </c>
      <c r="H331" s="5">
        <f>IFERROR(VLOOKUP(B331,'[3]new sheet'!$A$1:$IV$65536,2,0),0)</f>
        <v>14</v>
      </c>
    </row>
    <row r="332" spans="1:8" ht="24" customHeight="1">
      <c r="A332" s="7">
        <v>15205</v>
      </c>
      <c r="B332" s="7">
        <v>4298</v>
      </c>
      <c r="C332" s="8" t="s">
        <v>1884</v>
      </c>
      <c r="D332" s="8" t="s">
        <v>1934</v>
      </c>
      <c r="E332" s="2">
        <f>IFERROR(VLOOKUP(B332,'[1]new sheet'!$A$1:$IV$65536,5,FALSE),0)</f>
        <v>103</v>
      </c>
      <c r="F332" s="3">
        <f>IFERROR(VLOOKUP(B332,'[1]new sheet'!$A$1:$IV$65536,4,FALSE),0)</f>
        <v>2</v>
      </c>
      <c r="G332" s="4">
        <f>IFERROR(VLOOKUP(B332,'[2]new sheet'!$A$1:$IV$65536,2,0),0)</f>
        <v>12</v>
      </c>
      <c r="H332" s="5">
        <f>IFERROR(VLOOKUP(B332,'[3]new sheet'!$A$1:$IV$65536,2,0),0)</f>
        <v>8</v>
      </c>
    </row>
    <row r="333" spans="1:8" ht="24" customHeight="1">
      <c r="A333" s="7">
        <v>192</v>
      </c>
      <c r="B333" s="7">
        <v>2275</v>
      </c>
      <c r="C333" s="8" t="s">
        <v>270</v>
      </c>
      <c r="D333" s="8" t="s">
        <v>1934</v>
      </c>
      <c r="E333" s="2">
        <f>IFERROR(VLOOKUP(B333,'[1]new sheet'!$A$1:$IV$65536,5,FALSE),0)</f>
        <v>119</v>
      </c>
      <c r="F333" s="3">
        <f>IFERROR(VLOOKUP(B333,'[1]new sheet'!$A$1:$IV$65536,4,FALSE),0)</f>
        <v>0</v>
      </c>
      <c r="G333" s="4">
        <f>IFERROR(VLOOKUP(B333,'[2]new sheet'!$A$1:$IV$65536,2,0),0)</f>
        <v>191</v>
      </c>
      <c r="H333" s="5">
        <f>IFERROR(VLOOKUP(B333,'[3]new sheet'!$A$1:$IV$65536,2,0),0)</f>
        <v>27</v>
      </c>
    </row>
    <row r="334" spans="1:8" ht="24" customHeight="1">
      <c r="A334" s="7">
        <v>82</v>
      </c>
      <c r="B334" s="7">
        <v>82</v>
      </c>
      <c r="C334" s="8" t="s">
        <v>271</v>
      </c>
      <c r="D334" s="8" t="s">
        <v>1934</v>
      </c>
      <c r="E334" s="2">
        <f>IFERROR(VLOOKUP(B334,'[1]new sheet'!$A$1:$IV$65536,5,FALSE),0)</f>
        <v>0</v>
      </c>
      <c r="F334" s="3">
        <f>IFERROR(VLOOKUP(B334,'[1]new sheet'!$A$1:$IV$65536,4,FALSE),0)</f>
        <v>0</v>
      </c>
      <c r="G334" s="4">
        <f>IFERROR(VLOOKUP(B334,'[2]new sheet'!$A$1:$IV$65536,2,0),0)</f>
        <v>0</v>
      </c>
      <c r="H334" s="5">
        <f>IFERROR(VLOOKUP(B334,'[3]new sheet'!$A$1:$IV$65536,2,0),0)</f>
        <v>0</v>
      </c>
    </row>
    <row r="335" spans="1:8" ht="24" customHeight="1">
      <c r="A335" s="7">
        <v>115742</v>
      </c>
      <c r="B335" s="7">
        <v>952</v>
      </c>
      <c r="C335" s="8" t="s">
        <v>272</v>
      </c>
      <c r="D335" s="8" t="s">
        <v>1934</v>
      </c>
      <c r="E335" s="2">
        <f>IFERROR(VLOOKUP(B335,'[1]new sheet'!$A$1:$IV$65536,5,FALSE),0)</f>
        <v>0</v>
      </c>
      <c r="F335" s="3">
        <f>IFERROR(VLOOKUP(B335,'[1]new sheet'!$A$1:$IV$65536,4,FALSE),0)</f>
        <v>0</v>
      </c>
      <c r="G335" s="4">
        <f>IFERROR(VLOOKUP(B335,'[2]new sheet'!$A$1:$IV$65536,2,0),0)</f>
        <v>0</v>
      </c>
      <c r="H335" s="5">
        <f>IFERROR(VLOOKUP(B335,'[3]new sheet'!$A$1:$IV$65536,2,0),0)</f>
        <v>0</v>
      </c>
    </row>
    <row r="336" spans="1:8" ht="24" customHeight="1">
      <c r="A336" s="7">
        <v>115742</v>
      </c>
      <c r="B336" s="7">
        <v>785</v>
      </c>
      <c r="C336" s="8" t="s">
        <v>273</v>
      </c>
      <c r="D336" s="8" t="s">
        <v>1934</v>
      </c>
      <c r="E336" s="2">
        <f>IFERROR(VLOOKUP(B336,'[1]new sheet'!$A$1:$IV$65536,5,FALSE),0)</f>
        <v>0</v>
      </c>
      <c r="F336" s="3">
        <f>IFERROR(VLOOKUP(B336,'[1]new sheet'!$A$1:$IV$65536,4,FALSE),0)</f>
        <v>0</v>
      </c>
      <c r="G336" s="4">
        <f>IFERROR(VLOOKUP(B336,'[2]new sheet'!$A$1:$IV$65536,2,0),0)</f>
        <v>0</v>
      </c>
      <c r="H336" s="5">
        <f>IFERROR(VLOOKUP(B336,'[3]new sheet'!$A$1:$IV$65536,2,0),0)</f>
        <v>0</v>
      </c>
    </row>
    <row r="337" spans="1:8" ht="24" customHeight="1">
      <c r="A337" s="7">
        <v>115743</v>
      </c>
      <c r="B337" s="7">
        <v>486</v>
      </c>
      <c r="C337" s="8" t="s">
        <v>274</v>
      </c>
      <c r="D337" s="8" t="s">
        <v>1934</v>
      </c>
      <c r="E337" s="2">
        <f>IFERROR(VLOOKUP(B337,'[1]new sheet'!$A$1:$IV$65536,5,FALSE),0)</f>
        <v>0</v>
      </c>
      <c r="F337" s="3">
        <f>IFERROR(VLOOKUP(B337,'[1]new sheet'!$A$1:$IV$65536,4,FALSE),0)</f>
        <v>0</v>
      </c>
      <c r="G337" s="4">
        <f>IFERROR(VLOOKUP(B337,'[2]new sheet'!$A$1:$IV$65536,2,0),0)</f>
        <v>0</v>
      </c>
      <c r="H337" s="5">
        <f>IFERROR(VLOOKUP(B337,'[3]new sheet'!$A$1:$IV$65536,2,0),0)</f>
        <v>0</v>
      </c>
    </row>
    <row r="338" spans="1:8" ht="24" customHeight="1">
      <c r="A338" s="7">
        <v>220</v>
      </c>
      <c r="B338" s="7">
        <v>487</v>
      </c>
      <c r="C338" s="8" t="s">
        <v>275</v>
      </c>
      <c r="D338" s="8" t="s">
        <v>1934</v>
      </c>
      <c r="E338" s="2">
        <f>IFERROR(VLOOKUP(B338,'[1]new sheet'!$A$1:$IV$65536,5,FALSE),0)</f>
        <v>0</v>
      </c>
      <c r="F338" s="3">
        <f>IFERROR(VLOOKUP(B338,'[1]new sheet'!$A$1:$IV$65536,4,FALSE),0)</f>
        <v>0</v>
      </c>
      <c r="G338" s="4">
        <f>IFERROR(VLOOKUP(B338,'[2]new sheet'!$A$1:$IV$65536,2,0),0)</f>
        <v>0</v>
      </c>
      <c r="H338" s="5">
        <f>IFERROR(VLOOKUP(B338,'[3]new sheet'!$A$1:$IV$65536,2,0),0)</f>
        <v>0</v>
      </c>
    </row>
    <row r="339" spans="1:8" ht="24" customHeight="1">
      <c r="A339" s="7">
        <v>3002520</v>
      </c>
      <c r="B339" s="7">
        <v>3166</v>
      </c>
      <c r="C339" s="8" t="s">
        <v>276</v>
      </c>
      <c r="D339" s="8" t="s">
        <v>1934</v>
      </c>
      <c r="E339" s="2">
        <f>IFERROR(VLOOKUP(B339,'[1]new sheet'!$A$1:$IV$65536,5,FALSE),0)</f>
        <v>0</v>
      </c>
      <c r="F339" s="3">
        <f>IFERROR(VLOOKUP(B339,'[1]new sheet'!$A$1:$IV$65536,4,FALSE),0)</f>
        <v>0</v>
      </c>
      <c r="G339" s="4">
        <f>IFERROR(VLOOKUP(B339,'[2]new sheet'!$A$1:$IV$65536,2,0),0)</f>
        <v>0</v>
      </c>
      <c r="H339" s="5">
        <f>IFERROR(VLOOKUP(B339,'[3]new sheet'!$A$1:$IV$65536,2,0),0)</f>
        <v>0</v>
      </c>
    </row>
    <row r="340" spans="1:8" ht="24" customHeight="1">
      <c r="A340" s="7">
        <v>3002485</v>
      </c>
      <c r="B340" s="7">
        <v>3167</v>
      </c>
      <c r="C340" s="8" t="s">
        <v>277</v>
      </c>
      <c r="D340" s="8" t="s">
        <v>1934</v>
      </c>
      <c r="E340" s="2">
        <f>IFERROR(VLOOKUP(B340,'[1]new sheet'!$A$1:$IV$65536,5,FALSE),0)</f>
        <v>0</v>
      </c>
      <c r="F340" s="3">
        <f>IFERROR(VLOOKUP(B340,'[1]new sheet'!$A$1:$IV$65536,4,FALSE),0)</f>
        <v>0</v>
      </c>
      <c r="G340" s="4">
        <f>IFERROR(VLOOKUP(B340,'[2]new sheet'!$A$1:$IV$65536,2,0),0)</f>
        <v>0</v>
      </c>
      <c r="H340" s="5">
        <f>IFERROR(VLOOKUP(B340,'[3]new sheet'!$A$1:$IV$65536,2,0),0)</f>
        <v>0</v>
      </c>
    </row>
    <row r="341" spans="1:8" ht="24" customHeight="1">
      <c r="A341" s="7">
        <v>620702</v>
      </c>
      <c r="B341" s="7">
        <v>379</v>
      </c>
      <c r="C341" s="8" t="s">
        <v>278</v>
      </c>
      <c r="D341" s="8" t="s">
        <v>1934</v>
      </c>
      <c r="E341" s="2">
        <f>IFERROR(VLOOKUP(B341,'[1]new sheet'!$A$1:$IV$65536,5,FALSE),0)</f>
        <v>330</v>
      </c>
      <c r="F341" s="3">
        <f>IFERROR(VLOOKUP(B341,'[1]new sheet'!$A$1:$IV$65536,4,FALSE),0)</f>
        <v>2</v>
      </c>
      <c r="G341" s="4">
        <f>IFERROR(VLOOKUP(B341,'[2]new sheet'!$A$1:$IV$65536,2,0),0)</f>
        <v>164</v>
      </c>
      <c r="H341" s="5">
        <f>IFERROR(VLOOKUP(B341,'[3]new sheet'!$A$1:$IV$65536,2,0),0)</f>
        <v>96</v>
      </c>
    </row>
    <row r="342" spans="1:8" ht="24" customHeight="1">
      <c r="A342" s="7">
        <v>632722</v>
      </c>
      <c r="B342" s="7">
        <v>83</v>
      </c>
      <c r="C342" s="8" t="s">
        <v>279</v>
      </c>
      <c r="D342" s="8" t="s">
        <v>1934</v>
      </c>
      <c r="E342" s="2">
        <f>IFERROR(VLOOKUP(B342,'[1]new sheet'!$A$1:$IV$65536,5,FALSE),0)</f>
        <v>159</v>
      </c>
      <c r="F342" s="3">
        <f>IFERROR(VLOOKUP(B342,'[1]new sheet'!$A$1:$IV$65536,4,FALSE),0)</f>
        <v>2</v>
      </c>
      <c r="G342" s="4">
        <f>IFERROR(VLOOKUP(B342,'[2]new sheet'!$A$1:$IV$65536,2,0),0)</f>
        <v>248</v>
      </c>
      <c r="H342" s="5">
        <f>IFERROR(VLOOKUP(B342,'[3]new sheet'!$A$1:$IV$65536,2,0),0)</f>
        <v>89</v>
      </c>
    </row>
    <row r="343" spans="1:8" ht="24" customHeight="1">
      <c r="A343" s="7">
        <v>26</v>
      </c>
      <c r="B343" s="7">
        <v>2400</v>
      </c>
      <c r="C343" s="8" t="s">
        <v>280</v>
      </c>
      <c r="D343" s="8" t="s">
        <v>1934</v>
      </c>
      <c r="E343" s="2">
        <f>IFERROR(VLOOKUP(B343,'[1]new sheet'!$A$1:$IV$65536,5,FALSE),0)</f>
        <v>0</v>
      </c>
      <c r="F343" s="3">
        <f>IFERROR(VLOOKUP(B343,'[1]new sheet'!$A$1:$IV$65536,4,FALSE),0)</f>
        <v>0</v>
      </c>
      <c r="G343" s="4">
        <f>IFERROR(VLOOKUP(B343,'[2]new sheet'!$A$1:$IV$65536,2,0),0)</f>
        <v>0</v>
      </c>
      <c r="H343" s="5">
        <f>IFERROR(VLOOKUP(B343,'[3]new sheet'!$A$1:$IV$65536,2,0),0)</f>
        <v>0</v>
      </c>
    </row>
    <row r="344" spans="1:8" ht="24" customHeight="1">
      <c r="A344" s="7"/>
      <c r="B344" s="7">
        <v>81</v>
      </c>
      <c r="C344" s="8" t="s">
        <v>281</v>
      </c>
      <c r="D344" s="8" t="s">
        <v>1935</v>
      </c>
      <c r="E344" s="2">
        <f>IFERROR(VLOOKUP(B344,'[1]new sheet'!$A$1:$IV$65536,5,FALSE),0)</f>
        <v>0</v>
      </c>
      <c r="F344" s="3">
        <f>IFERROR(VLOOKUP(B344,'[1]new sheet'!$A$1:$IV$65536,4,FALSE),0)</f>
        <v>0</v>
      </c>
      <c r="G344" s="4">
        <f>IFERROR(VLOOKUP(B344,'[2]new sheet'!$A$1:$IV$65536,2,0),0)</f>
        <v>0</v>
      </c>
      <c r="H344" s="5">
        <f>IFERROR(VLOOKUP(B344,'[3]new sheet'!$A$1:$IV$65536,2,0),0)</f>
        <v>0</v>
      </c>
    </row>
    <row r="345" spans="1:8" ht="24" customHeight="1">
      <c r="A345" s="7">
        <v>110</v>
      </c>
      <c r="B345" s="7">
        <v>489</v>
      </c>
      <c r="C345" s="8" t="s">
        <v>282</v>
      </c>
      <c r="D345" s="8" t="s">
        <v>1935</v>
      </c>
      <c r="E345" s="2">
        <f>IFERROR(VLOOKUP(B345,'[1]new sheet'!$A$1:$IV$65536,5,FALSE),0)</f>
        <v>2260.7199999999998</v>
      </c>
      <c r="F345" s="3">
        <f>IFERROR(VLOOKUP(B345,'[1]new sheet'!$A$1:$IV$65536,4,FALSE),0)</f>
        <v>0</v>
      </c>
      <c r="G345" s="4">
        <f>IFERROR(VLOOKUP(B345,'[2]new sheet'!$A$1:$IV$65536,2,0),0)</f>
        <v>859.76</v>
      </c>
      <c r="H345" s="5">
        <f>IFERROR(VLOOKUP(B345,'[3]new sheet'!$A$1:$IV$65536,2,0),0)</f>
        <v>811.53</v>
      </c>
    </row>
    <row r="346" spans="1:8" ht="24" customHeight="1">
      <c r="A346" s="7">
        <v>514675</v>
      </c>
      <c r="B346" s="7">
        <v>490</v>
      </c>
      <c r="C346" s="8" t="s">
        <v>283</v>
      </c>
      <c r="D346" s="8" t="s">
        <v>1934</v>
      </c>
      <c r="E346" s="2">
        <f>IFERROR(VLOOKUP(B346,'[1]new sheet'!$A$1:$IV$65536,5,FALSE),0)</f>
        <v>0</v>
      </c>
      <c r="F346" s="3">
        <f>IFERROR(VLOOKUP(B346,'[1]new sheet'!$A$1:$IV$65536,4,FALSE),0)</f>
        <v>0</v>
      </c>
      <c r="G346" s="4">
        <f>IFERROR(VLOOKUP(B346,'[2]new sheet'!$A$1:$IV$65536,2,0),0)</f>
        <v>0</v>
      </c>
      <c r="H346" s="5">
        <f>IFERROR(VLOOKUP(B346,'[3]new sheet'!$A$1:$IV$65536,2,0),0)</f>
        <v>0</v>
      </c>
    </row>
    <row r="347" spans="1:8" ht="24" customHeight="1">
      <c r="A347" s="7">
        <v>154921</v>
      </c>
      <c r="B347" s="7">
        <v>1334</v>
      </c>
      <c r="C347" s="8" t="s">
        <v>284</v>
      </c>
      <c r="D347" s="8" t="s">
        <v>1935</v>
      </c>
      <c r="E347" s="2">
        <f>IFERROR(VLOOKUP(B347,'[1]new sheet'!$A$1:$IV$65536,5,FALSE),0)</f>
        <v>0</v>
      </c>
      <c r="F347" s="3">
        <f>IFERROR(VLOOKUP(B347,'[1]new sheet'!$A$1:$IV$65536,4,FALSE),0)</f>
        <v>0</v>
      </c>
      <c r="G347" s="4">
        <f>IFERROR(VLOOKUP(B347,'[2]new sheet'!$A$1:$IV$65536,2,0),0)</f>
        <v>0</v>
      </c>
      <c r="H347" s="5">
        <f>IFERROR(VLOOKUP(B347,'[3]new sheet'!$A$1:$IV$65536,2,0),0)</f>
        <v>0</v>
      </c>
    </row>
    <row r="348" spans="1:8" ht="24" customHeight="1">
      <c r="A348" s="7">
        <v>996845</v>
      </c>
      <c r="B348" s="7">
        <v>84</v>
      </c>
      <c r="C348" s="8" t="s">
        <v>285</v>
      </c>
      <c r="D348" s="8" t="s">
        <v>1935</v>
      </c>
      <c r="E348" s="2">
        <f>IFERROR(VLOOKUP(B348,'[1]new sheet'!$A$1:$IV$65536,5,FALSE),0)</f>
        <v>0</v>
      </c>
      <c r="F348" s="3">
        <f>IFERROR(VLOOKUP(B348,'[1]new sheet'!$A$1:$IV$65536,4,FALSE),0)</f>
        <v>0</v>
      </c>
      <c r="G348" s="4">
        <f>IFERROR(VLOOKUP(B348,'[2]new sheet'!$A$1:$IV$65536,2,0),0)</f>
        <v>63.52</v>
      </c>
      <c r="H348" s="5">
        <f>IFERROR(VLOOKUP(B348,'[3]new sheet'!$A$1:$IV$65536,2,0),0)</f>
        <v>0</v>
      </c>
    </row>
    <row r="349" spans="1:8" ht="24" customHeight="1">
      <c r="A349" s="7">
        <v>59707</v>
      </c>
      <c r="B349" s="7">
        <v>304</v>
      </c>
      <c r="C349" s="8" t="s">
        <v>286</v>
      </c>
      <c r="D349" s="8" t="s">
        <v>1934</v>
      </c>
      <c r="E349" s="2">
        <f>IFERROR(VLOOKUP(B349,'[1]new sheet'!$A$1:$IV$65536,5,FALSE),0)</f>
        <v>0</v>
      </c>
      <c r="F349" s="3">
        <f>IFERROR(VLOOKUP(B349,'[1]new sheet'!$A$1:$IV$65536,4,FALSE),0)</f>
        <v>0</v>
      </c>
      <c r="G349" s="4">
        <f>IFERROR(VLOOKUP(B349,'[2]new sheet'!$A$1:$IV$65536,2,0),0)</f>
        <v>0</v>
      </c>
      <c r="H349" s="5">
        <f>IFERROR(VLOOKUP(B349,'[3]new sheet'!$A$1:$IV$65536,2,0),0)</f>
        <v>0</v>
      </c>
    </row>
    <row r="350" spans="1:8" ht="24" customHeight="1">
      <c r="A350" s="7">
        <v>995573</v>
      </c>
      <c r="B350" s="7">
        <v>491</v>
      </c>
      <c r="C350" s="8" t="s">
        <v>287</v>
      </c>
      <c r="D350" s="8" t="s">
        <v>1934</v>
      </c>
      <c r="E350" s="2">
        <f>IFERROR(VLOOKUP(B350,'[1]new sheet'!$A$1:$IV$65536,5,FALSE),0)</f>
        <v>6</v>
      </c>
      <c r="F350" s="3">
        <f>IFERROR(VLOOKUP(B350,'[1]new sheet'!$A$1:$IV$65536,4,FALSE),0)</f>
        <v>0</v>
      </c>
      <c r="G350" s="4">
        <f>IFERROR(VLOOKUP(B350,'[2]new sheet'!$A$1:$IV$65536,2,0),0)</f>
        <v>10</v>
      </c>
      <c r="H350" s="5">
        <f>IFERROR(VLOOKUP(B350,'[3]new sheet'!$A$1:$IV$65536,2,0),0)</f>
        <v>3</v>
      </c>
    </row>
    <row r="351" spans="1:8" ht="24" customHeight="1">
      <c r="A351" s="7">
        <v>597384</v>
      </c>
      <c r="B351" s="7">
        <v>492</v>
      </c>
      <c r="C351" s="8" t="s">
        <v>288</v>
      </c>
      <c r="D351" s="8" t="s">
        <v>1934</v>
      </c>
      <c r="E351" s="2">
        <f>IFERROR(VLOOKUP(B351,'[1]new sheet'!$A$1:$IV$65536,5,FALSE),0)</f>
        <v>8</v>
      </c>
      <c r="F351" s="3">
        <f>IFERROR(VLOOKUP(B351,'[1]new sheet'!$A$1:$IV$65536,4,FALSE),0)</f>
        <v>0</v>
      </c>
      <c r="G351" s="4">
        <f>IFERROR(VLOOKUP(B351,'[2]new sheet'!$A$1:$IV$65536,2,0),0)</f>
        <v>10</v>
      </c>
      <c r="H351" s="5">
        <f>IFERROR(VLOOKUP(B351,'[3]new sheet'!$A$1:$IV$65536,2,0),0)</f>
        <v>6</v>
      </c>
    </row>
    <row r="352" spans="1:8" ht="24" customHeight="1">
      <c r="A352" s="7">
        <v>684368</v>
      </c>
      <c r="B352" s="7">
        <v>493</v>
      </c>
      <c r="C352" s="8" t="s">
        <v>289</v>
      </c>
      <c r="D352" s="8" t="s">
        <v>1934</v>
      </c>
      <c r="E352" s="2">
        <f>IFERROR(VLOOKUP(B352,'[1]new sheet'!$A$1:$IV$65536,5,FALSE),0)</f>
        <v>5</v>
      </c>
      <c r="F352" s="3">
        <f>IFERROR(VLOOKUP(B352,'[1]new sheet'!$A$1:$IV$65536,4,FALSE),0)</f>
        <v>1</v>
      </c>
      <c r="G352" s="4">
        <f>IFERROR(VLOOKUP(B352,'[2]new sheet'!$A$1:$IV$65536,2,0),0)</f>
        <v>4</v>
      </c>
      <c r="H352" s="5">
        <f>IFERROR(VLOOKUP(B352,'[3]new sheet'!$A$1:$IV$65536,2,0),0)</f>
        <v>1</v>
      </c>
    </row>
    <row r="353" spans="1:8" ht="24" customHeight="1">
      <c r="A353" s="7">
        <v>684350</v>
      </c>
      <c r="B353" s="7">
        <v>494</v>
      </c>
      <c r="C353" s="8" t="s">
        <v>290</v>
      </c>
      <c r="D353" s="8" t="s">
        <v>1934</v>
      </c>
      <c r="E353" s="2">
        <f>IFERROR(VLOOKUP(B353,'[1]new sheet'!$A$1:$IV$65536,5,FALSE),0)</f>
        <v>17</v>
      </c>
      <c r="F353" s="3">
        <f>IFERROR(VLOOKUP(B353,'[1]new sheet'!$A$1:$IV$65536,4,FALSE),0)</f>
        <v>1</v>
      </c>
      <c r="G353" s="4">
        <f>IFERROR(VLOOKUP(B353,'[2]new sheet'!$A$1:$IV$65536,2,0),0)</f>
        <v>30</v>
      </c>
      <c r="H353" s="5">
        <f>IFERROR(VLOOKUP(B353,'[3]new sheet'!$A$1:$IV$65536,2,0),0)</f>
        <v>11</v>
      </c>
    </row>
    <row r="354" spans="1:8" ht="24" customHeight="1">
      <c r="A354" s="7">
        <v>951545</v>
      </c>
      <c r="B354" s="7">
        <v>909</v>
      </c>
      <c r="C354" s="8" t="s">
        <v>291</v>
      </c>
      <c r="D354" s="8" t="s">
        <v>1934</v>
      </c>
      <c r="E354" s="2">
        <f>IFERROR(VLOOKUP(B354,'[1]new sheet'!$A$1:$IV$65536,5,FALSE),0)</f>
        <v>93</v>
      </c>
      <c r="F354" s="3">
        <f>IFERROR(VLOOKUP(B354,'[1]new sheet'!$A$1:$IV$65536,4,FALSE),0)</f>
        <v>0</v>
      </c>
      <c r="G354" s="4">
        <f>IFERROR(VLOOKUP(B354,'[2]new sheet'!$A$1:$IV$65536,2,0),0)</f>
        <v>7</v>
      </c>
      <c r="H354" s="5">
        <f>IFERROR(VLOOKUP(B354,'[3]new sheet'!$A$1:$IV$65536,2,0),0)</f>
        <v>12</v>
      </c>
    </row>
    <row r="355" spans="1:8" ht="24" customHeight="1">
      <c r="A355" s="7">
        <v>995578</v>
      </c>
      <c r="B355" s="7">
        <v>1965</v>
      </c>
      <c r="C355" s="8" t="s">
        <v>292</v>
      </c>
      <c r="D355" s="8" t="s">
        <v>1934</v>
      </c>
      <c r="E355" s="2">
        <f>IFERROR(VLOOKUP(B355,'[1]new sheet'!$A$1:$IV$65536,5,FALSE),0)</f>
        <v>0</v>
      </c>
      <c r="F355" s="3">
        <f>IFERROR(VLOOKUP(B355,'[1]new sheet'!$A$1:$IV$65536,4,FALSE),0)</f>
        <v>0</v>
      </c>
      <c r="G355" s="4">
        <f>IFERROR(VLOOKUP(B355,'[2]new sheet'!$A$1:$IV$65536,2,0),0)</f>
        <v>26</v>
      </c>
      <c r="H355" s="5">
        <f>IFERROR(VLOOKUP(B355,'[3]new sheet'!$A$1:$IV$65536,2,0),0)</f>
        <v>30</v>
      </c>
    </row>
    <row r="356" spans="1:8" ht="24" customHeight="1">
      <c r="A356" s="7">
        <v>951546</v>
      </c>
      <c r="B356" s="7">
        <v>495</v>
      </c>
      <c r="C356" s="8" t="s">
        <v>293</v>
      </c>
      <c r="D356" s="8" t="s">
        <v>1934</v>
      </c>
      <c r="E356" s="2">
        <f>IFERROR(VLOOKUP(B356,'[1]new sheet'!$A$1:$IV$65536,5,FALSE),0)</f>
        <v>0</v>
      </c>
      <c r="F356" s="3">
        <f>IFERROR(VLOOKUP(B356,'[1]new sheet'!$A$1:$IV$65536,4,FALSE),0)</f>
        <v>0</v>
      </c>
      <c r="G356" s="4">
        <f>IFERROR(VLOOKUP(B356,'[2]new sheet'!$A$1:$IV$65536,2,0),0)</f>
        <v>0</v>
      </c>
      <c r="H356" s="5">
        <f>IFERROR(VLOOKUP(B356,'[3]new sheet'!$A$1:$IV$65536,2,0),0)</f>
        <v>0</v>
      </c>
    </row>
    <row r="357" spans="1:8" ht="24" customHeight="1">
      <c r="A357" s="7">
        <v>992775</v>
      </c>
      <c r="B357" s="7">
        <v>1340</v>
      </c>
      <c r="C357" s="8" t="s">
        <v>294</v>
      </c>
      <c r="D357" s="8" t="s">
        <v>1934</v>
      </c>
      <c r="E357" s="2">
        <f>IFERROR(VLOOKUP(B357,'[1]new sheet'!$A$1:$IV$65536,5,FALSE),0)</f>
        <v>5</v>
      </c>
      <c r="F357" s="3">
        <f>IFERROR(VLOOKUP(B357,'[1]new sheet'!$A$1:$IV$65536,4,FALSE),0)</f>
        <v>0</v>
      </c>
      <c r="G357" s="4">
        <f>IFERROR(VLOOKUP(B357,'[2]new sheet'!$A$1:$IV$65536,2,0),0)</f>
        <v>6</v>
      </c>
      <c r="H357" s="5">
        <f>IFERROR(VLOOKUP(B357,'[3]new sheet'!$A$1:$IV$65536,2,0),0)</f>
        <v>5</v>
      </c>
    </row>
    <row r="358" spans="1:8" ht="24" customHeight="1">
      <c r="A358" s="7">
        <v>995499</v>
      </c>
      <c r="B358" s="7">
        <v>496</v>
      </c>
      <c r="C358" s="8" t="s">
        <v>295</v>
      </c>
      <c r="D358" s="8" t="s">
        <v>1934</v>
      </c>
      <c r="E358" s="2">
        <f>IFERROR(VLOOKUP(B358,'[1]new sheet'!$A$1:$IV$65536,5,FALSE),0)</f>
        <v>5</v>
      </c>
      <c r="F358" s="3">
        <f>IFERROR(VLOOKUP(B358,'[1]new sheet'!$A$1:$IV$65536,4,FALSE),0)</f>
        <v>0</v>
      </c>
      <c r="G358" s="4">
        <f>IFERROR(VLOOKUP(B358,'[2]new sheet'!$A$1:$IV$65536,2,0),0)</f>
        <v>7</v>
      </c>
      <c r="H358" s="5">
        <f>IFERROR(VLOOKUP(B358,'[3]new sheet'!$A$1:$IV$65536,2,0),0)</f>
        <v>2</v>
      </c>
    </row>
    <row r="359" spans="1:8" ht="24" customHeight="1">
      <c r="A359" s="7">
        <v>684392</v>
      </c>
      <c r="B359" s="7">
        <v>407</v>
      </c>
      <c r="C359" s="8" t="s">
        <v>296</v>
      </c>
      <c r="D359" s="8" t="s">
        <v>1934</v>
      </c>
      <c r="E359" s="2">
        <f>IFERROR(VLOOKUP(B359,'[1]new sheet'!$A$1:$IV$65536,5,FALSE),0)</f>
        <v>1</v>
      </c>
      <c r="F359" s="3">
        <f>IFERROR(VLOOKUP(B359,'[1]new sheet'!$A$1:$IV$65536,4,FALSE),0)</f>
        <v>0</v>
      </c>
      <c r="G359" s="4">
        <f>IFERROR(VLOOKUP(B359,'[2]new sheet'!$A$1:$IV$65536,2,0),0)</f>
        <v>10</v>
      </c>
      <c r="H359" s="5">
        <f>IFERROR(VLOOKUP(B359,'[3]new sheet'!$A$1:$IV$65536,2,0),0)</f>
        <v>17</v>
      </c>
    </row>
    <row r="360" spans="1:8" ht="24" customHeight="1">
      <c r="A360" s="7">
        <v>992701</v>
      </c>
      <c r="B360" s="7">
        <v>3181</v>
      </c>
      <c r="C360" s="8" t="s">
        <v>297</v>
      </c>
      <c r="D360" s="8" t="s">
        <v>1934</v>
      </c>
      <c r="E360" s="2">
        <f>IFERROR(VLOOKUP(B360,'[1]new sheet'!$A$1:$IV$65536,5,FALSE),0)</f>
        <v>5</v>
      </c>
      <c r="F360" s="3">
        <f>IFERROR(VLOOKUP(B360,'[1]new sheet'!$A$1:$IV$65536,4,FALSE),0)</f>
        <v>0</v>
      </c>
      <c r="G360" s="4">
        <f>IFERROR(VLOOKUP(B360,'[2]new sheet'!$A$1:$IV$65536,2,0),0)</f>
        <v>7</v>
      </c>
      <c r="H360" s="5">
        <f>IFERROR(VLOOKUP(B360,'[3]new sheet'!$A$1:$IV$65536,2,0),0)</f>
        <v>4</v>
      </c>
    </row>
    <row r="361" spans="1:8" ht="24" customHeight="1">
      <c r="A361" s="7">
        <v>31647</v>
      </c>
      <c r="B361" s="7">
        <v>303</v>
      </c>
      <c r="C361" s="8" t="s">
        <v>298</v>
      </c>
      <c r="D361" s="8" t="s">
        <v>1934</v>
      </c>
      <c r="E361" s="2">
        <f>IFERROR(VLOOKUP(B361,'[1]new sheet'!$A$1:$IV$65536,5,FALSE),0)</f>
        <v>0</v>
      </c>
      <c r="F361" s="3">
        <f>IFERROR(VLOOKUP(B361,'[1]new sheet'!$A$1:$IV$65536,4,FALSE),0)</f>
        <v>2</v>
      </c>
      <c r="G361" s="4">
        <f>IFERROR(VLOOKUP(B361,'[2]new sheet'!$A$1:$IV$65536,2,0),0)</f>
        <v>9</v>
      </c>
      <c r="H361" s="5">
        <f>IFERROR(VLOOKUP(B361,'[3]new sheet'!$A$1:$IV$65536,2,0),0)</f>
        <v>8</v>
      </c>
    </row>
    <row r="362" spans="1:8" ht="24" customHeight="1">
      <c r="A362" s="7">
        <v>170064</v>
      </c>
      <c r="B362" s="7">
        <v>3188</v>
      </c>
      <c r="C362" s="8" t="s">
        <v>1624</v>
      </c>
      <c r="D362" s="8" t="s">
        <v>1937</v>
      </c>
      <c r="E362" s="2">
        <f>IFERROR(VLOOKUP(B362,'[1]new sheet'!$A$1:$IV$65536,5,FALSE),0)</f>
        <v>473</v>
      </c>
      <c r="F362" s="3">
        <f>IFERROR(VLOOKUP(B362,'[1]new sheet'!$A$1:$IV$65536,4,FALSE),0)</f>
        <v>5</v>
      </c>
      <c r="G362" s="4">
        <f>IFERROR(VLOOKUP(B362,'[2]new sheet'!$A$1:$IV$65536,2,0),0)</f>
        <v>2</v>
      </c>
      <c r="H362" s="5">
        <f>IFERROR(VLOOKUP(B362,'[3]new sheet'!$A$1:$IV$65536,2,0),0)</f>
        <v>22</v>
      </c>
    </row>
    <row r="363" spans="1:8" ht="24" customHeight="1">
      <c r="A363" s="7"/>
      <c r="B363" s="7">
        <v>497</v>
      </c>
      <c r="C363" s="8" t="s">
        <v>299</v>
      </c>
      <c r="D363" s="8" t="s">
        <v>1935</v>
      </c>
      <c r="E363" s="2">
        <f>IFERROR(VLOOKUP(B363,'[1]new sheet'!$A$1:$IV$65536,5,FALSE),0)</f>
        <v>0</v>
      </c>
      <c r="F363" s="3">
        <f>IFERROR(VLOOKUP(B363,'[1]new sheet'!$A$1:$IV$65536,4,FALSE),0)</f>
        <v>0</v>
      </c>
      <c r="G363" s="4">
        <f>IFERROR(VLOOKUP(B363,'[2]new sheet'!$A$1:$IV$65536,2,0),0)</f>
        <v>0</v>
      </c>
      <c r="H363" s="5">
        <f>IFERROR(VLOOKUP(B363,'[3]new sheet'!$A$1:$IV$65536,2,0),0)</f>
        <v>0</v>
      </c>
    </row>
    <row r="364" spans="1:8" ht="24" customHeight="1">
      <c r="A364" s="7"/>
      <c r="B364" s="7">
        <v>786</v>
      </c>
      <c r="C364" s="8" t="s">
        <v>300</v>
      </c>
      <c r="D364" s="8" t="s">
        <v>1935</v>
      </c>
      <c r="E364" s="2">
        <f>IFERROR(VLOOKUP(B364,'[1]new sheet'!$A$1:$IV$65536,5,FALSE),0)</f>
        <v>0.01</v>
      </c>
      <c r="F364" s="3">
        <f>IFERROR(VLOOKUP(B364,'[1]new sheet'!$A$1:$IV$65536,4,FALSE),0)</f>
        <v>0</v>
      </c>
      <c r="G364" s="4">
        <f>IFERROR(VLOOKUP(B364,'[2]new sheet'!$A$1:$IV$65536,2,0),0)</f>
        <v>0</v>
      </c>
      <c r="H364" s="5">
        <f>IFERROR(VLOOKUP(B364,'[3]new sheet'!$A$1:$IV$65536,2,0),0)</f>
        <v>0</v>
      </c>
    </row>
    <row r="365" spans="1:8" ht="24" customHeight="1">
      <c r="A365" s="7">
        <v>979</v>
      </c>
      <c r="B365" s="7">
        <v>2784</v>
      </c>
      <c r="C365" s="8" t="s">
        <v>301</v>
      </c>
      <c r="D365" s="8" t="s">
        <v>1937</v>
      </c>
      <c r="E365" s="2">
        <f>IFERROR(VLOOKUP(B365,'[1]new sheet'!$A$1:$IV$65536,5,FALSE),0)</f>
        <v>70</v>
      </c>
      <c r="F365" s="3">
        <f>IFERROR(VLOOKUP(B365,'[1]new sheet'!$A$1:$IV$65536,4,FALSE),0)</f>
        <v>0</v>
      </c>
      <c r="G365" s="4">
        <f>IFERROR(VLOOKUP(B365,'[2]new sheet'!$A$1:$IV$65536,2,0),0)</f>
        <v>13</v>
      </c>
      <c r="H365" s="5">
        <f>IFERROR(VLOOKUP(B365,'[3]new sheet'!$A$1:$IV$65536,2,0),0)</f>
        <v>17</v>
      </c>
    </row>
    <row r="366" spans="1:8" ht="24" customHeight="1">
      <c r="A366" s="7">
        <v>980</v>
      </c>
      <c r="B366" s="7">
        <v>2783</v>
      </c>
      <c r="C366" s="8" t="s">
        <v>302</v>
      </c>
      <c r="D366" s="8" t="s">
        <v>1937</v>
      </c>
      <c r="E366" s="2">
        <f>IFERROR(VLOOKUP(B366,'[1]new sheet'!$A$1:$IV$65536,5,FALSE),0)</f>
        <v>56</v>
      </c>
      <c r="F366" s="3">
        <f>IFERROR(VLOOKUP(B366,'[1]new sheet'!$A$1:$IV$65536,4,FALSE),0)</f>
        <v>0</v>
      </c>
      <c r="G366" s="4">
        <f>IFERROR(VLOOKUP(B366,'[2]new sheet'!$A$1:$IV$65536,2,0),0)</f>
        <v>34</v>
      </c>
      <c r="H366" s="5">
        <f>IFERROR(VLOOKUP(B366,'[3]new sheet'!$A$1:$IV$65536,2,0),0)</f>
        <v>11</v>
      </c>
    </row>
    <row r="367" spans="1:8" ht="24" customHeight="1">
      <c r="A367" s="7"/>
      <c r="B367" s="7">
        <v>787</v>
      </c>
      <c r="C367" s="8" t="s">
        <v>303</v>
      </c>
      <c r="D367" s="8" t="s">
        <v>1937</v>
      </c>
      <c r="E367" s="2">
        <f>IFERROR(VLOOKUP(B367,'[1]new sheet'!$A$1:$IV$65536,5,FALSE),0)</f>
        <v>0</v>
      </c>
      <c r="F367" s="3">
        <f>IFERROR(VLOOKUP(B367,'[1]new sheet'!$A$1:$IV$65536,4,FALSE),0)</f>
        <v>0</v>
      </c>
      <c r="G367" s="4">
        <f>IFERROR(VLOOKUP(B367,'[2]new sheet'!$A$1:$IV$65536,2,0),0)</f>
        <v>0</v>
      </c>
      <c r="H367" s="5">
        <f>IFERROR(VLOOKUP(B367,'[3]new sheet'!$A$1:$IV$65536,2,0),0)</f>
        <v>0</v>
      </c>
    </row>
    <row r="368" spans="1:8" ht="24" customHeight="1">
      <c r="A368" s="7">
        <v>93</v>
      </c>
      <c r="B368" s="7">
        <v>192</v>
      </c>
      <c r="C368" s="8" t="s">
        <v>304</v>
      </c>
      <c r="D368" s="8" t="s">
        <v>1934</v>
      </c>
      <c r="E368" s="2">
        <f>IFERROR(VLOOKUP(B368,'[1]new sheet'!$A$1:$IV$65536,5,FALSE),0)</f>
        <v>132</v>
      </c>
      <c r="F368" s="3">
        <f>IFERROR(VLOOKUP(B368,'[1]new sheet'!$A$1:$IV$65536,4,FALSE),0)</f>
        <v>1</v>
      </c>
      <c r="G368" s="4">
        <f>IFERROR(VLOOKUP(B368,'[2]new sheet'!$A$1:$IV$65536,2,0),0)</f>
        <v>112</v>
      </c>
      <c r="H368" s="5">
        <f>IFERROR(VLOOKUP(B368,'[3]new sheet'!$A$1:$IV$65536,2,0),0)</f>
        <v>38</v>
      </c>
    </row>
    <row r="369" spans="1:8" ht="24" customHeight="1">
      <c r="A369" s="7">
        <v>18</v>
      </c>
      <c r="B369" s="7">
        <v>193</v>
      </c>
      <c r="C369" s="8" t="s">
        <v>305</v>
      </c>
      <c r="D369" s="8" t="s">
        <v>1934</v>
      </c>
      <c r="E369" s="2">
        <f>IFERROR(VLOOKUP(B369,'[1]new sheet'!$A$1:$IV$65536,5,FALSE),0)</f>
        <v>222</v>
      </c>
      <c r="F369" s="3">
        <f>IFERROR(VLOOKUP(B369,'[1]new sheet'!$A$1:$IV$65536,4,FALSE),0)</f>
        <v>2</v>
      </c>
      <c r="G369" s="4">
        <f>IFERROR(VLOOKUP(B369,'[2]new sheet'!$A$1:$IV$65536,2,0),0)</f>
        <v>93</v>
      </c>
      <c r="H369" s="5">
        <f>IFERROR(VLOOKUP(B369,'[3]new sheet'!$A$1:$IV$65536,2,0),0)</f>
        <v>23</v>
      </c>
    </row>
    <row r="370" spans="1:8" ht="24" customHeight="1">
      <c r="A370" s="7">
        <v>22</v>
      </c>
      <c r="B370" s="7">
        <v>498</v>
      </c>
      <c r="C370" s="8" t="s">
        <v>306</v>
      </c>
      <c r="D370" s="8" t="s">
        <v>1934</v>
      </c>
      <c r="E370" s="2">
        <f>IFERROR(VLOOKUP(B370,'[1]new sheet'!$A$1:$IV$65536,5,FALSE),0)</f>
        <v>134</v>
      </c>
      <c r="F370" s="3">
        <f>IFERROR(VLOOKUP(B370,'[1]new sheet'!$A$1:$IV$65536,4,FALSE),0)</f>
        <v>1</v>
      </c>
      <c r="G370" s="4">
        <f>IFERROR(VLOOKUP(B370,'[2]new sheet'!$A$1:$IV$65536,2,0),0)</f>
        <v>43</v>
      </c>
      <c r="H370" s="5">
        <f>IFERROR(VLOOKUP(B370,'[3]new sheet'!$A$1:$IV$65536,2,0),0)</f>
        <v>16</v>
      </c>
    </row>
    <row r="371" spans="1:8" ht="24" customHeight="1">
      <c r="A371" s="7">
        <v>431</v>
      </c>
      <c r="B371" s="7">
        <v>4249</v>
      </c>
      <c r="C371" s="8" t="s">
        <v>1868</v>
      </c>
      <c r="D371" s="8" t="s">
        <v>1937</v>
      </c>
      <c r="E371" s="2">
        <f>IFERROR(VLOOKUP(B371,'[1]new sheet'!$A$1:$IV$65536,5,FALSE),0)</f>
        <v>48</v>
      </c>
      <c r="F371" s="3">
        <f>IFERROR(VLOOKUP(B371,'[1]new sheet'!$A$1:$IV$65536,4,FALSE),0)</f>
        <v>0</v>
      </c>
      <c r="G371" s="4">
        <f>IFERROR(VLOOKUP(B371,'[2]new sheet'!$A$1:$IV$65536,2,0),0)</f>
        <v>1</v>
      </c>
      <c r="H371" s="5">
        <f>IFERROR(VLOOKUP(B371,'[3]new sheet'!$A$1:$IV$65536,2,0),0)</f>
        <v>1</v>
      </c>
    </row>
    <row r="372" spans="1:8" ht="24" customHeight="1">
      <c r="A372" s="7" t="s">
        <v>307</v>
      </c>
      <c r="B372" s="7">
        <v>1704</v>
      </c>
      <c r="C372" s="8" t="s">
        <v>308</v>
      </c>
      <c r="D372" s="8" t="s">
        <v>1935</v>
      </c>
      <c r="E372" s="2">
        <f>IFERROR(VLOOKUP(B372,'[1]new sheet'!$A$1:$IV$65536,5,FALSE),0)</f>
        <v>0</v>
      </c>
      <c r="F372" s="3">
        <f>IFERROR(VLOOKUP(B372,'[1]new sheet'!$A$1:$IV$65536,4,FALSE),0)</f>
        <v>0</v>
      </c>
      <c r="G372" s="4">
        <f>IFERROR(VLOOKUP(B372,'[2]new sheet'!$A$1:$IV$65536,2,0),0)</f>
        <v>0</v>
      </c>
      <c r="H372" s="5">
        <f>IFERROR(VLOOKUP(B372,'[3]new sheet'!$A$1:$IV$65536,2,0),0)</f>
        <v>0</v>
      </c>
    </row>
    <row r="373" spans="1:8" ht="24" customHeight="1">
      <c r="A373" s="7"/>
      <c r="B373" s="7">
        <v>70</v>
      </c>
      <c r="C373" s="8" t="s">
        <v>309</v>
      </c>
      <c r="D373" s="8" t="s">
        <v>1935</v>
      </c>
      <c r="E373" s="2">
        <f>IFERROR(VLOOKUP(B373,'[1]new sheet'!$A$1:$IV$65536,5,FALSE),0)</f>
        <v>0</v>
      </c>
      <c r="F373" s="3">
        <f>IFERROR(VLOOKUP(B373,'[1]new sheet'!$A$1:$IV$65536,4,FALSE),0)</f>
        <v>0</v>
      </c>
      <c r="G373" s="4">
        <f>IFERROR(VLOOKUP(B373,'[2]new sheet'!$A$1:$IV$65536,2,0),0)</f>
        <v>0</v>
      </c>
      <c r="H373" s="5">
        <f>IFERROR(VLOOKUP(B373,'[3]new sheet'!$A$1:$IV$65536,2,0),0)</f>
        <v>0</v>
      </c>
    </row>
    <row r="374" spans="1:8" ht="24" customHeight="1">
      <c r="A374" s="7"/>
      <c r="B374" s="7">
        <v>500</v>
      </c>
      <c r="C374" s="8" t="s">
        <v>310</v>
      </c>
      <c r="D374" s="8" t="s">
        <v>1935</v>
      </c>
      <c r="E374" s="2">
        <f>IFERROR(VLOOKUP(B374,'[1]new sheet'!$A$1:$IV$65536,5,FALSE),0)</f>
        <v>0</v>
      </c>
      <c r="F374" s="3">
        <f>IFERROR(VLOOKUP(B374,'[1]new sheet'!$A$1:$IV$65536,4,FALSE),0)</f>
        <v>0</v>
      </c>
      <c r="G374" s="4">
        <f>IFERROR(VLOOKUP(B374,'[2]new sheet'!$A$1:$IV$65536,2,0),0)</f>
        <v>0</v>
      </c>
      <c r="H374" s="5">
        <f>IFERROR(VLOOKUP(B374,'[3]new sheet'!$A$1:$IV$65536,2,0),0)</f>
        <v>0</v>
      </c>
    </row>
    <row r="375" spans="1:8" ht="24" customHeight="1">
      <c r="A375" s="7">
        <v>114211</v>
      </c>
      <c r="B375" s="7">
        <v>2715</v>
      </c>
      <c r="C375" s="8" t="s">
        <v>311</v>
      </c>
      <c r="D375" s="8" t="s">
        <v>1935</v>
      </c>
      <c r="E375" s="2">
        <f>IFERROR(VLOOKUP(B375,'[1]new sheet'!$A$1:$IV$65536,5,FALSE),0)</f>
        <v>0</v>
      </c>
      <c r="F375" s="3">
        <f>IFERROR(VLOOKUP(B375,'[1]new sheet'!$A$1:$IV$65536,4,FALSE),0)</f>
        <v>0</v>
      </c>
      <c r="G375" s="4">
        <f>IFERROR(VLOOKUP(B375,'[2]new sheet'!$A$1:$IV$65536,2,0),0)</f>
        <v>0</v>
      </c>
      <c r="H375" s="5">
        <f>IFERROR(VLOOKUP(B375,'[3]new sheet'!$A$1:$IV$65536,2,0),0)</f>
        <v>0</v>
      </c>
    </row>
    <row r="376" spans="1:8" ht="24" customHeight="1">
      <c r="A376" s="7">
        <v>9000011765</v>
      </c>
      <c r="B376" s="7">
        <v>3173</v>
      </c>
      <c r="C376" s="8" t="s">
        <v>1869</v>
      </c>
      <c r="D376" s="8" t="s">
        <v>1935</v>
      </c>
      <c r="E376" s="2">
        <f>IFERROR(VLOOKUP(B376,'[1]new sheet'!$A$1:$IV$65536,5,FALSE),0)</f>
        <v>1008.23</v>
      </c>
      <c r="F376" s="3">
        <f>IFERROR(VLOOKUP(B376,'[1]new sheet'!$A$1:$IV$65536,4,FALSE),0)</f>
        <v>0</v>
      </c>
      <c r="G376" s="4">
        <f>IFERROR(VLOOKUP(B376,'[2]new sheet'!$A$1:$IV$65536,2,0),0)</f>
        <v>161.34</v>
      </c>
      <c r="H376" s="5">
        <f>IFERROR(VLOOKUP(B376,'[3]new sheet'!$A$1:$IV$65536,2,0),0)</f>
        <v>67.44</v>
      </c>
    </row>
    <row r="377" spans="1:8" ht="24" customHeight="1">
      <c r="A377" s="7">
        <v>320802</v>
      </c>
      <c r="B377" s="7">
        <v>71</v>
      </c>
      <c r="C377" s="8" t="s">
        <v>312</v>
      </c>
      <c r="D377" s="8" t="s">
        <v>1935</v>
      </c>
      <c r="E377" s="2">
        <f>IFERROR(VLOOKUP(B377,'[1]new sheet'!$A$1:$IV$65536,5,FALSE),0)</f>
        <v>0</v>
      </c>
      <c r="F377" s="3">
        <f>IFERROR(VLOOKUP(B377,'[1]new sheet'!$A$1:$IV$65536,4,FALSE),0)</f>
        <v>0</v>
      </c>
      <c r="G377" s="4">
        <f>IFERROR(VLOOKUP(B377,'[2]new sheet'!$A$1:$IV$65536,2,0),0)</f>
        <v>0</v>
      </c>
      <c r="H377" s="5">
        <f>IFERROR(VLOOKUP(B377,'[3]new sheet'!$A$1:$IV$65536,2,0),0)</f>
        <v>0</v>
      </c>
    </row>
    <row r="378" spans="1:8" ht="24" customHeight="1">
      <c r="A378" s="7" t="s">
        <v>313</v>
      </c>
      <c r="B378" s="7">
        <v>1067</v>
      </c>
      <c r="C378" s="8" t="s">
        <v>314</v>
      </c>
      <c r="D378" s="8" t="s">
        <v>1935</v>
      </c>
      <c r="E378" s="2">
        <f>IFERROR(VLOOKUP(B378,'[1]new sheet'!$A$1:$IV$65536,5,FALSE),0)</f>
        <v>0</v>
      </c>
      <c r="F378" s="3">
        <f>IFERROR(VLOOKUP(B378,'[1]new sheet'!$A$1:$IV$65536,4,FALSE),0)</f>
        <v>0</v>
      </c>
      <c r="G378" s="4">
        <f>IFERROR(VLOOKUP(B378,'[2]new sheet'!$A$1:$IV$65536,2,0),0)</f>
        <v>0</v>
      </c>
      <c r="H378" s="5">
        <f>IFERROR(VLOOKUP(B378,'[3]new sheet'!$A$1:$IV$65536,2,0),0)</f>
        <v>0</v>
      </c>
    </row>
    <row r="379" spans="1:8" ht="24" customHeight="1">
      <c r="A379" s="7">
        <v>256</v>
      </c>
      <c r="B379" s="7">
        <v>499</v>
      </c>
      <c r="C379" s="8" t="s">
        <v>315</v>
      </c>
      <c r="D379" s="8" t="s">
        <v>1935</v>
      </c>
      <c r="E379" s="2">
        <f>IFERROR(VLOOKUP(B379,'[1]new sheet'!$A$1:$IV$65536,5,FALSE),0)</f>
        <v>160.72</v>
      </c>
      <c r="F379" s="3">
        <f>IFERROR(VLOOKUP(B379,'[1]new sheet'!$A$1:$IV$65536,4,FALSE),0)</f>
        <v>0</v>
      </c>
      <c r="G379" s="4">
        <f>IFERROR(VLOOKUP(B379,'[2]new sheet'!$A$1:$IV$65536,2,0),0)</f>
        <v>1038.58</v>
      </c>
      <c r="H379" s="5">
        <f>IFERROR(VLOOKUP(B379,'[3]new sheet'!$A$1:$IV$65536,2,0),0)</f>
        <v>256.97000000000003</v>
      </c>
    </row>
    <row r="380" spans="1:8" ht="24" customHeight="1">
      <c r="A380" s="7" t="s">
        <v>316</v>
      </c>
      <c r="B380" s="7">
        <v>1701</v>
      </c>
      <c r="C380" s="8" t="s">
        <v>317</v>
      </c>
      <c r="D380" s="8" t="s">
        <v>1935</v>
      </c>
      <c r="E380" s="2">
        <f>IFERROR(VLOOKUP(B380,'[1]new sheet'!$A$1:$IV$65536,5,FALSE),0)</f>
        <v>0</v>
      </c>
      <c r="F380" s="3">
        <f>IFERROR(VLOOKUP(B380,'[1]new sheet'!$A$1:$IV$65536,4,FALSE),0)</f>
        <v>0</v>
      </c>
      <c r="G380" s="4">
        <f>IFERROR(VLOOKUP(B380,'[2]new sheet'!$A$1:$IV$65536,2,0),0)</f>
        <v>0</v>
      </c>
      <c r="H380" s="5">
        <f>IFERROR(VLOOKUP(B380,'[3]new sheet'!$A$1:$IV$65536,2,0),0)</f>
        <v>0</v>
      </c>
    </row>
    <row r="381" spans="1:8" ht="24" customHeight="1">
      <c r="A381" s="7">
        <v>991301</v>
      </c>
      <c r="B381" s="7">
        <v>3361</v>
      </c>
      <c r="C381" s="8" t="s">
        <v>318</v>
      </c>
      <c r="D381" s="8" t="s">
        <v>1934</v>
      </c>
      <c r="E381" s="2">
        <f>IFERROR(VLOOKUP(B381,'[1]new sheet'!$A$1:$IV$65536,5,FALSE),0)</f>
        <v>0</v>
      </c>
      <c r="F381" s="3">
        <f>IFERROR(VLOOKUP(B381,'[1]new sheet'!$A$1:$IV$65536,4,FALSE),0)</f>
        <v>0</v>
      </c>
      <c r="G381" s="4">
        <f>IFERROR(VLOOKUP(B381,'[2]new sheet'!$A$1:$IV$65536,2,0),0)</f>
        <v>2</v>
      </c>
      <c r="H381" s="5">
        <f>IFERROR(VLOOKUP(B381,'[3]new sheet'!$A$1:$IV$65536,2,0),0)</f>
        <v>0</v>
      </c>
    </row>
    <row r="382" spans="1:8" ht="24" customHeight="1">
      <c r="A382" s="7">
        <v>26</v>
      </c>
      <c r="B382" s="7">
        <v>1022</v>
      </c>
      <c r="C382" s="8" t="s">
        <v>319</v>
      </c>
      <c r="D382" s="8" t="s">
        <v>1935</v>
      </c>
      <c r="E382" s="2">
        <f>IFERROR(VLOOKUP(B382,'[1]new sheet'!$A$1:$IV$65536,5,FALSE),0)</f>
        <v>0.01</v>
      </c>
      <c r="F382" s="3">
        <f>IFERROR(VLOOKUP(B382,'[1]new sheet'!$A$1:$IV$65536,4,FALSE),0)</f>
        <v>0</v>
      </c>
      <c r="G382" s="4">
        <f>IFERROR(VLOOKUP(B382,'[2]new sheet'!$A$1:$IV$65536,2,0),0)</f>
        <v>0</v>
      </c>
      <c r="H382" s="5">
        <f>IFERROR(VLOOKUP(B382,'[3]new sheet'!$A$1:$IV$65536,2,0),0)</f>
        <v>0</v>
      </c>
    </row>
    <row r="383" spans="1:8" ht="24" customHeight="1">
      <c r="A383" s="7" t="s">
        <v>320</v>
      </c>
      <c r="B383" s="7">
        <v>72</v>
      </c>
      <c r="C383" s="8" t="s">
        <v>321</v>
      </c>
      <c r="D383" s="8" t="s">
        <v>1935</v>
      </c>
      <c r="E383" s="2">
        <f>IFERROR(VLOOKUP(B383,'[1]new sheet'!$A$1:$IV$65536,5,FALSE),0)</f>
        <v>0</v>
      </c>
      <c r="F383" s="3">
        <f>IFERROR(VLOOKUP(B383,'[1]new sheet'!$A$1:$IV$65536,4,FALSE),0)</f>
        <v>0</v>
      </c>
      <c r="G383" s="4">
        <f>IFERROR(VLOOKUP(B383,'[2]new sheet'!$A$1:$IV$65536,2,0),0)</f>
        <v>1773.18</v>
      </c>
      <c r="H383" s="5">
        <f>IFERROR(VLOOKUP(B383,'[3]new sheet'!$A$1:$IV$65536,2,0),0)</f>
        <v>272.82</v>
      </c>
    </row>
    <row r="384" spans="1:8" ht="24" customHeight="1">
      <c r="A384" s="7"/>
      <c r="B384" s="7">
        <v>77</v>
      </c>
      <c r="C384" s="8" t="s">
        <v>1756</v>
      </c>
      <c r="D384" s="8" t="s">
        <v>1935</v>
      </c>
      <c r="E384" s="2">
        <f>IFERROR(VLOOKUP(B384,'[1]new sheet'!$A$1:$IV$65536,5,FALSE),0)</f>
        <v>0</v>
      </c>
      <c r="F384" s="3">
        <f>IFERROR(VLOOKUP(B384,'[1]new sheet'!$A$1:$IV$65536,4,FALSE),0)</f>
        <v>0</v>
      </c>
      <c r="G384" s="4">
        <f>IFERROR(VLOOKUP(B384,'[2]new sheet'!$A$1:$IV$65536,2,0),0)</f>
        <v>0</v>
      </c>
      <c r="H384" s="5">
        <f>IFERROR(VLOOKUP(B384,'[3]new sheet'!$A$1:$IV$65536,2,0),0)</f>
        <v>0</v>
      </c>
    </row>
    <row r="385" spans="1:8" ht="24" customHeight="1">
      <c r="A385" s="7">
        <v>18163</v>
      </c>
      <c r="B385" s="7">
        <v>788</v>
      </c>
      <c r="C385" s="8" t="s">
        <v>322</v>
      </c>
      <c r="D385" s="8" t="s">
        <v>1934</v>
      </c>
      <c r="E385" s="2">
        <f>IFERROR(VLOOKUP(B385,'[1]new sheet'!$A$1:$IV$65536,5,FALSE),0)</f>
        <v>0</v>
      </c>
      <c r="F385" s="3">
        <f>IFERROR(VLOOKUP(B385,'[1]new sheet'!$A$1:$IV$65536,4,FALSE),0)</f>
        <v>0</v>
      </c>
      <c r="G385" s="4">
        <f>IFERROR(VLOOKUP(B385,'[2]new sheet'!$A$1:$IV$65536,2,0),0)</f>
        <v>0</v>
      </c>
      <c r="H385" s="5">
        <f>IFERROR(VLOOKUP(B385,'[3]new sheet'!$A$1:$IV$65536,2,0),0)</f>
        <v>0</v>
      </c>
    </row>
    <row r="386" spans="1:8" ht="24" customHeight="1">
      <c r="A386" s="7">
        <v>1830</v>
      </c>
      <c r="B386" s="7">
        <v>73</v>
      </c>
      <c r="C386" s="8" t="s">
        <v>323</v>
      </c>
      <c r="D386" s="8" t="s">
        <v>1934</v>
      </c>
      <c r="E386" s="2">
        <f>IFERROR(VLOOKUP(B386,'[1]new sheet'!$A$1:$IV$65536,5,FALSE),0)</f>
        <v>0</v>
      </c>
      <c r="F386" s="3">
        <f>IFERROR(VLOOKUP(B386,'[1]new sheet'!$A$1:$IV$65536,4,FALSE),0)</f>
        <v>0</v>
      </c>
      <c r="G386" s="4">
        <f>IFERROR(VLOOKUP(B386,'[2]new sheet'!$A$1:$IV$65536,2,0),0)</f>
        <v>0</v>
      </c>
      <c r="H386" s="5">
        <f>IFERROR(VLOOKUP(B386,'[3]new sheet'!$A$1:$IV$65536,2,0),0)</f>
        <v>0</v>
      </c>
    </row>
    <row r="387" spans="1:8" ht="24" customHeight="1">
      <c r="A387" s="7">
        <v>5005520</v>
      </c>
      <c r="B387" s="7">
        <v>4123</v>
      </c>
      <c r="C387" s="8" t="s">
        <v>1737</v>
      </c>
      <c r="D387" s="8" t="s">
        <v>1934</v>
      </c>
      <c r="E387" s="2">
        <f>IFERROR(VLOOKUP(B387,'[1]new sheet'!$A$1:$IV$65536,5,FALSE),0)</f>
        <v>18</v>
      </c>
      <c r="F387" s="3">
        <f>IFERROR(VLOOKUP(B387,'[1]new sheet'!$A$1:$IV$65536,4,FALSE),0)</f>
        <v>4</v>
      </c>
      <c r="G387" s="4">
        <f>IFERROR(VLOOKUP(B387,'[2]new sheet'!$A$1:$IV$65536,2,0),0)</f>
        <v>96</v>
      </c>
      <c r="H387" s="5">
        <f>IFERROR(VLOOKUP(B387,'[3]new sheet'!$A$1:$IV$65536,2,0),0)</f>
        <v>33</v>
      </c>
    </row>
    <row r="388" spans="1:8" ht="24" customHeight="1">
      <c r="A388" s="7">
        <v>14600</v>
      </c>
      <c r="B388" s="7">
        <v>501</v>
      </c>
      <c r="C388" s="8" t="s">
        <v>324</v>
      </c>
      <c r="D388" s="8" t="s">
        <v>1934</v>
      </c>
      <c r="E388" s="2">
        <f>IFERROR(VLOOKUP(B388,'[1]new sheet'!$A$1:$IV$65536,5,FALSE),0)</f>
        <v>0</v>
      </c>
      <c r="F388" s="3">
        <f>IFERROR(VLOOKUP(B388,'[1]new sheet'!$A$1:$IV$65536,4,FALSE),0)</f>
        <v>0</v>
      </c>
      <c r="G388" s="4">
        <f>IFERROR(VLOOKUP(B388,'[2]new sheet'!$A$1:$IV$65536,2,0),0)</f>
        <v>0</v>
      </c>
      <c r="H388" s="5">
        <f>IFERROR(VLOOKUP(B388,'[3]new sheet'!$A$1:$IV$65536,2,0),0)</f>
        <v>0</v>
      </c>
    </row>
    <row r="389" spans="1:8" ht="24" customHeight="1">
      <c r="A389" s="7">
        <v>1000016</v>
      </c>
      <c r="B389" s="7">
        <v>3822</v>
      </c>
      <c r="C389" s="8" t="s">
        <v>1547</v>
      </c>
      <c r="D389" s="8" t="s">
        <v>1934</v>
      </c>
      <c r="E389" s="2">
        <f>IFERROR(VLOOKUP(B389,'[1]new sheet'!$A$1:$IV$65536,5,FALSE),0)</f>
        <v>488</v>
      </c>
      <c r="F389" s="3">
        <f>IFERROR(VLOOKUP(B389,'[1]new sheet'!$A$1:$IV$65536,4,FALSE),0)</f>
        <v>2</v>
      </c>
      <c r="G389" s="4">
        <f>IFERROR(VLOOKUP(B389,'[2]new sheet'!$A$1:$IV$65536,2,0),0)</f>
        <v>55</v>
      </c>
      <c r="H389" s="5">
        <f>IFERROR(VLOOKUP(B389,'[3]new sheet'!$A$1:$IV$65536,2,0),0)</f>
        <v>26</v>
      </c>
    </row>
    <row r="390" spans="1:8" s="6" customFormat="1" ht="24" customHeight="1">
      <c r="A390" s="7">
        <v>15423</v>
      </c>
      <c r="B390" s="7">
        <v>876</v>
      </c>
      <c r="C390" s="8" t="s">
        <v>325</v>
      </c>
      <c r="D390" s="8" t="s">
        <v>1934</v>
      </c>
      <c r="E390" s="2">
        <f>IFERROR(VLOOKUP(B390,'[1]new sheet'!$A$1:$IV$65536,5,FALSE),0)</f>
        <v>0</v>
      </c>
      <c r="F390" s="3">
        <f>IFERROR(VLOOKUP(B390,'[1]new sheet'!$A$1:$IV$65536,4,FALSE),0)</f>
        <v>0</v>
      </c>
      <c r="G390" s="4">
        <f>IFERROR(VLOOKUP(B390,'[2]new sheet'!$A$1:$IV$65536,2,0),0)</f>
        <v>0</v>
      </c>
      <c r="H390" s="5">
        <f>IFERROR(VLOOKUP(B390,'[3]new sheet'!$A$1:$IV$65536,2,0),0)</f>
        <v>0</v>
      </c>
    </row>
    <row r="391" spans="1:8" ht="24" customHeight="1">
      <c r="A391" s="7">
        <v>229939</v>
      </c>
      <c r="B391" s="7">
        <v>3828</v>
      </c>
      <c r="C391" s="8" t="s">
        <v>1663</v>
      </c>
      <c r="D391" s="8" t="s">
        <v>1934</v>
      </c>
      <c r="E391" s="2">
        <f>IFERROR(VLOOKUP(B391,'[1]new sheet'!$A$1:$IV$65536,5,FALSE),0)</f>
        <v>0</v>
      </c>
      <c r="F391" s="3">
        <f>IFERROR(VLOOKUP(B391,'[1]new sheet'!$A$1:$IV$65536,4,FALSE),0)</f>
        <v>0</v>
      </c>
      <c r="G391" s="4">
        <f>IFERROR(VLOOKUP(B391,'[2]new sheet'!$A$1:$IV$65536,2,0),0)</f>
        <v>0</v>
      </c>
      <c r="H391" s="5">
        <f>IFERROR(VLOOKUP(B391,'[3]new sheet'!$A$1:$IV$65536,2,0),0)</f>
        <v>0</v>
      </c>
    </row>
    <row r="392" spans="1:8" ht="24" customHeight="1">
      <c r="A392" s="7">
        <v>3005530</v>
      </c>
      <c r="B392" s="7">
        <v>4124</v>
      </c>
      <c r="C392" s="8" t="s">
        <v>1738</v>
      </c>
      <c r="D392" s="8" t="s">
        <v>1934</v>
      </c>
      <c r="E392" s="2">
        <f>IFERROR(VLOOKUP(B392,'[1]new sheet'!$A$1:$IV$65536,5,FALSE),0)</f>
        <v>0</v>
      </c>
      <c r="F392" s="3">
        <f>IFERROR(VLOOKUP(B392,'[1]new sheet'!$A$1:$IV$65536,4,FALSE),0)</f>
        <v>0</v>
      </c>
      <c r="G392" s="4">
        <f>IFERROR(VLOOKUP(B392,'[2]new sheet'!$A$1:$IV$65536,2,0),0)</f>
        <v>130</v>
      </c>
      <c r="H392" s="5">
        <f>IFERROR(VLOOKUP(B392,'[3]new sheet'!$A$1:$IV$65536,2,0),0)</f>
        <v>0</v>
      </c>
    </row>
    <row r="393" spans="1:8" ht="24" customHeight="1">
      <c r="A393" s="7"/>
      <c r="B393" s="7">
        <v>74</v>
      </c>
      <c r="C393" s="8" t="s">
        <v>326</v>
      </c>
      <c r="D393" s="8" t="s">
        <v>1934</v>
      </c>
      <c r="E393" s="2">
        <f>IFERROR(VLOOKUP(B393,'[1]new sheet'!$A$1:$IV$65536,5,FALSE),0)</f>
        <v>0</v>
      </c>
      <c r="F393" s="3">
        <f>IFERROR(VLOOKUP(B393,'[1]new sheet'!$A$1:$IV$65536,4,FALSE),0)</f>
        <v>0</v>
      </c>
      <c r="G393" s="4">
        <f>IFERROR(VLOOKUP(B393,'[2]new sheet'!$A$1:$IV$65536,2,0),0)</f>
        <v>0</v>
      </c>
      <c r="H393" s="5">
        <f>IFERROR(VLOOKUP(B393,'[3]new sheet'!$A$1:$IV$65536,2,0),0)</f>
        <v>0</v>
      </c>
    </row>
    <row r="394" spans="1:8" ht="24" customHeight="1">
      <c r="A394" s="7">
        <v>15700</v>
      </c>
      <c r="B394" s="7">
        <v>502</v>
      </c>
      <c r="C394" s="8" t="s">
        <v>327</v>
      </c>
      <c r="D394" s="8" t="s">
        <v>1934</v>
      </c>
      <c r="E394" s="2">
        <f>IFERROR(VLOOKUP(B394,'[1]new sheet'!$A$1:$IV$65536,5,FALSE),0)</f>
        <v>0</v>
      </c>
      <c r="F394" s="3">
        <f>IFERROR(VLOOKUP(B394,'[1]new sheet'!$A$1:$IV$65536,4,FALSE),0)</f>
        <v>0</v>
      </c>
      <c r="G394" s="4">
        <f>IFERROR(VLOOKUP(B394,'[2]new sheet'!$A$1:$IV$65536,2,0),0)</f>
        <v>0</v>
      </c>
      <c r="H394" s="5">
        <f>IFERROR(VLOOKUP(B394,'[3]new sheet'!$A$1:$IV$65536,2,0),0)</f>
        <v>0</v>
      </c>
    </row>
    <row r="395" spans="1:8" ht="24" customHeight="1">
      <c r="A395" s="7">
        <v>3630</v>
      </c>
      <c r="B395" s="7">
        <v>1811</v>
      </c>
      <c r="C395" s="8" t="s">
        <v>328</v>
      </c>
      <c r="D395" s="8" t="s">
        <v>1934</v>
      </c>
      <c r="E395" s="2">
        <f>IFERROR(VLOOKUP(B395,'[1]new sheet'!$A$1:$IV$65536,5,FALSE),0)</f>
        <v>0</v>
      </c>
      <c r="F395" s="3">
        <f>IFERROR(VLOOKUP(B395,'[1]new sheet'!$A$1:$IV$65536,4,FALSE),0)</f>
        <v>0</v>
      </c>
      <c r="G395" s="4">
        <f>IFERROR(VLOOKUP(B395,'[2]new sheet'!$A$1:$IV$65536,2,0),0)</f>
        <v>0</v>
      </c>
      <c r="H395" s="5">
        <f>IFERROR(VLOOKUP(B395,'[3]new sheet'!$A$1:$IV$65536,2,0),0)</f>
        <v>0</v>
      </c>
    </row>
    <row r="396" spans="1:8" ht="24" customHeight="1">
      <c r="A396" s="7">
        <v>15700</v>
      </c>
      <c r="B396" s="7">
        <v>2679</v>
      </c>
      <c r="C396" s="8" t="s">
        <v>329</v>
      </c>
      <c r="D396" s="8" t="s">
        <v>1934</v>
      </c>
      <c r="E396" s="2">
        <f>IFERROR(VLOOKUP(B396,'[1]new sheet'!$A$1:$IV$65536,5,FALSE),0)</f>
        <v>0</v>
      </c>
      <c r="F396" s="3">
        <f>IFERROR(VLOOKUP(B396,'[1]new sheet'!$A$1:$IV$65536,4,FALSE),0)</f>
        <v>0</v>
      </c>
      <c r="G396" s="4">
        <f>IFERROR(VLOOKUP(B396,'[2]new sheet'!$A$1:$IV$65536,2,0),0)</f>
        <v>0</v>
      </c>
      <c r="H396" s="5">
        <f>IFERROR(VLOOKUP(B396,'[3]new sheet'!$A$1:$IV$65536,2,0),0)</f>
        <v>0</v>
      </c>
    </row>
    <row r="397" spans="1:8" ht="24" customHeight="1">
      <c r="A397" s="7">
        <v>10000159</v>
      </c>
      <c r="B397" s="7">
        <v>4151</v>
      </c>
      <c r="C397" s="8" t="s">
        <v>1759</v>
      </c>
      <c r="D397" s="8" t="s">
        <v>1934</v>
      </c>
      <c r="E397" s="2">
        <f>IFERROR(VLOOKUP(B397,'[1]new sheet'!$A$1:$IV$65536,5,FALSE),0)</f>
        <v>15</v>
      </c>
      <c r="F397" s="3">
        <f>IFERROR(VLOOKUP(B397,'[1]new sheet'!$A$1:$IV$65536,4,FALSE),0)</f>
        <v>8</v>
      </c>
      <c r="G397" s="4">
        <f>IFERROR(VLOOKUP(B397,'[2]new sheet'!$A$1:$IV$65536,2,0),0)</f>
        <v>119</v>
      </c>
      <c r="H397" s="5">
        <f>IFERROR(VLOOKUP(B397,'[3]new sheet'!$A$1:$IV$65536,2,0),0)</f>
        <v>54</v>
      </c>
    </row>
    <row r="398" spans="1:8" ht="24" customHeight="1">
      <c r="A398" s="7">
        <v>996310</v>
      </c>
      <c r="B398" s="7">
        <v>2001</v>
      </c>
      <c r="C398" s="8" t="s">
        <v>330</v>
      </c>
      <c r="D398" s="8" t="s">
        <v>1934</v>
      </c>
      <c r="E398" s="2">
        <f>IFERROR(VLOOKUP(B398,'[1]new sheet'!$A$1:$IV$65536,5,FALSE),0)</f>
        <v>320</v>
      </c>
      <c r="F398" s="3">
        <f>IFERROR(VLOOKUP(B398,'[1]new sheet'!$A$1:$IV$65536,4,FALSE),0)</f>
        <v>5</v>
      </c>
      <c r="G398" s="4">
        <f>IFERROR(VLOOKUP(B398,'[2]new sheet'!$A$1:$IV$65536,2,0),0)</f>
        <v>19</v>
      </c>
      <c r="H398" s="5">
        <f>IFERROR(VLOOKUP(B398,'[3]new sheet'!$A$1:$IV$65536,2,0),0)</f>
        <v>2</v>
      </c>
    </row>
    <row r="399" spans="1:8" s="6" customFormat="1" ht="24" customHeight="1">
      <c r="A399" s="7">
        <v>996310</v>
      </c>
      <c r="B399" s="7">
        <v>1612</v>
      </c>
      <c r="C399" s="8" t="s">
        <v>331</v>
      </c>
      <c r="D399" s="8" t="s">
        <v>1934</v>
      </c>
      <c r="E399" s="2">
        <f>IFERROR(VLOOKUP(B399,'[1]new sheet'!$A$1:$IV$65536,5,FALSE),0)</f>
        <v>0</v>
      </c>
      <c r="F399" s="3">
        <f>IFERROR(VLOOKUP(B399,'[1]new sheet'!$A$1:$IV$65536,4,FALSE),0)</f>
        <v>0</v>
      </c>
      <c r="G399" s="4">
        <f>IFERROR(VLOOKUP(B399,'[2]new sheet'!$A$1:$IV$65536,2,0),0)</f>
        <v>0</v>
      </c>
      <c r="H399" s="5">
        <f>IFERROR(VLOOKUP(B399,'[3]new sheet'!$A$1:$IV$65536,2,0),0)</f>
        <v>0</v>
      </c>
    </row>
    <row r="400" spans="1:8" ht="24" customHeight="1">
      <c r="A400" s="7" t="s">
        <v>332</v>
      </c>
      <c r="B400" s="7">
        <v>1489</v>
      </c>
      <c r="C400" s="8" t="s">
        <v>333</v>
      </c>
      <c r="D400" s="8" t="s">
        <v>1935</v>
      </c>
      <c r="E400" s="2">
        <f>IFERROR(VLOOKUP(B400,'[1]new sheet'!$A$1:$IV$65536,5,FALSE),0)</f>
        <v>0</v>
      </c>
      <c r="F400" s="3">
        <f>IFERROR(VLOOKUP(B400,'[1]new sheet'!$A$1:$IV$65536,4,FALSE),0)</f>
        <v>0</v>
      </c>
      <c r="G400" s="4">
        <f>IFERROR(VLOOKUP(B400,'[2]new sheet'!$A$1:$IV$65536,2,0),0)</f>
        <v>0</v>
      </c>
      <c r="H400" s="5">
        <f>IFERROR(VLOOKUP(B400,'[3]new sheet'!$A$1:$IV$65536,2,0),0)</f>
        <v>0</v>
      </c>
    </row>
    <row r="401" spans="1:8" ht="24" customHeight="1">
      <c r="A401" s="7"/>
      <c r="B401" s="7">
        <v>504</v>
      </c>
      <c r="C401" s="8" t="s">
        <v>334</v>
      </c>
      <c r="D401" s="8" t="s">
        <v>1935</v>
      </c>
      <c r="E401" s="2">
        <f>IFERROR(VLOOKUP(B401,'[1]new sheet'!$A$1:$IV$65536,5,FALSE),0)</f>
        <v>0</v>
      </c>
      <c r="F401" s="3">
        <f>IFERROR(VLOOKUP(B401,'[1]new sheet'!$A$1:$IV$65536,4,FALSE),0)</f>
        <v>0</v>
      </c>
      <c r="G401" s="4">
        <f>IFERROR(VLOOKUP(B401,'[2]new sheet'!$A$1:$IV$65536,2,0),0)</f>
        <v>0</v>
      </c>
      <c r="H401" s="5">
        <f>IFERROR(VLOOKUP(B401,'[3]new sheet'!$A$1:$IV$65536,2,0),0)</f>
        <v>0</v>
      </c>
    </row>
    <row r="402" spans="1:8" ht="24" customHeight="1">
      <c r="A402" s="7">
        <v>435792</v>
      </c>
      <c r="B402" s="7">
        <v>78</v>
      </c>
      <c r="C402" s="8" t="s">
        <v>335</v>
      </c>
      <c r="D402" s="8" t="s">
        <v>1934</v>
      </c>
      <c r="E402" s="2">
        <f>IFERROR(VLOOKUP(B402,'[1]new sheet'!$A$1:$IV$65536,5,FALSE),0)</f>
        <v>0</v>
      </c>
      <c r="F402" s="3">
        <f>IFERROR(VLOOKUP(B402,'[1]new sheet'!$A$1:$IV$65536,4,FALSE),0)</f>
        <v>0</v>
      </c>
      <c r="G402" s="4">
        <f>IFERROR(VLOOKUP(B402,'[2]new sheet'!$A$1:$IV$65536,2,0),0)</f>
        <v>0</v>
      </c>
      <c r="H402" s="5">
        <f>IFERROR(VLOOKUP(B402,'[3]new sheet'!$A$1:$IV$65536,2,0),0)</f>
        <v>0</v>
      </c>
    </row>
    <row r="403" spans="1:8" ht="24" customHeight="1">
      <c r="A403" s="7">
        <v>201909</v>
      </c>
      <c r="B403" s="7">
        <v>4070</v>
      </c>
      <c r="C403" s="8" t="s">
        <v>1695</v>
      </c>
      <c r="D403" s="8" t="s">
        <v>1934</v>
      </c>
      <c r="E403" s="2">
        <f>IFERROR(VLOOKUP(B403,'[1]new sheet'!$A$1:$IV$65536,5,FALSE),0)</f>
        <v>0</v>
      </c>
      <c r="F403" s="3">
        <f>IFERROR(VLOOKUP(B403,'[1]new sheet'!$A$1:$IV$65536,4,FALSE),0)</f>
        <v>0</v>
      </c>
      <c r="G403" s="4">
        <f>IFERROR(VLOOKUP(B403,'[2]new sheet'!$A$1:$IV$65536,2,0),0)</f>
        <v>97</v>
      </c>
      <c r="H403" s="5">
        <f>IFERROR(VLOOKUP(B403,'[3]new sheet'!$A$1:$IV$65536,2,0),0)</f>
        <v>10</v>
      </c>
    </row>
    <row r="404" spans="1:8" ht="24" customHeight="1">
      <c r="A404" s="7"/>
      <c r="B404" s="7">
        <v>506</v>
      </c>
      <c r="C404" s="8" t="s">
        <v>336</v>
      </c>
      <c r="D404" s="8" t="s">
        <v>1935</v>
      </c>
      <c r="E404" s="2">
        <f>IFERROR(VLOOKUP(B404,'[1]new sheet'!$A$1:$IV$65536,5,FALSE),0)</f>
        <v>0</v>
      </c>
      <c r="F404" s="3">
        <f>IFERROR(VLOOKUP(B404,'[1]new sheet'!$A$1:$IV$65536,4,FALSE),0)</f>
        <v>0</v>
      </c>
      <c r="G404" s="4">
        <f>IFERROR(VLOOKUP(B404,'[2]new sheet'!$A$1:$IV$65536,2,0),0)</f>
        <v>0</v>
      </c>
      <c r="H404" s="5">
        <f>IFERROR(VLOOKUP(B404,'[3]new sheet'!$A$1:$IV$65536,2,0),0)</f>
        <v>0</v>
      </c>
    </row>
    <row r="405" spans="1:8" ht="24" customHeight="1">
      <c r="A405" s="7"/>
      <c r="B405" s="7">
        <v>508</v>
      </c>
      <c r="C405" s="8" t="s">
        <v>337</v>
      </c>
      <c r="D405" s="8" t="s">
        <v>1935</v>
      </c>
      <c r="E405" s="2">
        <f>IFERROR(VLOOKUP(B405,'[1]new sheet'!$A$1:$IV$65536,5,FALSE),0)</f>
        <v>0</v>
      </c>
      <c r="F405" s="3">
        <f>IFERROR(VLOOKUP(B405,'[1]new sheet'!$A$1:$IV$65536,4,FALSE),0)</f>
        <v>0</v>
      </c>
      <c r="G405" s="4">
        <f>IFERROR(VLOOKUP(B405,'[2]new sheet'!$A$1:$IV$65536,2,0),0)</f>
        <v>0</v>
      </c>
      <c r="H405" s="5">
        <f>IFERROR(VLOOKUP(B405,'[3]new sheet'!$A$1:$IV$65536,2,0),0)</f>
        <v>0</v>
      </c>
    </row>
    <row r="406" spans="1:8" ht="24" customHeight="1">
      <c r="A406" s="7" t="s">
        <v>338</v>
      </c>
      <c r="B406" s="7">
        <v>2436</v>
      </c>
      <c r="C406" s="8" t="s">
        <v>339</v>
      </c>
      <c r="D406" s="8" t="s">
        <v>1935</v>
      </c>
      <c r="E406" s="2">
        <f>IFERROR(VLOOKUP(B406,'[1]new sheet'!$A$1:$IV$65536,5,FALSE),0)</f>
        <v>0</v>
      </c>
      <c r="F406" s="3">
        <f>IFERROR(VLOOKUP(B406,'[1]new sheet'!$A$1:$IV$65536,4,FALSE),0)</f>
        <v>0</v>
      </c>
      <c r="G406" s="4">
        <f>IFERROR(VLOOKUP(B406,'[2]new sheet'!$A$1:$IV$65536,2,0),0)</f>
        <v>0</v>
      </c>
      <c r="H406" s="5">
        <f>IFERROR(VLOOKUP(B406,'[3]new sheet'!$A$1:$IV$65536,2,0),0)</f>
        <v>0</v>
      </c>
    </row>
    <row r="407" spans="1:8" ht="24" customHeight="1">
      <c r="A407" s="7">
        <v>0</v>
      </c>
      <c r="B407" s="7">
        <v>509</v>
      </c>
      <c r="C407" s="8" t="s">
        <v>340</v>
      </c>
      <c r="D407" s="8" t="s">
        <v>1935</v>
      </c>
      <c r="E407" s="2">
        <f>IFERROR(VLOOKUP(B407,'[1]new sheet'!$A$1:$IV$65536,5,FALSE),0)</f>
        <v>0</v>
      </c>
      <c r="F407" s="3">
        <f>IFERROR(VLOOKUP(B407,'[1]new sheet'!$A$1:$IV$65536,4,FALSE),0)</f>
        <v>0</v>
      </c>
      <c r="G407" s="4">
        <f>IFERROR(VLOOKUP(B407,'[2]new sheet'!$A$1:$IV$65536,2,0),0)</f>
        <v>0</v>
      </c>
      <c r="H407" s="5">
        <f>IFERROR(VLOOKUP(B407,'[3]new sheet'!$A$1:$IV$65536,2,0),0)</f>
        <v>0</v>
      </c>
    </row>
    <row r="408" spans="1:8" ht="24" customHeight="1">
      <c r="A408" s="7" t="s">
        <v>341</v>
      </c>
      <c r="B408" s="7">
        <v>75</v>
      </c>
      <c r="C408" s="8" t="s">
        <v>342</v>
      </c>
      <c r="D408" s="8" t="s">
        <v>1935</v>
      </c>
      <c r="E408" s="2">
        <f>IFERROR(VLOOKUP(B408,'[1]new sheet'!$A$1:$IV$65536,5,FALSE),0)</f>
        <v>2013.46</v>
      </c>
      <c r="F408" s="3">
        <f>IFERROR(VLOOKUP(B408,'[1]new sheet'!$A$1:$IV$65536,4,FALSE),0)</f>
        <v>60</v>
      </c>
      <c r="G408" s="4">
        <f>IFERROR(VLOOKUP(B408,'[2]new sheet'!$A$1:$IV$65536,2,0),0)</f>
        <v>1543.84</v>
      </c>
      <c r="H408" s="5">
        <f>IFERROR(VLOOKUP(B408,'[3]new sheet'!$A$1:$IV$65536,2,0),0)</f>
        <v>513.24</v>
      </c>
    </row>
    <row r="409" spans="1:8" ht="24" customHeight="1">
      <c r="A409" s="7" t="s">
        <v>341</v>
      </c>
      <c r="B409" s="7">
        <v>3962</v>
      </c>
      <c r="C409" s="8" t="s">
        <v>1638</v>
      </c>
      <c r="D409" s="8" t="s">
        <v>1935</v>
      </c>
      <c r="E409" s="2">
        <f>IFERROR(VLOOKUP(B409,'[1]new sheet'!$A$1:$IV$65536,5,FALSE),0)</f>
        <v>0</v>
      </c>
      <c r="F409" s="3">
        <f>IFERROR(VLOOKUP(B409,'[1]new sheet'!$A$1:$IV$65536,4,FALSE),0)</f>
        <v>0</v>
      </c>
      <c r="G409" s="4">
        <f>IFERROR(VLOOKUP(B409,'[2]new sheet'!$A$1:$IV$65536,2,0),0)</f>
        <v>0</v>
      </c>
      <c r="H409" s="5">
        <f>IFERROR(VLOOKUP(B409,'[3]new sheet'!$A$1:$IV$65536,2,0),0)</f>
        <v>0</v>
      </c>
    </row>
    <row r="410" spans="1:8" ht="24" customHeight="1">
      <c r="A410" s="7" t="s">
        <v>343</v>
      </c>
      <c r="B410" s="7">
        <v>119</v>
      </c>
      <c r="C410" s="8" t="s">
        <v>344</v>
      </c>
      <c r="D410" s="8" t="s">
        <v>1935</v>
      </c>
      <c r="E410" s="2">
        <f>IFERROR(VLOOKUP(B410,'[1]new sheet'!$A$1:$IV$65536,5,FALSE),0)</f>
        <v>0</v>
      </c>
      <c r="F410" s="3">
        <f>IFERROR(VLOOKUP(B410,'[1]new sheet'!$A$1:$IV$65536,4,FALSE),0)</f>
        <v>0</v>
      </c>
      <c r="G410" s="4">
        <f>IFERROR(VLOOKUP(B410,'[2]new sheet'!$A$1:$IV$65536,2,0),0)</f>
        <v>0</v>
      </c>
      <c r="H410" s="5">
        <f>IFERROR(VLOOKUP(B410,'[3]new sheet'!$A$1:$IV$65536,2,0),0)</f>
        <v>0</v>
      </c>
    </row>
    <row r="411" spans="1:8" ht="24" customHeight="1">
      <c r="A411" s="7">
        <v>125</v>
      </c>
      <c r="B411" s="7">
        <v>507</v>
      </c>
      <c r="C411" s="8" t="s">
        <v>345</v>
      </c>
      <c r="D411" s="8" t="s">
        <v>1935</v>
      </c>
      <c r="E411" s="2">
        <f>IFERROR(VLOOKUP(B411,'[1]new sheet'!$A$1:$IV$65536,5,FALSE),0)</f>
        <v>0</v>
      </c>
      <c r="F411" s="3">
        <f>IFERROR(VLOOKUP(B411,'[1]new sheet'!$A$1:$IV$65536,4,FALSE),0)</f>
        <v>0</v>
      </c>
      <c r="G411" s="4">
        <f>IFERROR(VLOOKUP(B411,'[2]new sheet'!$A$1:$IV$65536,2,0),0)</f>
        <v>633.78</v>
      </c>
      <c r="H411" s="5">
        <f>IFERROR(VLOOKUP(B411,'[3]new sheet'!$A$1:$IV$65536,2,0),0)</f>
        <v>0</v>
      </c>
    </row>
    <row r="412" spans="1:8" ht="24" customHeight="1">
      <c r="A412" s="7">
        <v>586366</v>
      </c>
      <c r="B412" s="7">
        <v>4071</v>
      </c>
      <c r="C412" s="8" t="s">
        <v>1696</v>
      </c>
      <c r="D412" s="8" t="s">
        <v>1934</v>
      </c>
      <c r="E412" s="2">
        <f>IFERROR(VLOOKUP(B412,'[1]new sheet'!$A$1:$IV$65536,5,FALSE),0)</f>
        <v>0</v>
      </c>
      <c r="F412" s="3">
        <f>IFERROR(VLOOKUP(B412,'[1]new sheet'!$A$1:$IV$65536,4,FALSE),0)</f>
        <v>0</v>
      </c>
      <c r="G412" s="4">
        <f>IFERROR(VLOOKUP(B412,'[2]new sheet'!$A$1:$IV$65536,2,0),0)</f>
        <v>24</v>
      </c>
      <c r="H412" s="5">
        <f>IFERROR(VLOOKUP(B412,'[3]new sheet'!$A$1:$IV$65536,2,0),0)</f>
        <v>0</v>
      </c>
    </row>
    <row r="413" spans="1:8" ht="24" customHeight="1">
      <c r="A413" s="7">
        <v>60354</v>
      </c>
      <c r="B413" s="7">
        <v>2361</v>
      </c>
      <c r="C413" s="8" t="s">
        <v>347</v>
      </c>
      <c r="D413" s="8" t="s">
        <v>1934</v>
      </c>
      <c r="E413" s="2">
        <f>IFERROR(VLOOKUP(B413,'[1]new sheet'!$A$1:$IV$65536,5,FALSE),0)</f>
        <v>0</v>
      </c>
      <c r="F413" s="3">
        <f>IFERROR(VLOOKUP(B413,'[1]new sheet'!$A$1:$IV$65536,4,FALSE),0)</f>
        <v>0</v>
      </c>
      <c r="G413" s="4">
        <f>IFERROR(VLOOKUP(B413,'[2]new sheet'!$A$1:$IV$65536,2,0),0)</f>
        <v>0</v>
      </c>
      <c r="H413" s="5">
        <f>IFERROR(VLOOKUP(B413,'[3]new sheet'!$A$1:$IV$65536,2,0),0)</f>
        <v>0</v>
      </c>
    </row>
    <row r="414" spans="1:8" ht="24" customHeight="1">
      <c r="A414" s="7">
        <v>172</v>
      </c>
      <c r="B414" s="7">
        <v>2747</v>
      </c>
      <c r="C414" s="8" t="s">
        <v>348</v>
      </c>
      <c r="D414" s="32" t="s">
        <v>1934</v>
      </c>
      <c r="E414" s="23">
        <f>IFERROR(VLOOKUP(B414,'[1]new sheet'!$A$1:$IV$65536,5,FALSE),0)</f>
        <v>0</v>
      </c>
      <c r="F414" s="3">
        <f>IFERROR(VLOOKUP(B414,'[1]new sheet'!$A$1:$IV$65536,4,FALSE),0)</f>
        <v>0</v>
      </c>
      <c r="G414" s="4">
        <f>IFERROR(VLOOKUP(B414,'[2]new sheet'!$A$1:$IV$65536,2,0),0)</f>
        <v>0</v>
      </c>
      <c r="H414" s="5">
        <f>IFERROR(VLOOKUP(B414,'[3]new sheet'!$A$1:$IV$65536,2,0),0)</f>
        <v>0</v>
      </c>
    </row>
    <row r="415" spans="1:8" ht="24" customHeight="1">
      <c r="A415" s="24">
        <v>222</v>
      </c>
      <c r="B415" s="24">
        <v>4134</v>
      </c>
      <c r="C415" s="25" t="s">
        <v>1749</v>
      </c>
      <c r="D415" s="25" t="s">
        <v>1934</v>
      </c>
      <c r="E415" s="2">
        <f>IFERROR(VLOOKUP(B415,'[1]new sheet'!$A$1:$IV$65536,5,FALSE),0)</f>
        <v>0</v>
      </c>
      <c r="F415" s="3">
        <f>IFERROR(VLOOKUP(B415,'[1]new sheet'!$A$1:$IV$65536,4,FALSE),0)</f>
        <v>0</v>
      </c>
      <c r="G415" s="4">
        <f>IFERROR(VLOOKUP(B415,'[2]new sheet'!$A$1:$IV$65536,2,0),0)</f>
        <v>0</v>
      </c>
      <c r="H415" s="5">
        <f>IFERROR(VLOOKUP(B415,'[3]new sheet'!$A$1:$IV$65536,2,0),0)</f>
        <v>0</v>
      </c>
    </row>
    <row r="416" spans="1:8" ht="24" customHeight="1">
      <c r="A416" s="7">
        <v>92</v>
      </c>
      <c r="B416" s="7">
        <v>2417</v>
      </c>
      <c r="C416" s="8" t="s">
        <v>349</v>
      </c>
      <c r="D416" s="8" t="s">
        <v>1934</v>
      </c>
      <c r="E416" s="2">
        <f>IFERROR(VLOOKUP(B416,'[1]new sheet'!$A$1:$IV$65536,5,FALSE),0)</f>
        <v>0</v>
      </c>
      <c r="F416" s="3">
        <f>IFERROR(VLOOKUP(B416,'[1]new sheet'!$A$1:$IV$65536,4,FALSE),0)</f>
        <v>0</v>
      </c>
      <c r="G416" s="4">
        <f>IFERROR(VLOOKUP(B416,'[2]new sheet'!$A$1:$IV$65536,2,0),0)</f>
        <v>0</v>
      </c>
      <c r="H416" s="5">
        <f>IFERROR(VLOOKUP(B416,'[3]new sheet'!$A$1:$IV$65536,2,0),0)</f>
        <v>0</v>
      </c>
    </row>
    <row r="417" spans="1:8" ht="24" customHeight="1">
      <c r="A417" s="7">
        <v>203002</v>
      </c>
      <c r="B417" s="7">
        <v>2411</v>
      </c>
      <c r="C417" s="8" t="s">
        <v>350</v>
      </c>
      <c r="D417" s="8" t="s">
        <v>1935</v>
      </c>
      <c r="E417" s="2">
        <f>IFERROR(VLOOKUP(B417,'[1]new sheet'!$A$1:$IV$65536,5,FALSE),0)</f>
        <v>0</v>
      </c>
      <c r="F417" s="3">
        <f>IFERROR(VLOOKUP(B417,'[1]new sheet'!$A$1:$IV$65536,4,FALSE),0)</f>
        <v>0</v>
      </c>
      <c r="G417" s="4">
        <f>IFERROR(VLOOKUP(B417,'[2]new sheet'!$A$1:$IV$65536,2,0),0)</f>
        <v>0</v>
      </c>
      <c r="H417" s="5">
        <f>IFERROR(VLOOKUP(B417,'[3]new sheet'!$A$1:$IV$65536,2,0),0)</f>
        <v>0</v>
      </c>
    </row>
    <row r="418" spans="1:8" ht="24" customHeight="1">
      <c r="A418" s="7">
        <v>671</v>
      </c>
      <c r="B418" s="7">
        <v>4083</v>
      </c>
      <c r="C418" s="8" t="s">
        <v>1701</v>
      </c>
      <c r="D418" s="8" t="s">
        <v>1935</v>
      </c>
      <c r="E418" s="2">
        <f>IFERROR(VLOOKUP(B418,'[1]new sheet'!$A$1:$IV$65536,5,FALSE),0)</f>
        <v>0</v>
      </c>
      <c r="F418" s="3">
        <f>IFERROR(VLOOKUP(B418,'[1]new sheet'!$A$1:$IV$65536,4,FALSE),0)</f>
        <v>0</v>
      </c>
      <c r="G418" s="4">
        <f>IFERROR(VLOOKUP(B418,'[2]new sheet'!$A$1:$IV$65536,2,0),0)</f>
        <v>0</v>
      </c>
      <c r="H418" s="5">
        <f>IFERROR(VLOOKUP(B418,'[3]new sheet'!$A$1:$IV$65536,2,0),0)</f>
        <v>0</v>
      </c>
    </row>
    <row r="419" spans="1:8" ht="24" customHeight="1">
      <c r="A419" s="7">
        <v>105257</v>
      </c>
      <c r="B419" s="7">
        <v>3091</v>
      </c>
      <c r="C419" s="8" t="s">
        <v>351</v>
      </c>
      <c r="D419" s="8" t="s">
        <v>1934</v>
      </c>
      <c r="E419" s="2">
        <f>IFERROR(VLOOKUP(B419,'[1]new sheet'!$A$1:$IV$65536,5,FALSE),0)</f>
        <v>0</v>
      </c>
      <c r="F419" s="3">
        <f>IFERROR(VLOOKUP(B419,'[1]new sheet'!$A$1:$IV$65536,4,FALSE),0)</f>
        <v>0</v>
      </c>
      <c r="G419" s="4">
        <f>IFERROR(VLOOKUP(B419,'[2]new sheet'!$A$1:$IV$65536,2,0),0)</f>
        <v>0</v>
      </c>
      <c r="H419" s="5">
        <f>IFERROR(VLOOKUP(B419,'[3]new sheet'!$A$1:$IV$65536,2,0),0)</f>
        <v>0</v>
      </c>
    </row>
    <row r="420" spans="1:8" ht="24" customHeight="1">
      <c r="A420" s="7">
        <v>70564</v>
      </c>
      <c r="B420" s="7">
        <v>123</v>
      </c>
      <c r="C420" s="8" t="s">
        <v>352</v>
      </c>
      <c r="D420" s="8" t="s">
        <v>1934</v>
      </c>
      <c r="E420" s="2">
        <f>IFERROR(VLOOKUP(B420,'[1]new sheet'!$A$1:$IV$65536,5,FALSE),0)</f>
        <v>4</v>
      </c>
      <c r="F420" s="3">
        <f>IFERROR(VLOOKUP(B420,'[1]new sheet'!$A$1:$IV$65536,4,FALSE),0)</f>
        <v>0</v>
      </c>
      <c r="G420" s="4">
        <f>IFERROR(VLOOKUP(B420,'[2]new sheet'!$A$1:$IV$65536,2,0),0)</f>
        <v>5</v>
      </c>
      <c r="H420" s="5">
        <f>IFERROR(VLOOKUP(B420,'[3]new sheet'!$A$1:$IV$65536,2,0),0)</f>
        <v>0</v>
      </c>
    </row>
    <row r="421" spans="1:8" ht="24" customHeight="1">
      <c r="A421" s="7" t="s">
        <v>346</v>
      </c>
      <c r="B421" s="7">
        <v>3671</v>
      </c>
      <c r="C421" s="8" t="s">
        <v>1543</v>
      </c>
      <c r="D421" s="8" t="s">
        <v>1935</v>
      </c>
      <c r="E421" s="2">
        <f>IFERROR(VLOOKUP(B421,'[1]new sheet'!$A$1:$IV$65536,5,FALSE),0)</f>
        <v>0</v>
      </c>
      <c r="F421" s="3">
        <f>IFERROR(VLOOKUP(B421,'[1]new sheet'!$A$1:$IV$65536,4,FALSE),0)</f>
        <v>0</v>
      </c>
      <c r="G421" s="4">
        <f>IFERROR(VLOOKUP(B421,'[2]new sheet'!$A$1:$IV$65536,2,0),0)</f>
        <v>0</v>
      </c>
      <c r="H421" s="5">
        <f>IFERROR(VLOOKUP(B421,'[3]new sheet'!$A$1:$IV$65536,2,0),0)</f>
        <v>0</v>
      </c>
    </row>
    <row r="422" spans="1:8" ht="24" customHeight="1">
      <c r="A422" s="7">
        <v>222100370</v>
      </c>
      <c r="B422" s="7">
        <v>4182</v>
      </c>
      <c r="C422" s="8" t="s">
        <v>1831</v>
      </c>
      <c r="D422" s="8" t="s">
        <v>1935</v>
      </c>
      <c r="E422" s="2">
        <f>IFERROR(VLOOKUP(B422,'[1]new sheet'!$A$1:$IV$65536,5,FALSE),0)</f>
        <v>19.64</v>
      </c>
      <c r="F422" s="3">
        <f>IFERROR(VLOOKUP(B422,'[1]new sheet'!$A$1:$IV$65536,4,FALSE),0)</f>
        <v>20</v>
      </c>
      <c r="G422" s="4">
        <f>IFERROR(VLOOKUP(B422,'[2]new sheet'!$A$1:$IV$65536,2,0),0)</f>
        <v>3996.61</v>
      </c>
      <c r="H422" s="5">
        <f>IFERROR(VLOOKUP(B422,'[3]new sheet'!$A$1:$IV$65536,2,0),0)</f>
        <v>1599.31</v>
      </c>
    </row>
    <row r="423" spans="1:8" ht="24" customHeight="1">
      <c r="A423" s="7">
        <v>265</v>
      </c>
      <c r="B423" s="7">
        <v>4082</v>
      </c>
      <c r="C423" s="8" t="s">
        <v>1702</v>
      </c>
      <c r="D423" s="8" t="s">
        <v>1935</v>
      </c>
      <c r="E423" s="2">
        <f>IFERROR(VLOOKUP(B423,'[1]new sheet'!$A$1:$IV$65536,5,FALSE),0)</f>
        <v>0</v>
      </c>
      <c r="F423" s="3">
        <f>IFERROR(VLOOKUP(B423,'[1]new sheet'!$A$1:$IV$65536,4,FALSE),0)</f>
        <v>0</v>
      </c>
      <c r="G423" s="4">
        <f>IFERROR(VLOOKUP(B423,'[2]new sheet'!$A$1:$IV$65536,2,0),0)</f>
        <v>0</v>
      </c>
      <c r="H423" s="5">
        <f>IFERROR(VLOOKUP(B423,'[3]new sheet'!$A$1:$IV$65536,2,0),0)</f>
        <v>0</v>
      </c>
    </row>
    <row r="424" spans="1:8" ht="24" customHeight="1">
      <c r="A424" s="7">
        <v>60655</v>
      </c>
      <c r="B424" s="7">
        <v>885</v>
      </c>
      <c r="C424" s="8" t="s">
        <v>353</v>
      </c>
      <c r="D424" s="8" t="s">
        <v>1934</v>
      </c>
      <c r="E424" s="2">
        <f>IFERROR(VLOOKUP(B424,'[1]new sheet'!$A$1:$IV$65536,5,FALSE),0)</f>
        <v>60</v>
      </c>
      <c r="F424" s="3">
        <f>IFERROR(VLOOKUP(B424,'[1]new sheet'!$A$1:$IV$65536,4,FALSE),0)</f>
        <v>4</v>
      </c>
      <c r="G424" s="4">
        <f>IFERROR(VLOOKUP(B424,'[2]new sheet'!$A$1:$IV$65536,2,0),0)</f>
        <v>38</v>
      </c>
      <c r="H424" s="5">
        <f>IFERROR(VLOOKUP(B424,'[3]new sheet'!$A$1:$IV$65536,2,0),0)</f>
        <v>47</v>
      </c>
    </row>
    <row r="425" spans="1:8" ht="24" customHeight="1">
      <c r="A425" s="7">
        <v>20221</v>
      </c>
      <c r="B425" s="7">
        <v>1984</v>
      </c>
      <c r="C425" s="8" t="s">
        <v>354</v>
      </c>
      <c r="D425" s="8" t="s">
        <v>1935</v>
      </c>
      <c r="E425" s="2">
        <f>IFERROR(VLOOKUP(B425,'[1]new sheet'!$A$1:$IV$65536,5,FALSE),0)</f>
        <v>0</v>
      </c>
      <c r="F425" s="3">
        <f>IFERROR(VLOOKUP(B425,'[1]new sheet'!$A$1:$IV$65536,4,FALSE),0)</f>
        <v>0</v>
      </c>
      <c r="G425" s="4">
        <f>IFERROR(VLOOKUP(B425,'[2]new sheet'!$A$1:$IV$65536,2,0),0)</f>
        <v>0</v>
      </c>
      <c r="H425" s="5">
        <f>IFERROR(VLOOKUP(B425,'[3]new sheet'!$A$1:$IV$65536,2,0),0)</f>
        <v>0</v>
      </c>
    </row>
    <row r="426" spans="1:8" ht="24" customHeight="1">
      <c r="A426" s="7" t="s">
        <v>346</v>
      </c>
      <c r="B426" s="7">
        <v>510</v>
      </c>
      <c r="C426" s="8" t="s">
        <v>355</v>
      </c>
      <c r="D426" s="8" t="s">
        <v>1935</v>
      </c>
      <c r="E426" s="2">
        <f>IFERROR(VLOOKUP(B426,'[1]new sheet'!$A$1:$IV$65536,5,FALSE),0)</f>
        <v>0</v>
      </c>
      <c r="F426" s="3">
        <f>IFERROR(VLOOKUP(B426,'[1]new sheet'!$A$1:$IV$65536,4,FALSE),0)</f>
        <v>0.03</v>
      </c>
      <c r="G426" s="4">
        <f>IFERROR(VLOOKUP(B426,'[2]new sheet'!$A$1:$IV$65536,2,0),0)</f>
        <v>0</v>
      </c>
      <c r="H426" s="5">
        <f>IFERROR(VLOOKUP(B426,'[3]new sheet'!$A$1:$IV$65536,2,0),0)</f>
        <v>0</v>
      </c>
    </row>
    <row r="427" spans="1:8" ht="24" customHeight="1">
      <c r="A427" s="7" t="s">
        <v>356</v>
      </c>
      <c r="B427" s="7">
        <v>511</v>
      </c>
      <c r="C427" s="8" t="s">
        <v>357</v>
      </c>
      <c r="D427" s="8" t="s">
        <v>1935</v>
      </c>
      <c r="E427" s="2">
        <f>IFERROR(VLOOKUP(B427,'[1]new sheet'!$A$1:$IV$65536,5,FALSE),0)</f>
        <v>0</v>
      </c>
      <c r="F427" s="3">
        <f>IFERROR(VLOOKUP(B427,'[1]new sheet'!$A$1:$IV$65536,4,FALSE),0)</f>
        <v>0</v>
      </c>
      <c r="G427" s="4">
        <f>IFERROR(VLOOKUP(B427,'[2]new sheet'!$A$1:$IV$65536,2,0),0)</f>
        <v>0</v>
      </c>
      <c r="H427" s="5">
        <f>IFERROR(VLOOKUP(B427,'[3]new sheet'!$A$1:$IV$65536,2,0),0)</f>
        <v>0</v>
      </c>
    </row>
    <row r="428" spans="1:8" ht="24" customHeight="1">
      <c r="A428" s="7">
        <v>137</v>
      </c>
      <c r="B428" s="7">
        <v>380</v>
      </c>
      <c r="C428" s="8" t="s">
        <v>358</v>
      </c>
      <c r="D428" s="8" t="s">
        <v>1935</v>
      </c>
      <c r="E428" s="2">
        <f>IFERROR(VLOOKUP(B428,'[1]new sheet'!$A$1:$IV$65536,5,FALSE),0)</f>
        <v>0</v>
      </c>
      <c r="F428" s="3">
        <f>IFERROR(VLOOKUP(B428,'[1]new sheet'!$A$1:$IV$65536,4,FALSE),0)</f>
        <v>0</v>
      </c>
      <c r="G428" s="4">
        <f>IFERROR(VLOOKUP(B428,'[2]new sheet'!$A$1:$IV$65536,2,0),0)</f>
        <v>0</v>
      </c>
      <c r="H428" s="5">
        <f>IFERROR(VLOOKUP(B428,'[3]new sheet'!$A$1:$IV$65536,2,0),0)</f>
        <v>0</v>
      </c>
    </row>
    <row r="429" spans="1:8" ht="24" customHeight="1">
      <c r="A429" s="7">
        <v>60591</v>
      </c>
      <c r="B429" s="7">
        <v>884</v>
      </c>
      <c r="C429" s="8" t="s">
        <v>359</v>
      </c>
      <c r="D429" s="8" t="s">
        <v>1934</v>
      </c>
      <c r="E429" s="2">
        <f>IFERROR(VLOOKUP(B429,'[1]new sheet'!$A$1:$IV$65536,5,FALSE),0)</f>
        <v>0</v>
      </c>
      <c r="F429" s="3">
        <f>IFERROR(VLOOKUP(B429,'[1]new sheet'!$A$1:$IV$65536,4,FALSE),0)</f>
        <v>0</v>
      </c>
      <c r="G429" s="4">
        <f>IFERROR(VLOOKUP(B429,'[2]new sheet'!$A$1:$IV$65536,2,0),0)</f>
        <v>111</v>
      </c>
      <c r="H429" s="5">
        <f>IFERROR(VLOOKUP(B429,'[3]new sheet'!$A$1:$IV$65536,2,0),0)</f>
        <v>28</v>
      </c>
    </row>
    <row r="430" spans="1:8" ht="24" customHeight="1">
      <c r="A430" s="7">
        <v>201</v>
      </c>
      <c r="B430" s="7">
        <v>68</v>
      </c>
      <c r="C430" s="8" t="s">
        <v>360</v>
      </c>
      <c r="D430" s="32" t="s">
        <v>1935</v>
      </c>
      <c r="E430" s="23">
        <f>IFERROR(VLOOKUP(B430,'[1]new sheet'!$A$1:$IV$65536,5,FALSE),0)</f>
        <v>0</v>
      </c>
      <c r="F430" s="3">
        <f>IFERROR(VLOOKUP(B430,'[1]new sheet'!$A$1:$IV$65536,4,FALSE),0)</f>
        <v>0</v>
      </c>
      <c r="G430" s="4">
        <f>IFERROR(VLOOKUP(B430,'[2]new sheet'!$A$1:$IV$65536,2,0),0)</f>
        <v>0</v>
      </c>
      <c r="H430" s="5">
        <f>IFERROR(VLOOKUP(B430,'[3]new sheet'!$A$1:$IV$65536,2,0),0)</f>
        <v>0</v>
      </c>
    </row>
    <row r="431" spans="1:8" ht="24" customHeight="1">
      <c r="A431" s="24">
        <v>60659</v>
      </c>
      <c r="B431" s="24">
        <v>4029</v>
      </c>
      <c r="C431" s="25" t="s">
        <v>1691</v>
      </c>
      <c r="D431" s="25" t="s">
        <v>1934</v>
      </c>
      <c r="E431" s="2">
        <f>IFERROR(VLOOKUP(B431,'[1]new sheet'!$A$1:$IV$65536,5,FALSE),0)</f>
        <v>0</v>
      </c>
      <c r="F431" s="3">
        <f>IFERROR(VLOOKUP(B431,'[1]new sheet'!$A$1:$IV$65536,4,FALSE),0)</f>
        <v>0</v>
      </c>
      <c r="G431" s="4">
        <f>IFERROR(VLOOKUP(B431,'[2]new sheet'!$A$1:$IV$65536,2,0),0)</f>
        <v>0</v>
      </c>
      <c r="H431" s="5">
        <f>IFERROR(VLOOKUP(B431,'[3]new sheet'!$A$1:$IV$65536,2,0),0)</f>
        <v>0</v>
      </c>
    </row>
    <row r="432" spans="1:8" ht="24" customHeight="1">
      <c r="A432" s="7">
        <v>40085</v>
      </c>
      <c r="B432" s="7">
        <v>3082</v>
      </c>
      <c r="C432" s="8" t="s">
        <v>1548</v>
      </c>
      <c r="D432" s="8" t="s">
        <v>1935</v>
      </c>
      <c r="E432" s="2">
        <f>IFERROR(VLOOKUP(B432,'[1]new sheet'!$A$1:$IV$65536,5,FALSE),0)</f>
        <v>0</v>
      </c>
      <c r="F432" s="3">
        <f>IFERROR(VLOOKUP(B432,'[1]new sheet'!$A$1:$IV$65536,4,FALSE),0)</f>
        <v>0</v>
      </c>
      <c r="G432" s="4">
        <f>IFERROR(VLOOKUP(B432,'[2]new sheet'!$A$1:$IV$65536,2,0),0)</f>
        <v>0</v>
      </c>
      <c r="H432" s="5">
        <f>IFERROR(VLOOKUP(B432,'[3]new sheet'!$A$1:$IV$65536,2,0),0)</f>
        <v>0</v>
      </c>
    </row>
    <row r="433" spans="1:8" ht="24" customHeight="1">
      <c r="A433" s="7">
        <v>805002</v>
      </c>
      <c r="B433" s="7">
        <v>3292</v>
      </c>
      <c r="C433" s="8" t="s">
        <v>1549</v>
      </c>
      <c r="D433" s="8" t="s">
        <v>1935</v>
      </c>
      <c r="E433" s="2">
        <f>IFERROR(VLOOKUP(B433,'[1]new sheet'!$A$1:$IV$65536,5,FALSE),0)</f>
        <v>129.69999999999999</v>
      </c>
      <c r="F433" s="3">
        <f>IFERROR(VLOOKUP(B433,'[1]new sheet'!$A$1:$IV$65536,4,FALSE),0)</f>
        <v>0</v>
      </c>
      <c r="G433" s="4">
        <f>IFERROR(VLOOKUP(B433,'[2]new sheet'!$A$1:$IV$65536,2,0),0)</f>
        <v>0</v>
      </c>
      <c r="H433" s="5">
        <f>IFERROR(VLOOKUP(B433,'[3]new sheet'!$A$1:$IV$65536,2,0),0)</f>
        <v>18.920000000000002</v>
      </c>
    </row>
    <row r="434" spans="1:8" ht="24" customHeight="1">
      <c r="A434" s="7"/>
      <c r="B434" s="7">
        <v>2757</v>
      </c>
      <c r="C434" s="8" t="s">
        <v>361</v>
      </c>
      <c r="D434" s="8" t="s">
        <v>1935</v>
      </c>
      <c r="E434" s="2">
        <f>IFERROR(VLOOKUP(B434,'[1]new sheet'!$A$1:$IV$65536,5,FALSE),0)</f>
        <v>0</v>
      </c>
      <c r="F434" s="3">
        <f>IFERROR(VLOOKUP(B434,'[1]new sheet'!$A$1:$IV$65536,4,FALSE),0)</f>
        <v>0</v>
      </c>
      <c r="G434" s="4">
        <f>IFERROR(VLOOKUP(B434,'[2]new sheet'!$A$1:$IV$65536,2,0),0)</f>
        <v>0</v>
      </c>
      <c r="H434" s="5">
        <f>IFERROR(VLOOKUP(B434,'[3]new sheet'!$A$1:$IV$65536,2,0),0)</f>
        <v>0</v>
      </c>
    </row>
    <row r="435" spans="1:8" ht="24" customHeight="1">
      <c r="A435" s="7">
        <v>203022</v>
      </c>
      <c r="B435" s="7">
        <v>2412</v>
      </c>
      <c r="C435" s="8" t="s">
        <v>362</v>
      </c>
      <c r="D435" s="8" t="s">
        <v>1935</v>
      </c>
      <c r="E435" s="2">
        <f>IFERROR(VLOOKUP(B435,'[1]new sheet'!$A$1:$IV$65536,5,FALSE),0)</f>
        <v>0</v>
      </c>
      <c r="F435" s="3">
        <f>IFERROR(VLOOKUP(B435,'[1]new sheet'!$A$1:$IV$65536,4,FALSE),0)</f>
        <v>0</v>
      </c>
      <c r="G435" s="4">
        <f>IFERROR(VLOOKUP(B435,'[2]new sheet'!$A$1:$IV$65536,2,0),0)</f>
        <v>0</v>
      </c>
      <c r="H435" s="5">
        <f>IFERROR(VLOOKUP(B435,'[3]new sheet'!$A$1:$IV$65536,2,0),0)</f>
        <v>0</v>
      </c>
    </row>
    <row r="436" spans="1:8" ht="24" customHeight="1">
      <c r="A436" s="7">
        <v>12</v>
      </c>
      <c r="B436" s="7">
        <v>1021</v>
      </c>
      <c r="C436" s="8" t="s">
        <v>363</v>
      </c>
      <c r="D436" s="8" t="s">
        <v>1935</v>
      </c>
      <c r="E436" s="2">
        <f>IFERROR(VLOOKUP(B436,'[1]new sheet'!$A$1:$IV$65536,5,FALSE),0)</f>
        <v>0</v>
      </c>
      <c r="F436" s="3">
        <f>IFERROR(VLOOKUP(B436,'[1]new sheet'!$A$1:$IV$65536,4,FALSE),0)</f>
        <v>0</v>
      </c>
      <c r="G436" s="4">
        <f>IFERROR(VLOOKUP(B436,'[2]new sheet'!$A$1:$IV$65536,2,0),0)</f>
        <v>0</v>
      </c>
      <c r="H436" s="5">
        <f>IFERROR(VLOOKUP(B436,'[3]new sheet'!$A$1:$IV$65536,2,0),0)</f>
        <v>0</v>
      </c>
    </row>
    <row r="437" spans="1:8" ht="24" customHeight="1">
      <c r="A437" s="7">
        <v>12</v>
      </c>
      <c r="B437" s="7">
        <v>2746</v>
      </c>
      <c r="C437" s="8" t="s">
        <v>364</v>
      </c>
      <c r="D437" s="8" t="s">
        <v>1935</v>
      </c>
      <c r="E437" s="2">
        <f>IFERROR(VLOOKUP(B437,'[1]new sheet'!$A$1:$IV$65536,5,FALSE),0)</f>
        <v>0</v>
      </c>
      <c r="F437" s="3">
        <f>IFERROR(VLOOKUP(B437,'[1]new sheet'!$A$1:$IV$65536,4,FALSE),0)</f>
        <v>0</v>
      </c>
      <c r="G437" s="4">
        <f>IFERROR(VLOOKUP(B437,'[2]new sheet'!$A$1:$IV$65536,2,0),0)</f>
        <v>0</v>
      </c>
      <c r="H437" s="5">
        <f>IFERROR(VLOOKUP(B437,'[3]new sheet'!$A$1:$IV$65536,2,0),0)</f>
        <v>0</v>
      </c>
    </row>
    <row r="438" spans="1:8" ht="24" customHeight="1">
      <c r="A438" s="7">
        <v>33123</v>
      </c>
      <c r="B438" s="7">
        <v>381</v>
      </c>
      <c r="C438" s="8" t="s">
        <v>365</v>
      </c>
      <c r="D438" s="8" t="s">
        <v>1935</v>
      </c>
      <c r="E438" s="2">
        <f>IFERROR(VLOOKUP(B438,'[1]new sheet'!$A$1:$IV$65536,5,FALSE),0)</f>
        <v>0</v>
      </c>
      <c r="F438" s="3">
        <f>IFERROR(VLOOKUP(B438,'[1]new sheet'!$A$1:$IV$65536,4,FALSE),0)</f>
        <v>0</v>
      </c>
      <c r="G438" s="4">
        <f>IFERROR(VLOOKUP(B438,'[2]new sheet'!$A$1:$IV$65536,2,0),0)</f>
        <v>0</v>
      </c>
      <c r="H438" s="5">
        <f>IFERROR(VLOOKUP(B438,'[3]new sheet'!$A$1:$IV$65536,2,0),0)</f>
        <v>0</v>
      </c>
    </row>
    <row r="439" spans="1:8" ht="24" customHeight="1">
      <c r="A439" s="7" t="s">
        <v>366</v>
      </c>
      <c r="B439" s="7">
        <v>512</v>
      </c>
      <c r="C439" s="8" t="s">
        <v>367</v>
      </c>
      <c r="D439" s="8" t="s">
        <v>1934</v>
      </c>
      <c r="E439" s="2">
        <f>IFERROR(VLOOKUP(B439,'[1]new sheet'!$A$1:$IV$65536,5,FALSE),0)</f>
        <v>0</v>
      </c>
      <c r="F439" s="3">
        <f>IFERROR(VLOOKUP(B439,'[1]new sheet'!$A$1:$IV$65536,4,FALSE),0)</f>
        <v>0</v>
      </c>
      <c r="G439" s="4">
        <f>IFERROR(VLOOKUP(B439,'[2]new sheet'!$A$1:$IV$65536,2,0),0)</f>
        <v>0</v>
      </c>
      <c r="H439" s="5">
        <f>IFERROR(VLOOKUP(B439,'[3]new sheet'!$A$1:$IV$65536,2,0),0)</f>
        <v>0</v>
      </c>
    </row>
    <row r="440" spans="1:8" ht="24" customHeight="1">
      <c r="A440" s="7">
        <v>59709</v>
      </c>
      <c r="B440" s="7">
        <v>301</v>
      </c>
      <c r="C440" s="8" t="s">
        <v>368</v>
      </c>
      <c r="D440" s="8" t="s">
        <v>1934</v>
      </c>
      <c r="E440" s="2">
        <f>IFERROR(VLOOKUP(B440,'[1]new sheet'!$A$1:$IV$65536,5,FALSE),0)</f>
        <v>0</v>
      </c>
      <c r="F440" s="3">
        <f>IFERROR(VLOOKUP(B440,'[1]new sheet'!$A$1:$IV$65536,4,FALSE),0)</f>
        <v>0</v>
      </c>
      <c r="G440" s="4">
        <f>IFERROR(VLOOKUP(B440,'[2]new sheet'!$A$1:$IV$65536,2,0),0)</f>
        <v>0</v>
      </c>
      <c r="H440" s="5">
        <f>IFERROR(VLOOKUP(B440,'[3]new sheet'!$A$1:$IV$65536,2,0),0)</f>
        <v>0</v>
      </c>
    </row>
    <row r="441" spans="1:8" ht="24" customHeight="1">
      <c r="A441" s="7">
        <v>15229</v>
      </c>
      <c r="B441" s="7">
        <v>1613</v>
      </c>
      <c r="C441" s="8" t="s">
        <v>369</v>
      </c>
      <c r="D441" s="8" t="s">
        <v>1934</v>
      </c>
      <c r="E441" s="2">
        <f>IFERROR(VLOOKUP(B441,'[1]new sheet'!$A$1:$IV$65536,5,FALSE),0)</f>
        <v>0</v>
      </c>
      <c r="F441" s="3">
        <f>IFERROR(VLOOKUP(B441,'[1]new sheet'!$A$1:$IV$65536,4,FALSE),0)</f>
        <v>0</v>
      </c>
      <c r="G441" s="4">
        <f>IFERROR(VLOOKUP(B441,'[2]new sheet'!$A$1:$IV$65536,2,0),0)</f>
        <v>0</v>
      </c>
      <c r="H441" s="5">
        <f>IFERROR(VLOOKUP(B441,'[3]new sheet'!$A$1:$IV$65536,2,0),0)</f>
        <v>0</v>
      </c>
    </row>
    <row r="442" spans="1:8" ht="24" customHeight="1">
      <c r="A442" s="7">
        <v>1111</v>
      </c>
      <c r="B442" s="7">
        <v>2945</v>
      </c>
      <c r="C442" s="8" t="s">
        <v>370</v>
      </c>
      <c r="D442" s="8" t="s">
        <v>1934</v>
      </c>
      <c r="E442" s="2">
        <f>IFERROR(VLOOKUP(B442,'[1]new sheet'!$A$1:$IV$65536,5,FALSE),0)</f>
        <v>0</v>
      </c>
      <c r="F442" s="3">
        <f>IFERROR(VLOOKUP(B442,'[1]new sheet'!$A$1:$IV$65536,4,FALSE),0)</f>
        <v>0</v>
      </c>
      <c r="G442" s="4">
        <f>IFERROR(VLOOKUP(B442,'[2]new sheet'!$A$1:$IV$65536,2,0),0)</f>
        <v>0</v>
      </c>
      <c r="H442" s="5">
        <f>IFERROR(VLOOKUP(B442,'[3]new sheet'!$A$1:$IV$65536,2,0),0)</f>
        <v>0</v>
      </c>
    </row>
    <row r="443" spans="1:8" ht="24" customHeight="1">
      <c r="A443" s="7">
        <v>1111</v>
      </c>
      <c r="B443" s="7">
        <v>1451</v>
      </c>
      <c r="C443" s="8" t="s">
        <v>371</v>
      </c>
      <c r="D443" s="8" t="s">
        <v>1934</v>
      </c>
      <c r="E443" s="2">
        <f>IFERROR(VLOOKUP(B443,'[1]new sheet'!$A$1:$IV$65536,5,FALSE),0)</f>
        <v>0</v>
      </c>
      <c r="F443" s="3">
        <f>IFERROR(VLOOKUP(B443,'[1]new sheet'!$A$1:$IV$65536,4,FALSE),0)</f>
        <v>0</v>
      </c>
      <c r="G443" s="4">
        <f>IFERROR(VLOOKUP(B443,'[2]new sheet'!$A$1:$IV$65536,2,0),0)</f>
        <v>0</v>
      </c>
      <c r="H443" s="5">
        <f>IFERROR(VLOOKUP(B443,'[3]new sheet'!$A$1:$IV$65536,2,0),0)</f>
        <v>0</v>
      </c>
    </row>
    <row r="444" spans="1:8" ht="24" customHeight="1">
      <c r="A444" s="7"/>
      <c r="B444" s="7">
        <v>962</v>
      </c>
      <c r="C444" s="8" t="s">
        <v>372</v>
      </c>
      <c r="D444" s="8" t="s">
        <v>1934</v>
      </c>
      <c r="E444" s="2">
        <f>IFERROR(VLOOKUP(B444,'[1]new sheet'!$A$1:$IV$65536,5,FALSE),0)</f>
        <v>0</v>
      </c>
      <c r="F444" s="3">
        <f>IFERROR(VLOOKUP(B444,'[1]new sheet'!$A$1:$IV$65536,4,FALSE),0)</f>
        <v>0</v>
      </c>
      <c r="G444" s="4">
        <f>IFERROR(VLOOKUP(B444,'[2]new sheet'!$A$1:$IV$65536,2,0),0)</f>
        <v>0</v>
      </c>
      <c r="H444" s="5">
        <f>IFERROR(VLOOKUP(B444,'[3]new sheet'!$A$1:$IV$65536,2,0),0)</f>
        <v>0</v>
      </c>
    </row>
    <row r="445" spans="1:8" ht="24" customHeight="1">
      <c r="A445" s="7">
        <v>317</v>
      </c>
      <c r="B445" s="7">
        <v>3569</v>
      </c>
      <c r="C445" s="8" t="s">
        <v>373</v>
      </c>
      <c r="D445" s="8" t="s">
        <v>1934</v>
      </c>
      <c r="E445" s="2">
        <f>IFERROR(VLOOKUP(B445,'[1]new sheet'!$A$1:$IV$65536,5,FALSE),0)</f>
        <v>0</v>
      </c>
      <c r="F445" s="3">
        <f>IFERROR(VLOOKUP(B445,'[1]new sheet'!$A$1:$IV$65536,4,FALSE),0)</f>
        <v>0</v>
      </c>
      <c r="G445" s="4">
        <f>IFERROR(VLOOKUP(B445,'[2]new sheet'!$A$1:$IV$65536,2,0),0)</f>
        <v>0</v>
      </c>
      <c r="H445" s="5">
        <f>IFERROR(VLOOKUP(B445,'[3]new sheet'!$A$1:$IV$65536,2,0),0)</f>
        <v>0</v>
      </c>
    </row>
    <row r="446" spans="1:8" ht="24" customHeight="1">
      <c r="A446" s="7">
        <v>14897</v>
      </c>
      <c r="B446" s="7">
        <v>514</v>
      </c>
      <c r="C446" s="8" t="s">
        <v>374</v>
      </c>
      <c r="D446" s="8" t="s">
        <v>1934</v>
      </c>
      <c r="E446" s="2">
        <f>IFERROR(VLOOKUP(B446,'[1]new sheet'!$A$1:$IV$65536,5,FALSE),0)</f>
        <v>483</v>
      </c>
      <c r="F446" s="3">
        <f>IFERROR(VLOOKUP(B446,'[1]new sheet'!$A$1:$IV$65536,4,FALSE),0)</f>
        <v>0</v>
      </c>
      <c r="G446" s="4">
        <f>IFERROR(VLOOKUP(B446,'[2]new sheet'!$A$1:$IV$65536,2,0),0)</f>
        <v>183</v>
      </c>
      <c r="H446" s="5">
        <f>IFERROR(VLOOKUP(B446,'[3]new sheet'!$A$1:$IV$65536,2,0),0)</f>
        <v>100</v>
      </c>
    </row>
    <row r="447" spans="1:8" ht="24" customHeight="1">
      <c r="A447" s="7" t="s">
        <v>1550</v>
      </c>
      <c r="B447" s="7">
        <v>3839</v>
      </c>
      <c r="C447" s="8" t="s">
        <v>1551</v>
      </c>
      <c r="D447" s="8" t="s">
        <v>1934</v>
      </c>
      <c r="E447" s="2">
        <f>IFERROR(VLOOKUP(B447,'[1]new sheet'!$A$1:$IV$65536,5,FALSE),0)</f>
        <v>0</v>
      </c>
      <c r="F447" s="3">
        <f>IFERROR(VLOOKUP(B447,'[1]new sheet'!$A$1:$IV$65536,4,FALSE),0)</f>
        <v>0</v>
      </c>
      <c r="G447" s="4">
        <f>IFERROR(VLOOKUP(B447,'[2]new sheet'!$A$1:$IV$65536,2,0),0)</f>
        <v>0</v>
      </c>
      <c r="H447" s="5">
        <f>IFERROR(VLOOKUP(B447,'[3]new sheet'!$A$1:$IV$65536,2,0),0)</f>
        <v>0</v>
      </c>
    </row>
    <row r="448" spans="1:8" ht="24" customHeight="1">
      <c r="A448" s="7">
        <v>1000933</v>
      </c>
      <c r="B448" s="7">
        <v>513</v>
      </c>
      <c r="C448" s="8" t="s">
        <v>375</v>
      </c>
      <c r="D448" s="8" t="s">
        <v>1934</v>
      </c>
      <c r="E448" s="2">
        <f>IFERROR(VLOOKUP(B448,'[1]new sheet'!$A$1:$IV$65536,5,FALSE),0)</f>
        <v>0</v>
      </c>
      <c r="F448" s="3">
        <f>IFERROR(VLOOKUP(B448,'[1]new sheet'!$A$1:$IV$65536,4,FALSE),0)</f>
        <v>0</v>
      </c>
      <c r="G448" s="4">
        <f>IFERROR(VLOOKUP(B448,'[2]new sheet'!$A$1:$IV$65536,2,0),0)</f>
        <v>0</v>
      </c>
      <c r="H448" s="5">
        <f>IFERROR(VLOOKUP(B448,'[3]new sheet'!$A$1:$IV$65536,2,0),0)</f>
        <v>0</v>
      </c>
    </row>
    <row r="449" spans="1:8" ht="24" customHeight="1">
      <c r="A449" s="7">
        <v>197726</v>
      </c>
      <c r="B449" s="7">
        <v>791</v>
      </c>
      <c r="C449" s="8" t="s">
        <v>376</v>
      </c>
      <c r="D449" s="8" t="s">
        <v>1934</v>
      </c>
      <c r="E449" s="2">
        <f>IFERROR(VLOOKUP(B449,'[1]new sheet'!$A$1:$IV$65536,5,FALSE),0)</f>
        <v>58</v>
      </c>
      <c r="F449" s="3">
        <f>IFERROR(VLOOKUP(B449,'[1]new sheet'!$A$1:$IV$65536,4,FALSE),0)</f>
        <v>1</v>
      </c>
      <c r="G449" s="4">
        <f>IFERROR(VLOOKUP(B449,'[2]new sheet'!$A$1:$IV$65536,2,0),0)</f>
        <v>45</v>
      </c>
      <c r="H449" s="5">
        <f>IFERROR(VLOOKUP(B449,'[3]new sheet'!$A$1:$IV$65536,2,0),0)</f>
        <v>19</v>
      </c>
    </row>
    <row r="450" spans="1:8" ht="24" customHeight="1">
      <c r="A450" s="7">
        <v>175157</v>
      </c>
      <c r="B450" s="7">
        <v>3257</v>
      </c>
      <c r="C450" s="8" t="s">
        <v>377</v>
      </c>
      <c r="D450" s="8" t="s">
        <v>1935</v>
      </c>
      <c r="E450" s="2">
        <f>IFERROR(VLOOKUP(B450,'[1]new sheet'!$A$1:$IV$65536,5,FALSE),0)</f>
        <v>502.56</v>
      </c>
      <c r="F450" s="3">
        <f>IFERROR(VLOOKUP(B450,'[1]new sheet'!$A$1:$IV$65536,4,FALSE),0)</f>
        <v>15</v>
      </c>
      <c r="G450" s="4">
        <f>IFERROR(VLOOKUP(B450,'[2]new sheet'!$A$1:$IV$65536,2,0),0)</f>
        <v>644.17999999999995</v>
      </c>
      <c r="H450" s="5">
        <f>IFERROR(VLOOKUP(B450,'[3]new sheet'!$A$1:$IV$65536,2,0),0)</f>
        <v>467.65</v>
      </c>
    </row>
    <row r="451" spans="1:8" ht="24" customHeight="1">
      <c r="A451" s="7">
        <v>0</v>
      </c>
      <c r="B451" s="7">
        <v>895</v>
      </c>
      <c r="C451" s="8" t="s">
        <v>378</v>
      </c>
      <c r="D451" s="8" t="s">
        <v>1934</v>
      </c>
      <c r="E451" s="2">
        <f>IFERROR(VLOOKUP(B451,'[1]new sheet'!$A$1:$IV$65536,5,FALSE),0)</f>
        <v>0</v>
      </c>
      <c r="F451" s="3">
        <f>IFERROR(VLOOKUP(B451,'[1]new sheet'!$A$1:$IV$65536,4,FALSE),0)</f>
        <v>0</v>
      </c>
      <c r="G451" s="4">
        <f>IFERROR(VLOOKUP(B451,'[2]new sheet'!$A$1:$IV$65536,2,0),0)</f>
        <v>0</v>
      </c>
      <c r="H451" s="5">
        <f>IFERROR(VLOOKUP(B451,'[3]new sheet'!$A$1:$IV$65536,2,0),0)</f>
        <v>0</v>
      </c>
    </row>
    <row r="452" spans="1:8" ht="24" customHeight="1">
      <c r="A452" s="7">
        <v>1839</v>
      </c>
      <c r="B452" s="7">
        <v>515</v>
      </c>
      <c r="C452" s="8" t="s">
        <v>1784</v>
      </c>
      <c r="D452" s="8" t="s">
        <v>1934</v>
      </c>
      <c r="E452" s="2">
        <f>IFERROR(VLOOKUP(B452,'[1]new sheet'!$A$1:$IV$65536,5,FALSE),0)</f>
        <v>0</v>
      </c>
      <c r="F452" s="3">
        <f>IFERROR(VLOOKUP(B452,'[1]new sheet'!$A$1:$IV$65536,4,FALSE),0)</f>
        <v>0</v>
      </c>
      <c r="G452" s="4">
        <f>IFERROR(VLOOKUP(B452,'[2]new sheet'!$A$1:$IV$65536,2,0),0)</f>
        <v>0</v>
      </c>
      <c r="H452" s="5">
        <f>IFERROR(VLOOKUP(B452,'[3]new sheet'!$A$1:$IV$65536,2,0),0)</f>
        <v>0</v>
      </c>
    </row>
    <row r="453" spans="1:8" ht="24" customHeight="1">
      <c r="A453" s="7">
        <v>1000092</v>
      </c>
      <c r="B453" s="7">
        <v>516</v>
      </c>
      <c r="C453" s="8" t="s">
        <v>1785</v>
      </c>
      <c r="D453" s="8" t="s">
        <v>1934</v>
      </c>
      <c r="E453" s="2">
        <f>IFERROR(VLOOKUP(B453,'[1]new sheet'!$A$1:$IV$65536,5,FALSE),0)</f>
        <v>194</v>
      </c>
      <c r="F453" s="3">
        <f>IFERROR(VLOOKUP(B453,'[1]new sheet'!$A$1:$IV$65536,4,FALSE),0)</f>
        <v>0</v>
      </c>
      <c r="G453" s="4">
        <f>IFERROR(VLOOKUP(B453,'[2]new sheet'!$A$1:$IV$65536,2,0),0)</f>
        <v>79</v>
      </c>
      <c r="H453" s="5">
        <f>IFERROR(VLOOKUP(B453,'[3]new sheet'!$A$1:$IV$65536,2,0),0)</f>
        <v>44</v>
      </c>
    </row>
    <row r="454" spans="1:8" ht="24" customHeight="1">
      <c r="A454" s="7">
        <v>44315</v>
      </c>
      <c r="B454" s="7">
        <v>517</v>
      </c>
      <c r="C454" s="8" t="s">
        <v>1786</v>
      </c>
      <c r="D454" s="8" t="s">
        <v>1934</v>
      </c>
      <c r="E454" s="2">
        <f>IFERROR(VLOOKUP(B454,'[1]new sheet'!$A$1:$IV$65536,5,FALSE),0)</f>
        <v>0</v>
      </c>
      <c r="F454" s="3">
        <f>IFERROR(VLOOKUP(B454,'[1]new sheet'!$A$1:$IV$65536,4,FALSE),0)</f>
        <v>0</v>
      </c>
      <c r="G454" s="4">
        <f>IFERROR(VLOOKUP(B454,'[2]new sheet'!$A$1:$IV$65536,2,0),0)</f>
        <v>0</v>
      </c>
      <c r="H454" s="5">
        <f>IFERROR(VLOOKUP(B454,'[3]new sheet'!$A$1:$IV$65536,2,0),0)</f>
        <v>0</v>
      </c>
    </row>
    <row r="455" spans="1:8" ht="24" customHeight="1">
      <c r="A455" s="7" t="s">
        <v>379</v>
      </c>
      <c r="B455" s="7">
        <v>1997</v>
      </c>
      <c r="C455" s="8" t="s">
        <v>1787</v>
      </c>
      <c r="D455" s="8" t="s">
        <v>1934</v>
      </c>
      <c r="E455" s="2">
        <f>IFERROR(VLOOKUP(B455,'[1]new sheet'!$A$1:$IV$65536,5,FALSE),0)</f>
        <v>0</v>
      </c>
      <c r="F455" s="3">
        <f>IFERROR(VLOOKUP(B455,'[1]new sheet'!$A$1:$IV$65536,4,FALSE),0)</f>
        <v>0</v>
      </c>
      <c r="G455" s="4">
        <f>IFERROR(VLOOKUP(B455,'[2]new sheet'!$A$1:$IV$65536,2,0),0)</f>
        <v>85</v>
      </c>
      <c r="H455" s="5">
        <f>IFERROR(VLOOKUP(B455,'[3]new sheet'!$A$1:$IV$65536,2,0),0)</f>
        <v>0</v>
      </c>
    </row>
    <row r="456" spans="1:8" ht="24" customHeight="1">
      <c r="A456" s="7">
        <v>990383</v>
      </c>
      <c r="B456" s="7">
        <v>4152</v>
      </c>
      <c r="C456" s="8" t="s">
        <v>1832</v>
      </c>
      <c r="D456" s="8" t="s">
        <v>1934</v>
      </c>
      <c r="E456" s="2">
        <f>IFERROR(VLOOKUP(B456,'[1]new sheet'!$A$1:$IV$65536,5,FALSE),0)</f>
        <v>3</v>
      </c>
      <c r="F456" s="3">
        <f>IFERROR(VLOOKUP(B456,'[1]new sheet'!$A$1:$IV$65536,4,FALSE),0)</f>
        <v>0</v>
      </c>
      <c r="G456" s="4">
        <f>IFERROR(VLOOKUP(B456,'[2]new sheet'!$A$1:$IV$65536,2,0),0)</f>
        <v>0</v>
      </c>
      <c r="H456" s="5">
        <f>IFERROR(VLOOKUP(B456,'[3]new sheet'!$A$1:$IV$65536,2,0),0)</f>
        <v>0</v>
      </c>
    </row>
    <row r="457" spans="1:8" ht="24" customHeight="1">
      <c r="A457" s="7">
        <v>1351</v>
      </c>
      <c r="B457" s="7">
        <v>2164</v>
      </c>
      <c r="C457" s="8" t="s">
        <v>1788</v>
      </c>
      <c r="D457" s="8" t="s">
        <v>1934</v>
      </c>
      <c r="E457" s="2">
        <f>IFERROR(VLOOKUP(B457,'[1]new sheet'!$A$1:$IV$65536,5,FALSE),0)</f>
        <v>0</v>
      </c>
      <c r="F457" s="3">
        <f>IFERROR(VLOOKUP(B457,'[1]new sheet'!$A$1:$IV$65536,4,FALSE),0)</f>
        <v>0</v>
      </c>
      <c r="G457" s="4">
        <f>IFERROR(VLOOKUP(B457,'[2]new sheet'!$A$1:$IV$65536,2,0),0)</f>
        <v>0</v>
      </c>
      <c r="H457" s="5">
        <f>IFERROR(VLOOKUP(B457,'[3]new sheet'!$A$1:$IV$65536,2,0),0)</f>
        <v>0</v>
      </c>
    </row>
    <row r="458" spans="1:8" ht="24" customHeight="1">
      <c r="A458" s="7">
        <v>84762</v>
      </c>
      <c r="B458" s="7">
        <v>520</v>
      </c>
      <c r="C458" s="8" t="s">
        <v>1789</v>
      </c>
      <c r="D458" s="8" t="s">
        <v>1934</v>
      </c>
      <c r="E458" s="2">
        <f>IFERROR(VLOOKUP(B458,'[1]new sheet'!$A$1:$IV$65536,5,FALSE),0)</f>
        <v>0</v>
      </c>
      <c r="F458" s="3">
        <f>IFERROR(VLOOKUP(B458,'[1]new sheet'!$A$1:$IV$65536,4,FALSE),0)</f>
        <v>0</v>
      </c>
      <c r="G458" s="4">
        <f>IFERROR(VLOOKUP(B458,'[2]new sheet'!$A$1:$IV$65536,2,0),0)</f>
        <v>0</v>
      </c>
      <c r="H458" s="5">
        <f>IFERROR(VLOOKUP(B458,'[3]new sheet'!$A$1:$IV$65536,2,0),0)</f>
        <v>0</v>
      </c>
    </row>
    <row r="459" spans="1:8" ht="24" customHeight="1">
      <c r="A459" s="7">
        <v>20</v>
      </c>
      <c r="B459" s="7">
        <v>388</v>
      </c>
      <c r="C459" s="8" t="s">
        <v>1790</v>
      </c>
      <c r="D459" s="8" t="s">
        <v>1934</v>
      </c>
      <c r="E459" s="2">
        <f>IFERROR(VLOOKUP(B459,'[1]new sheet'!$A$1:$IV$65536,5,FALSE),0)</f>
        <v>0</v>
      </c>
      <c r="F459" s="3">
        <f>IFERROR(VLOOKUP(B459,'[1]new sheet'!$A$1:$IV$65536,4,FALSE),0)</f>
        <v>0</v>
      </c>
      <c r="G459" s="4">
        <f>IFERROR(VLOOKUP(B459,'[2]new sheet'!$A$1:$IV$65536,2,0),0)</f>
        <v>840</v>
      </c>
      <c r="H459" s="5">
        <f>IFERROR(VLOOKUP(B459,'[3]new sheet'!$A$1:$IV$65536,2,0),0)</f>
        <v>0</v>
      </c>
    </row>
    <row r="460" spans="1:8" ht="24" customHeight="1">
      <c r="A460" s="7">
        <v>262</v>
      </c>
      <c r="B460" s="7">
        <v>1632</v>
      </c>
      <c r="C460" s="8" t="s">
        <v>1791</v>
      </c>
      <c r="D460" s="8" t="s">
        <v>1934</v>
      </c>
      <c r="E460" s="2">
        <f>IFERROR(VLOOKUP(B460,'[1]new sheet'!$A$1:$IV$65536,5,FALSE),0)</f>
        <v>0</v>
      </c>
      <c r="F460" s="3">
        <f>IFERROR(VLOOKUP(B460,'[1]new sheet'!$A$1:$IV$65536,4,FALSE),0)</f>
        <v>0</v>
      </c>
      <c r="G460" s="4">
        <f>IFERROR(VLOOKUP(B460,'[2]new sheet'!$A$1:$IV$65536,2,0),0)</f>
        <v>930</v>
      </c>
      <c r="H460" s="5">
        <f>IFERROR(VLOOKUP(B460,'[3]new sheet'!$A$1:$IV$65536,2,0),0)</f>
        <v>20</v>
      </c>
    </row>
    <row r="461" spans="1:8" ht="24" customHeight="1">
      <c r="A461" s="7">
        <v>120424</v>
      </c>
      <c r="B461" s="7">
        <v>792</v>
      </c>
      <c r="C461" s="8" t="s">
        <v>1792</v>
      </c>
      <c r="D461" s="8" t="s">
        <v>1934</v>
      </c>
      <c r="E461" s="2">
        <f>IFERROR(VLOOKUP(B461,'[1]new sheet'!$A$1:$IV$65536,5,FALSE),0)</f>
        <v>0</v>
      </c>
      <c r="F461" s="3">
        <f>IFERROR(VLOOKUP(B461,'[1]new sheet'!$A$1:$IV$65536,4,FALSE),0)</f>
        <v>0</v>
      </c>
      <c r="G461" s="4">
        <f>IFERROR(VLOOKUP(B461,'[2]new sheet'!$A$1:$IV$65536,2,0),0)</f>
        <v>0</v>
      </c>
      <c r="H461" s="5">
        <f>IFERROR(VLOOKUP(B461,'[3]new sheet'!$A$1:$IV$65536,2,0),0)</f>
        <v>0</v>
      </c>
    </row>
    <row r="462" spans="1:8" ht="24" customHeight="1">
      <c r="A462" s="7">
        <v>3005590</v>
      </c>
      <c r="B462" s="7">
        <v>4169</v>
      </c>
      <c r="C462" s="8" t="s">
        <v>1793</v>
      </c>
      <c r="D462" s="8" t="s">
        <v>1934</v>
      </c>
      <c r="E462" s="2">
        <f>IFERROR(VLOOKUP(B462,'[1]new sheet'!$A$1:$IV$65536,5,FALSE),0)</f>
        <v>0</v>
      </c>
      <c r="F462" s="3">
        <f>IFERROR(VLOOKUP(B462,'[1]new sheet'!$A$1:$IV$65536,4,FALSE),0)</f>
        <v>0</v>
      </c>
      <c r="G462" s="4">
        <f>IFERROR(VLOOKUP(B462,'[2]new sheet'!$A$1:$IV$65536,2,0),0)</f>
        <v>625</v>
      </c>
      <c r="H462" s="5">
        <f>IFERROR(VLOOKUP(B462,'[3]new sheet'!$A$1:$IV$65536,2,0),0)</f>
        <v>0</v>
      </c>
    </row>
    <row r="463" spans="1:8" ht="24" customHeight="1">
      <c r="A463" s="7"/>
      <c r="B463" s="7">
        <v>396</v>
      </c>
      <c r="C463" s="8" t="s">
        <v>1794</v>
      </c>
      <c r="D463" s="8" t="s">
        <v>1934</v>
      </c>
      <c r="E463" s="2">
        <f>IFERROR(VLOOKUP(B463,'[1]new sheet'!$A$1:$IV$65536,5,FALSE),0)</f>
        <v>1071</v>
      </c>
      <c r="F463" s="3">
        <f>IFERROR(VLOOKUP(B463,'[1]new sheet'!$A$1:$IV$65536,4,FALSE),0)</f>
        <v>109</v>
      </c>
      <c r="G463" s="4">
        <f>IFERROR(VLOOKUP(B463,'[2]new sheet'!$A$1:$IV$65536,2,0),0)</f>
        <v>40</v>
      </c>
      <c r="H463" s="5">
        <f>IFERROR(VLOOKUP(B463,'[3]new sheet'!$A$1:$IV$65536,2,0),0)</f>
        <v>785</v>
      </c>
    </row>
    <row r="464" spans="1:8" ht="24" customHeight="1">
      <c r="A464" s="7">
        <v>2</v>
      </c>
      <c r="B464" s="7">
        <v>1478</v>
      </c>
      <c r="C464" s="8" t="s">
        <v>1795</v>
      </c>
      <c r="D464" s="8" t="s">
        <v>1934</v>
      </c>
      <c r="E464" s="2">
        <f>IFERROR(VLOOKUP(B464,'[1]new sheet'!$A$1:$IV$65536,5,FALSE),0)</f>
        <v>0</v>
      </c>
      <c r="F464" s="3">
        <f>IFERROR(VLOOKUP(B464,'[1]new sheet'!$A$1:$IV$65536,4,FALSE),0)</f>
        <v>0</v>
      </c>
      <c r="G464" s="4">
        <f>IFERROR(VLOOKUP(B464,'[2]new sheet'!$A$1:$IV$65536,2,0),0)</f>
        <v>0</v>
      </c>
      <c r="H464" s="5">
        <f>IFERROR(VLOOKUP(B464,'[3]new sheet'!$A$1:$IV$65536,2,0),0)</f>
        <v>0</v>
      </c>
    </row>
    <row r="465" spans="1:8" ht="24" customHeight="1">
      <c r="A465" s="7">
        <v>1000119</v>
      </c>
      <c r="B465" s="7">
        <v>2206</v>
      </c>
      <c r="C465" s="8" t="s">
        <v>1860</v>
      </c>
      <c r="D465" s="8" t="s">
        <v>1934</v>
      </c>
      <c r="E465" s="2">
        <f>IFERROR(VLOOKUP(B465,'[1]new sheet'!$A$1:$IV$65536,5,FALSE),0)</f>
        <v>0</v>
      </c>
      <c r="F465" s="3">
        <f>IFERROR(VLOOKUP(B465,'[1]new sheet'!$A$1:$IV$65536,4,FALSE),0)</f>
        <v>0</v>
      </c>
      <c r="G465" s="4">
        <f>IFERROR(VLOOKUP(B465,'[2]new sheet'!$A$1:$IV$65536,2,0),0)</f>
        <v>0</v>
      </c>
      <c r="H465" s="5">
        <f>IFERROR(VLOOKUP(B465,'[3]new sheet'!$A$1:$IV$65536,2,0),0)</f>
        <v>0</v>
      </c>
    </row>
    <row r="466" spans="1:8" ht="24" customHeight="1">
      <c r="A466" s="7">
        <v>795259</v>
      </c>
      <c r="B466" s="7">
        <v>2726</v>
      </c>
      <c r="C466" s="8" t="s">
        <v>1796</v>
      </c>
      <c r="D466" s="8" t="s">
        <v>1934</v>
      </c>
      <c r="E466" s="2">
        <f>IFERROR(VLOOKUP(B466,'[1]new sheet'!$A$1:$IV$65536,5,FALSE),0)</f>
        <v>0</v>
      </c>
      <c r="F466" s="3">
        <f>IFERROR(VLOOKUP(B466,'[1]new sheet'!$A$1:$IV$65536,4,FALSE),0)</f>
        <v>0</v>
      </c>
      <c r="G466" s="4">
        <f>IFERROR(VLOOKUP(B466,'[2]new sheet'!$A$1:$IV$65536,2,0),0)</f>
        <v>0</v>
      </c>
      <c r="H466" s="5">
        <f>IFERROR(VLOOKUP(B466,'[3]new sheet'!$A$1:$IV$65536,2,0),0)</f>
        <v>0</v>
      </c>
    </row>
    <row r="467" spans="1:8" ht="24" customHeight="1">
      <c r="A467" s="7">
        <v>21093</v>
      </c>
      <c r="B467" s="7">
        <v>793</v>
      </c>
      <c r="C467" s="8" t="s">
        <v>1797</v>
      </c>
      <c r="D467" s="8" t="s">
        <v>1934</v>
      </c>
      <c r="E467" s="2">
        <f>IFERROR(VLOOKUP(B467,'[1]new sheet'!$A$1:$IV$65536,5,FALSE),0)</f>
        <v>0</v>
      </c>
      <c r="F467" s="3">
        <f>IFERROR(VLOOKUP(B467,'[1]new sheet'!$A$1:$IV$65536,4,FALSE),0)</f>
        <v>0</v>
      </c>
      <c r="G467" s="4">
        <f>IFERROR(VLOOKUP(B467,'[2]new sheet'!$A$1:$IV$65536,2,0),0)</f>
        <v>0</v>
      </c>
      <c r="H467" s="5">
        <f>IFERROR(VLOOKUP(B467,'[3]new sheet'!$A$1:$IV$65536,2,0),0)</f>
        <v>0</v>
      </c>
    </row>
    <row r="468" spans="1:8" ht="24" customHeight="1">
      <c r="A468" s="7">
        <v>84</v>
      </c>
      <c r="B468" s="7">
        <v>25</v>
      </c>
      <c r="C468" s="8" t="s">
        <v>1798</v>
      </c>
      <c r="D468" s="8" t="s">
        <v>1934</v>
      </c>
      <c r="E468" s="2">
        <f>IFERROR(VLOOKUP(B468,'[1]new sheet'!$A$1:$IV$65536,5,FALSE),0)</f>
        <v>0</v>
      </c>
      <c r="F468" s="3">
        <f>IFERROR(VLOOKUP(B468,'[1]new sheet'!$A$1:$IV$65536,4,FALSE),0)</f>
        <v>0</v>
      </c>
      <c r="G468" s="4">
        <f>IFERROR(VLOOKUP(B468,'[2]new sheet'!$A$1:$IV$65536,2,0),0)</f>
        <v>608</v>
      </c>
      <c r="H468" s="5">
        <f>IFERROR(VLOOKUP(B468,'[3]new sheet'!$A$1:$IV$65536,2,0),0)</f>
        <v>0</v>
      </c>
    </row>
    <row r="469" spans="1:8" ht="24" customHeight="1">
      <c r="A469" s="7">
        <v>242</v>
      </c>
      <c r="B469" s="7">
        <v>521</v>
      </c>
      <c r="C469" s="8" t="s">
        <v>1799</v>
      </c>
      <c r="D469" s="8" t="s">
        <v>1934</v>
      </c>
      <c r="E469" s="2">
        <f>IFERROR(VLOOKUP(B469,'[1]new sheet'!$A$1:$IV$65536,5,FALSE),0)</f>
        <v>9</v>
      </c>
      <c r="F469" s="3">
        <f>IFERROR(VLOOKUP(B469,'[1]new sheet'!$A$1:$IV$65536,4,FALSE),0)</f>
        <v>6</v>
      </c>
      <c r="G469" s="4">
        <f>IFERROR(VLOOKUP(B469,'[2]new sheet'!$A$1:$IV$65536,2,0),0)</f>
        <v>261</v>
      </c>
      <c r="H469" s="5">
        <f>IFERROR(VLOOKUP(B469,'[3]new sheet'!$A$1:$IV$65536,2,0),0)</f>
        <v>368</v>
      </c>
    </row>
    <row r="470" spans="1:8" ht="24" customHeight="1">
      <c r="A470" s="7">
        <v>70302</v>
      </c>
      <c r="B470" s="7">
        <v>23</v>
      </c>
      <c r="C470" s="8" t="s">
        <v>1800</v>
      </c>
      <c r="D470" s="8" t="s">
        <v>1934</v>
      </c>
      <c r="E470" s="2">
        <f>IFERROR(VLOOKUP(B470,'[1]new sheet'!$A$1:$IV$65536,5,FALSE),0)</f>
        <v>0</v>
      </c>
      <c r="F470" s="3">
        <f>IFERROR(VLOOKUP(B470,'[1]new sheet'!$A$1:$IV$65536,4,FALSE),0)</f>
        <v>0</v>
      </c>
      <c r="G470" s="4">
        <f>IFERROR(VLOOKUP(B470,'[2]new sheet'!$A$1:$IV$65536,2,0),0)</f>
        <v>0</v>
      </c>
      <c r="H470" s="5">
        <f>IFERROR(VLOOKUP(B470,'[3]new sheet'!$A$1:$IV$65536,2,0),0)</f>
        <v>0</v>
      </c>
    </row>
    <row r="471" spans="1:8" ht="24" customHeight="1">
      <c r="A471" s="7"/>
      <c r="B471" s="7">
        <v>398</v>
      </c>
      <c r="C471" s="8" t="s">
        <v>1801</v>
      </c>
      <c r="D471" s="8" t="s">
        <v>1934</v>
      </c>
      <c r="E471" s="2">
        <f>IFERROR(VLOOKUP(B471,'[1]new sheet'!$A$1:$IV$65536,5,FALSE),0)</f>
        <v>0</v>
      </c>
      <c r="F471" s="3">
        <f>IFERROR(VLOOKUP(B471,'[1]new sheet'!$A$1:$IV$65536,4,FALSE),0)</f>
        <v>0</v>
      </c>
      <c r="G471" s="4">
        <f>IFERROR(VLOOKUP(B471,'[2]new sheet'!$A$1:$IV$65536,2,0),0)</f>
        <v>0</v>
      </c>
      <c r="H471" s="5">
        <f>IFERROR(VLOOKUP(B471,'[3]new sheet'!$A$1:$IV$65536,2,0),0)</f>
        <v>0</v>
      </c>
    </row>
    <row r="472" spans="1:8" ht="24" customHeight="1">
      <c r="A472" s="7">
        <v>14141</v>
      </c>
      <c r="B472" s="7">
        <v>2727</v>
      </c>
      <c r="C472" s="8" t="s">
        <v>1802</v>
      </c>
      <c r="D472" s="8" t="s">
        <v>1934</v>
      </c>
      <c r="E472" s="2">
        <f>IFERROR(VLOOKUP(B472,'[1]new sheet'!$A$1:$IV$65536,5,FALSE),0)</f>
        <v>0</v>
      </c>
      <c r="F472" s="3">
        <f>IFERROR(VLOOKUP(B472,'[1]new sheet'!$A$1:$IV$65536,4,FALSE),0)</f>
        <v>0</v>
      </c>
      <c r="G472" s="4">
        <f>IFERROR(VLOOKUP(B472,'[2]new sheet'!$A$1:$IV$65536,2,0),0)</f>
        <v>0</v>
      </c>
      <c r="H472" s="5">
        <f>IFERROR(VLOOKUP(B472,'[3]new sheet'!$A$1:$IV$65536,2,0),0)</f>
        <v>0</v>
      </c>
    </row>
    <row r="473" spans="1:8" ht="24" customHeight="1">
      <c r="A473" s="7">
        <v>2</v>
      </c>
      <c r="B473" s="7">
        <v>1717</v>
      </c>
      <c r="C473" s="8" t="s">
        <v>1803</v>
      </c>
      <c r="D473" s="8" t="s">
        <v>1934</v>
      </c>
      <c r="E473" s="2">
        <f>IFERROR(VLOOKUP(B473,'[1]new sheet'!$A$1:$IV$65536,5,FALSE),0)</f>
        <v>0</v>
      </c>
      <c r="F473" s="3">
        <f>IFERROR(VLOOKUP(B473,'[1]new sheet'!$A$1:$IV$65536,4,FALSE),0)</f>
        <v>0</v>
      </c>
      <c r="G473" s="4">
        <f>IFERROR(VLOOKUP(B473,'[2]new sheet'!$A$1:$IV$65536,2,0),0)</f>
        <v>0</v>
      </c>
      <c r="H473" s="5">
        <f>IFERROR(VLOOKUP(B473,'[3]new sheet'!$A$1:$IV$65536,2,0),0)</f>
        <v>0</v>
      </c>
    </row>
    <row r="474" spans="1:8" ht="24" customHeight="1">
      <c r="A474" s="7">
        <v>1351</v>
      </c>
      <c r="B474" s="7">
        <v>2163</v>
      </c>
      <c r="C474" s="8" t="s">
        <v>1804</v>
      </c>
      <c r="D474" s="8" t="s">
        <v>1934</v>
      </c>
      <c r="E474" s="2">
        <f>IFERROR(VLOOKUP(B474,'[1]new sheet'!$A$1:$IV$65536,5,FALSE),0)</f>
        <v>0</v>
      </c>
      <c r="F474" s="3">
        <f>IFERROR(VLOOKUP(B474,'[1]new sheet'!$A$1:$IV$65536,4,FALSE),0)</f>
        <v>0</v>
      </c>
      <c r="G474" s="4">
        <f>IFERROR(VLOOKUP(B474,'[2]new sheet'!$A$1:$IV$65536,2,0),0)</f>
        <v>0</v>
      </c>
      <c r="H474" s="5">
        <f>IFERROR(VLOOKUP(B474,'[3]new sheet'!$A$1:$IV$65536,2,0),0)</f>
        <v>0</v>
      </c>
    </row>
    <row r="475" spans="1:8" ht="24" customHeight="1">
      <c r="A475" s="7">
        <v>84757</v>
      </c>
      <c r="B475" s="7">
        <v>518</v>
      </c>
      <c r="C475" s="8" t="s">
        <v>1805</v>
      </c>
      <c r="D475" s="8" t="s">
        <v>1934</v>
      </c>
      <c r="E475" s="2">
        <f>IFERROR(VLOOKUP(B475,'[1]new sheet'!$A$1:$IV$65536,5,FALSE),0)</f>
        <v>0</v>
      </c>
      <c r="F475" s="3">
        <f>IFERROR(VLOOKUP(B475,'[1]new sheet'!$A$1:$IV$65536,4,FALSE),0)</f>
        <v>0</v>
      </c>
      <c r="G475" s="4">
        <f>IFERROR(VLOOKUP(B475,'[2]new sheet'!$A$1:$IV$65536,2,0),0)</f>
        <v>0</v>
      </c>
      <c r="H475" s="5">
        <f>IFERROR(VLOOKUP(B475,'[3]new sheet'!$A$1:$IV$65536,2,0),0)</f>
        <v>0</v>
      </c>
    </row>
    <row r="476" spans="1:8" ht="24" customHeight="1">
      <c r="A476" s="7">
        <v>12</v>
      </c>
      <c r="B476" s="7">
        <v>24</v>
      </c>
      <c r="C476" s="8" t="s">
        <v>1806</v>
      </c>
      <c r="D476" s="8" t="s">
        <v>1934</v>
      </c>
      <c r="E476" s="2">
        <f>IFERROR(VLOOKUP(B476,'[1]new sheet'!$A$1:$IV$65536,5,FALSE),0)</f>
        <v>0</v>
      </c>
      <c r="F476" s="3">
        <f>IFERROR(VLOOKUP(B476,'[1]new sheet'!$A$1:$IV$65536,4,FALSE),0)</f>
        <v>0</v>
      </c>
      <c r="G476" s="4">
        <f>IFERROR(VLOOKUP(B476,'[2]new sheet'!$A$1:$IV$65536,2,0),0)</f>
        <v>2362</v>
      </c>
      <c r="H476" s="5">
        <f>IFERROR(VLOOKUP(B476,'[3]new sheet'!$A$1:$IV$65536,2,0),0)</f>
        <v>77</v>
      </c>
    </row>
    <row r="477" spans="1:8" ht="24" customHeight="1">
      <c r="A477" s="7">
        <v>252</v>
      </c>
      <c r="B477" s="7">
        <v>519</v>
      </c>
      <c r="C477" s="8" t="s">
        <v>1807</v>
      </c>
      <c r="D477" s="8" t="s">
        <v>1934</v>
      </c>
      <c r="E477" s="2">
        <f>IFERROR(VLOOKUP(B477,'[1]new sheet'!$A$1:$IV$65536,5,FALSE),0)</f>
        <v>0</v>
      </c>
      <c r="F477" s="3">
        <f>IFERROR(VLOOKUP(B477,'[1]new sheet'!$A$1:$IV$65536,4,FALSE),0)</f>
        <v>0</v>
      </c>
      <c r="G477" s="4">
        <f>IFERROR(VLOOKUP(B477,'[2]new sheet'!$A$1:$IV$65536,2,0),0)</f>
        <v>0</v>
      </c>
      <c r="H477" s="5">
        <f>IFERROR(VLOOKUP(B477,'[3]new sheet'!$A$1:$IV$65536,2,0),0)</f>
        <v>0</v>
      </c>
    </row>
    <row r="478" spans="1:8" ht="24" customHeight="1">
      <c r="A478" s="7">
        <v>60203</v>
      </c>
      <c r="B478" s="7">
        <v>22</v>
      </c>
      <c r="C478" s="8" t="s">
        <v>1808</v>
      </c>
      <c r="D478" s="8" t="s">
        <v>1934</v>
      </c>
      <c r="E478" s="2">
        <f>IFERROR(VLOOKUP(B478,'[1]new sheet'!$A$1:$IV$65536,5,FALSE),0)</f>
        <v>0</v>
      </c>
      <c r="F478" s="3">
        <f>IFERROR(VLOOKUP(B478,'[1]new sheet'!$A$1:$IV$65536,4,FALSE),0)</f>
        <v>0</v>
      </c>
      <c r="G478" s="4">
        <f>IFERROR(VLOOKUP(B478,'[2]new sheet'!$A$1:$IV$65536,2,0),0)</f>
        <v>0</v>
      </c>
      <c r="H478" s="5">
        <f>IFERROR(VLOOKUP(B478,'[3]new sheet'!$A$1:$IV$65536,2,0),0)</f>
        <v>0</v>
      </c>
    </row>
    <row r="479" spans="1:8" ht="24" customHeight="1">
      <c r="A479" s="7"/>
      <c r="B479" s="7">
        <v>870</v>
      </c>
      <c r="C479" s="8" t="s">
        <v>1809</v>
      </c>
      <c r="D479" s="8" t="s">
        <v>1934</v>
      </c>
      <c r="E479" s="2">
        <f>IFERROR(VLOOKUP(B479,'[1]new sheet'!$A$1:$IV$65536,5,FALSE),0)</f>
        <v>0</v>
      </c>
      <c r="F479" s="3">
        <f>IFERROR(VLOOKUP(B479,'[1]new sheet'!$A$1:$IV$65536,4,FALSE),0)</f>
        <v>0</v>
      </c>
      <c r="G479" s="4">
        <f>IFERROR(VLOOKUP(B479,'[2]new sheet'!$A$1:$IV$65536,2,0),0)</f>
        <v>0</v>
      </c>
      <c r="H479" s="5">
        <f>IFERROR(VLOOKUP(B479,'[3]new sheet'!$A$1:$IV$65536,2,0),0)</f>
        <v>0</v>
      </c>
    </row>
    <row r="480" spans="1:8" ht="24" customHeight="1">
      <c r="A480" s="7">
        <v>111</v>
      </c>
      <c r="B480" s="7">
        <v>397</v>
      </c>
      <c r="C480" s="8" t="s">
        <v>1810</v>
      </c>
      <c r="D480" s="8" t="s">
        <v>1934</v>
      </c>
      <c r="E480" s="2">
        <f>IFERROR(VLOOKUP(B480,'[1]new sheet'!$A$1:$IV$65536,5,FALSE),0)</f>
        <v>1348</v>
      </c>
      <c r="F480" s="3">
        <f>IFERROR(VLOOKUP(B480,'[1]new sheet'!$A$1:$IV$65536,4,FALSE),0)</f>
        <v>24</v>
      </c>
      <c r="G480" s="4">
        <f>IFERROR(VLOOKUP(B480,'[2]new sheet'!$A$1:$IV$65536,2,0),0)</f>
        <v>63</v>
      </c>
      <c r="H480" s="5">
        <f>IFERROR(VLOOKUP(B480,'[3]new sheet'!$A$1:$IV$65536,2,0),0)</f>
        <v>767</v>
      </c>
    </row>
    <row r="481" spans="1:8" ht="24" customHeight="1">
      <c r="A481" s="7">
        <v>113870</v>
      </c>
      <c r="B481" s="7">
        <v>2981</v>
      </c>
      <c r="C481" s="8" t="s">
        <v>380</v>
      </c>
      <c r="D481" s="8" t="s">
        <v>1935</v>
      </c>
      <c r="E481" s="2">
        <f>IFERROR(VLOOKUP(B481,'[1]new sheet'!$A$1:$IV$65536,5,FALSE),0)</f>
        <v>0</v>
      </c>
      <c r="F481" s="3">
        <f>IFERROR(VLOOKUP(B481,'[1]new sheet'!$A$1:$IV$65536,4,FALSE),0)</f>
        <v>0</v>
      </c>
      <c r="G481" s="4">
        <f>IFERROR(VLOOKUP(B481,'[2]new sheet'!$A$1:$IV$65536,2,0),0)</f>
        <v>0</v>
      </c>
      <c r="H481" s="5">
        <f>IFERROR(VLOOKUP(B481,'[3]new sheet'!$A$1:$IV$65536,2,0),0)</f>
        <v>0</v>
      </c>
    </row>
    <row r="482" spans="1:8" ht="24" customHeight="1">
      <c r="A482" s="7">
        <v>388</v>
      </c>
      <c r="B482" s="7">
        <v>794</v>
      </c>
      <c r="C482" s="8" t="s">
        <v>381</v>
      </c>
      <c r="D482" s="8" t="s">
        <v>1935</v>
      </c>
      <c r="E482" s="2">
        <f>IFERROR(VLOOKUP(B482,'[1]new sheet'!$A$1:$IV$65536,5,FALSE),0)</f>
        <v>0</v>
      </c>
      <c r="F482" s="3">
        <f>IFERROR(VLOOKUP(B482,'[1]new sheet'!$A$1:$IV$65536,4,FALSE),0)</f>
        <v>0</v>
      </c>
      <c r="G482" s="4">
        <f>IFERROR(VLOOKUP(B482,'[2]new sheet'!$A$1:$IV$65536,2,0),0)</f>
        <v>0</v>
      </c>
      <c r="H482" s="5">
        <f>IFERROR(VLOOKUP(B482,'[3]new sheet'!$A$1:$IV$65536,2,0),0)</f>
        <v>0</v>
      </c>
    </row>
    <row r="483" spans="1:8" ht="24" customHeight="1">
      <c r="A483" s="7">
        <v>9000011769</v>
      </c>
      <c r="B483" s="7">
        <v>3171</v>
      </c>
      <c r="C483" s="8" t="s">
        <v>382</v>
      </c>
      <c r="D483" s="8" t="s">
        <v>1935</v>
      </c>
      <c r="E483" s="2">
        <f>IFERROR(VLOOKUP(B483,'[1]new sheet'!$A$1:$IV$65536,5,FALSE),0)</f>
        <v>2535.5100000000002</v>
      </c>
      <c r="F483" s="3">
        <f>IFERROR(VLOOKUP(B483,'[1]new sheet'!$A$1:$IV$65536,4,FALSE),0)</f>
        <v>0</v>
      </c>
      <c r="G483" s="4">
        <f>IFERROR(VLOOKUP(B483,'[2]new sheet'!$A$1:$IV$65536,2,0),0)</f>
        <v>525.97</v>
      </c>
      <c r="H483" s="5">
        <f>IFERROR(VLOOKUP(B483,'[3]new sheet'!$A$1:$IV$65536,2,0),0)</f>
        <v>377.29</v>
      </c>
    </row>
    <row r="484" spans="1:8" ht="24" customHeight="1">
      <c r="A484" s="7"/>
      <c r="B484" s="7">
        <v>97</v>
      </c>
      <c r="C484" s="8" t="s">
        <v>383</v>
      </c>
      <c r="D484" s="8" t="s">
        <v>1935</v>
      </c>
      <c r="E484" s="2">
        <f>IFERROR(VLOOKUP(B484,'[1]new sheet'!$A$1:$IV$65536,5,FALSE),0)</f>
        <v>0</v>
      </c>
      <c r="F484" s="3">
        <f>IFERROR(VLOOKUP(B484,'[1]new sheet'!$A$1:$IV$65536,4,FALSE),0)</f>
        <v>0</v>
      </c>
      <c r="G484" s="4">
        <f>IFERROR(VLOOKUP(B484,'[2]new sheet'!$A$1:$IV$65536,2,0),0)</f>
        <v>0</v>
      </c>
      <c r="H484" s="5">
        <f>IFERROR(VLOOKUP(B484,'[3]new sheet'!$A$1:$IV$65536,2,0),0)</f>
        <v>0</v>
      </c>
    </row>
    <row r="485" spans="1:8" ht="24" customHeight="1">
      <c r="A485" s="7">
        <v>688</v>
      </c>
      <c r="B485" s="7">
        <v>96</v>
      </c>
      <c r="C485" s="8" t="s">
        <v>384</v>
      </c>
      <c r="D485" s="8" t="s">
        <v>1935</v>
      </c>
      <c r="E485" s="2">
        <f>IFERROR(VLOOKUP(B485,'[1]new sheet'!$A$1:$IV$65536,5,FALSE),0)</f>
        <v>0</v>
      </c>
      <c r="F485" s="3">
        <f>IFERROR(VLOOKUP(B485,'[1]new sheet'!$A$1:$IV$65536,4,FALSE),0)</f>
        <v>0</v>
      </c>
      <c r="G485" s="4">
        <f>IFERROR(VLOOKUP(B485,'[2]new sheet'!$A$1:$IV$65536,2,0),0)</f>
        <v>1679.22</v>
      </c>
      <c r="H485" s="5">
        <f>IFERROR(VLOOKUP(B485,'[3]new sheet'!$A$1:$IV$65536,2,0),0)</f>
        <v>0</v>
      </c>
    </row>
    <row r="486" spans="1:8" ht="24" customHeight="1">
      <c r="A486" s="7"/>
      <c r="B486" s="7">
        <v>522</v>
      </c>
      <c r="C486" s="8" t="s">
        <v>1811</v>
      </c>
      <c r="D486" s="8" t="s">
        <v>1935</v>
      </c>
      <c r="E486" s="2">
        <f>IFERROR(VLOOKUP(B486,'[1]new sheet'!$A$1:$IV$65536,5,FALSE),0)</f>
        <v>0</v>
      </c>
      <c r="F486" s="3">
        <f>IFERROR(VLOOKUP(B486,'[1]new sheet'!$A$1:$IV$65536,4,FALSE),0)</f>
        <v>0</v>
      </c>
      <c r="G486" s="4">
        <f>IFERROR(VLOOKUP(B486,'[2]new sheet'!$A$1:$IV$65536,2,0),0)</f>
        <v>0</v>
      </c>
      <c r="H486" s="5">
        <f>IFERROR(VLOOKUP(B486,'[3]new sheet'!$A$1:$IV$65536,2,0),0)</f>
        <v>0</v>
      </c>
    </row>
    <row r="487" spans="1:8" ht="24" customHeight="1">
      <c r="A487" s="7">
        <v>114151</v>
      </c>
      <c r="B487" s="7">
        <v>2721</v>
      </c>
      <c r="C487" s="8" t="s">
        <v>385</v>
      </c>
      <c r="D487" s="8" t="s">
        <v>1935</v>
      </c>
      <c r="E487" s="2">
        <f>IFERROR(VLOOKUP(B487,'[1]new sheet'!$A$1:$IV$65536,5,FALSE),0)</f>
        <v>0</v>
      </c>
      <c r="F487" s="3">
        <f>IFERROR(VLOOKUP(B487,'[1]new sheet'!$A$1:$IV$65536,4,FALSE),0)</f>
        <v>0</v>
      </c>
      <c r="G487" s="4">
        <f>IFERROR(VLOOKUP(B487,'[2]new sheet'!$A$1:$IV$65536,2,0),0)</f>
        <v>0</v>
      </c>
      <c r="H487" s="5">
        <f>IFERROR(VLOOKUP(B487,'[3]new sheet'!$A$1:$IV$65536,2,0),0)</f>
        <v>0</v>
      </c>
    </row>
    <row r="488" spans="1:8" ht="24" customHeight="1">
      <c r="A488" s="7" t="s">
        <v>386</v>
      </c>
      <c r="B488" s="7">
        <v>1702</v>
      </c>
      <c r="C488" s="8" t="s">
        <v>387</v>
      </c>
      <c r="D488" s="8" t="s">
        <v>1935</v>
      </c>
      <c r="E488" s="2">
        <f>IFERROR(VLOOKUP(B488,'[1]new sheet'!$A$1:$IV$65536,5,FALSE),0)</f>
        <v>0</v>
      </c>
      <c r="F488" s="3">
        <f>IFERROR(VLOOKUP(B488,'[1]new sheet'!$A$1:$IV$65536,4,FALSE),0)</f>
        <v>0</v>
      </c>
      <c r="G488" s="4">
        <f>IFERROR(VLOOKUP(B488,'[2]new sheet'!$A$1:$IV$65536,2,0),0)</f>
        <v>0</v>
      </c>
      <c r="H488" s="5">
        <f>IFERROR(VLOOKUP(B488,'[3]new sheet'!$A$1:$IV$65536,2,0),0)</f>
        <v>0</v>
      </c>
    </row>
    <row r="489" spans="1:8" ht="24" customHeight="1">
      <c r="A489" s="7">
        <v>291</v>
      </c>
      <c r="B489" s="7">
        <v>3932</v>
      </c>
      <c r="C489" s="8" t="s">
        <v>1625</v>
      </c>
      <c r="D489" s="8" t="s">
        <v>1935</v>
      </c>
      <c r="E489" s="2">
        <f>IFERROR(VLOOKUP(B489,'[1]new sheet'!$A$1:$IV$65536,5,FALSE),0)</f>
        <v>0.48</v>
      </c>
      <c r="F489" s="3">
        <f>IFERROR(VLOOKUP(B489,'[1]new sheet'!$A$1:$IV$65536,4,FALSE),0)</f>
        <v>0</v>
      </c>
      <c r="G489" s="4">
        <f>IFERROR(VLOOKUP(B489,'[2]new sheet'!$A$1:$IV$65536,2,0),0)</f>
        <v>0</v>
      </c>
      <c r="H489" s="5">
        <f>IFERROR(VLOOKUP(B489,'[3]new sheet'!$A$1:$IV$65536,2,0),0)</f>
        <v>0</v>
      </c>
    </row>
    <row r="490" spans="1:8" ht="24" customHeight="1">
      <c r="A490" s="7">
        <v>9000010196</v>
      </c>
      <c r="B490" s="7">
        <v>3682</v>
      </c>
      <c r="C490" s="8" t="s">
        <v>388</v>
      </c>
      <c r="D490" s="8" t="s">
        <v>1935</v>
      </c>
      <c r="E490" s="2">
        <f>IFERROR(VLOOKUP(B490,'[1]new sheet'!$A$1:$IV$65536,5,FALSE),0)</f>
        <v>0</v>
      </c>
      <c r="F490" s="3">
        <f>IFERROR(VLOOKUP(B490,'[1]new sheet'!$A$1:$IV$65536,4,FALSE),0)</f>
        <v>0</v>
      </c>
      <c r="G490" s="4">
        <f>IFERROR(VLOOKUP(B490,'[2]new sheet'!$A$1:$IV$65536,2,0),0)</f>
        <v>0</v>
      </c>
      <c r="H490" s="5">
        <f>IFERROR(VLOOKUP(B490,'[3]new sheet'!$A$1:$IV$65536,2,0),0)</f>
        <v>0</v>
      </c>
    </row>
    <row r="491" spans="1:8" ht="24" customHeight="1">
      <c r="A491" s="7">
        <v>0</v>
      </c>
      <c r="B491" s="7">
        <v>1963</v>
      </c>
      <c r="C491" s="8" t="s">
        <v>389</v>
      </c>
      <c r="D491" s="8" t="s">
        <v>1935</v>
      </c>
      <c r="E491" s="2">
        <f>IFERROR(VLOOKUP(B491,'[1]new sheet'!$A$1:$IV$65536,5,FALSE),0)</f>
        <v>0</v>
      </c>
      <c r="F491" s="3">
        <f>IFERROR(VLOOKUP(B491,'[1]new sheet'!$A$1:$IV$65536,4,FALSE),0)</f>
        <v>0</v>
      </c>
      <c r="G491" s="4">
        <f>IFERROR(VLOOKUP(B491,'[2]new sheet'!$A$1:$IV$65536,2,0),0)</f>
        <v>0</v>
      </c>
      <c r="H491" s="5">
        <f>IFERROR(VLOOKUP(B491,'[3]new sheet'!$A$1:$IV$65536,2,0),0)</f>
        <v>0</v>
      </c>
    </row>
    <row r="492" spans="1:8" ht="24" customHeight="1">
      <c r="A492" s="7"/>
      <c r="B492" s="7">
        <v>523</v>
      </c>
      <c r="C492" s="8" t="s">
        <v>390</v>
      </c>
      <c r="D492" s="8" t="s">
        <v>1935</v>
      </c>
      <c r="E492" s="2">
        <f>IFERROR(VLOOKUP(B492,'[1]new sheet'!$A$1:$IV$65536,5,FALSE),0)</f>
        <v>0</v>
      </c>
      <c r="F492" s="3">
        <f>IFERROR(VLOOKUP(B492,'[1]new sheet'!$A$1:$IV$65536,4,FALSE),0)</f>
        <v>0</v>
      </c>
      <c r="G492" s="4">
        <f>IFERROR(VLOOKUP(B492,'[2]new sheet'!$A$1:$IV$65536,2,0),0)</f>
        <v>0</v>
      </c>
      <c r="H492" s="5">
        <f>IFERROR(VLOOKUP(B492,'[3]new sheet'!$A$1:$IV$65536,2,0),0)</f>
        <v>0</v>
      </c>
    </row>
    <row r="493" spans="1:8" ht="24" customHeight="1">
      <c r="A493" s="7">
        <v>389</v>
      </c>
      <c r="B493" s="7">
        <v>795</v>
      </c>
      <c r="C493" s="8" t="s">
        <v>391</v>
      </c>
      <c r="D493" s="8" t="s">
        <v>1935</v>
      </c>
      <c r="E493" s="2">
        <f>IFERROR(VLOOKUP(B493,'[1]new sheet'!$A$1:$IV$65536,5,FALSE),0)</f>
        <v>0</v>
      </c>
      <c r="F493" s="3">
        <f>IFERROR(VLOOKUP(B493,'[1]new sheet'!$A$1:$IV$65536,4,FALSE),0)</f>
        <v>0</v>
      </c>
      <c r="G493" s="4">
        <f>IFERROR(VLOOKUP(B493,'[2]new sheet'!$A$1:$IV$65536,2,0),0)</f>
        <v>0</v>
      </c>
      <c r="H493" s="5">
        <f>IFERROR(VLOOKUP(B493,'[3]new sheet'!$A$1:$IV$65536,2,0),0)</f>
        <v>0</v>
      </c>
    </row>
    <row r="494" spans="1:8" ht="24" customHeight="1">
      <c r="A494" s="7">
        <v>9000011768</v>
      </c>
      <c r="B494" s="7">
        <v>3311</v>
      </c>
      <c r="C494" s="8" t="s">
        <v>392</v>
      </c>
      <c r="D494" s="8" t="s">
        <v>1935</v>
      </c>
      <c r="E494" s="2">
        <f>IFERROR(VLOOKUP(B494,'[1]new sheet'!$A$1:$IV$65536,5,FALSE),0)</f>
        <v>216.37</v>
      </c>
      <c r="F494" s="3">
        <f>IFERROR(VLOOKUP(B494,'[1]new sheet'!$A$1:$IV$65536,4,FALSE),0)</f>
        <v>0</v>
      </c>
      <c r="G494" s="4">
        <f>IFERROR(VLOOKUP(B494,'[2]new sheet'!$A$1:$IV$65536,2,0),0)</f>
        <v>295.54000000000002</v>
      </c>
      <c r="H494" s="5">
        <f>IFERROR(VLOOKUP(B494,'[3]new sheet'!$A$1:$IV$65536,2,0),0)</f>
        <v>127.37</v>
      </c>
    </row>
    <row r="495" spans="1:8" ht="24" customHeight="1">
      <c r="A495" s="7">
        <v>410</v>
      </c>
      <c r="B495" s="7">
        <v>4101</v>
      </c>
      <c r="C495" s="8" t="s">
        <v>1725</v>
      </c>
      <c r="D495" s="8" t="s">
        <v>1935</v>
      </c>
      <c r="E495" s="2">
        <f>IFERROR(VLOOKUP(B495,'[1]new sheet'!$A$1:$IV$65536,5,FALSE),0)</f>
        <v>15.96</v>
      </c>
      <c r="F495" s="3">
        <f>IFERROR(VLOOKUP(B495,'[1]new sheet'!$A$1:$IV$65536,4,FALSE),0)</f>
        <v>0</v>
      </c>
      <c r="G495" s="4">
        <f>IFERROR(VLOOKUP(B495,'[2]new sheet'!$A$1:$IV$65536,2,0),0)</f>
        <v>94.03</v>
      </c>
      <c r="H495" s="5">
        <f>IFERROR(VLOOKUP(B495,'[3]new sheet'!$A$1:$IV$65536,2,0),0)</f>
        <v>0</v>
      </c>
    </row>
    <row r="496" spans="1:8" ht="24" customHeight="1">
      <c r="A496" s="7"/>
      <c r="B496" s="7">
        <v>76</v>
      </c>
      <c r="C496" s="8" t="s">
        <v>393</v>
      </c>
      <c r="D496" s="8" t="s">
        <v>1935</v>
      </c>
      <c r="E496" s="2">
        <f>IFERROR(VLOOKUP(B496,'[1]new sheet'!$A$1:$IV$65536,5,FALSE),0)</f>
        <v>0</v>
      </c>
      <c r="F496" s="3">
        <f>IFERROR(VLOOKUP(B496,'[1]new sheet'!$A$1:$IV$65536,4,FALSE),0)</f>
        <v>0</v>
      </c>
      <c r="G496" s="4">
        <f>IFERROR(VLOOKUP(B496,'[2]new sheet'!$A$1:$IV$65536,2,0),0)</f>
        <v>0</v>
      </c>
      <c r="H496" s="5">
        <f>IFERROR(VLOOKUP(B496,'[3]new sheet'!$A$1:$IV$65536,2,0),0)</f>
        <v>0</v>
      </c>
    </row>
    <row r="497" spans="1:8" ht="24" customHeight="1">
      <c r="A497" s="7">
        <v>692</v>
      </c>
      <c r="B497" s="7">
        <v>100</v>
      </c>
      <c r="C497" s="8" t="s">
        <v>394</v>
      </c>
      <c r="D497" s="8" t="s">
        <v>1935</v>
      </c>
      <c r="E497" s="2">
        <f>IFERROR(VLOOKUP(B497,'[1]new sheet'!$A$1:$IV$65536,5,FALSE),0)</f>
        <v>2860.77</v>
      </c>
      <c r="F497" s="3">
        <f>IFERROR(VLOOKUP(B497,'[1]new sheet'!$A$1:$IV$65536,4,FALSE),0)</f>
        <v>60</v>
      </c>
      <c r="G497" s="4">
        <f>IFERROR(VLOOKUP(B497,'[2]new sheet'!$A$1:$IV$65536,2,0),0)</f>
        <v>2515.9899999999998</v>
      </c>
      <c r="H497" s="5">
        <f>IFERROR(VLOOKUP(B497,'[3]new sheet'!$A$1:$IV$65536,2,0),0)</f>
        <v>846.64</v>
      </c>
    </row>
    <row r="498" spans="1:8" ht="24" customHeight="1">
      <c r="A498" s="7">
        <v>114141</v>
      </c>
      <c r="B498" s="7">
        <v>2716</v>
      </c>
      <c r="C498" s="8" t="s">
        <v>395</v>
      </c>
      <c r="D498" s="8" t="s">
        <v>1935</v>
      </c>
      <c r="E498" s="2">
        <f>IFERROR(VLOOKUP(B498,'[1]new sheet'!$A$1:$IV$65536,5,FALSE),0)</f>
        <v>0</v>
      </c>
      <c r="F498" s="3">
        <f>IFERROR(VLOOKUP(B498,'[1]new sheet'!$A$1:$IV$65536,4,FALSE),0)</f>
        <v>0</v>
      </c>
      <c r="G498" s="4">
        <f>IFERROR(VLOOKUP(B498,'[2]new sheet'!$A$1:$IV$65536,2,0),0)</f>
        <v>0</v>
      </c>
      <c r="H498" s="5">
        <f>IFERROR(VLOOKUP(B498,'[3]new sheet'!$A$1:$IV$65536,2,0),0)</f>
        <v>0</v>
      </c>
    </row>
    <row r="499" spans="1:8" ht="24" customHeight="1">
      <c r="A499" s="7">
        <v>300</v>
      </c>
      <c r="B499" s="7">
        <v>3931</v>
      </c>
      <c r="C499" s="8" t="s">
        <v>1626</v>
      </c>
      <c r="D499" s="8" t="s">
        <v>1935</v>
      </c>
      <c r="E499" s="2">
        <f>IFERROR(VLOOKUP(B499,'[1]new sheet'!$A$1:$IV$65536,5,FALSE),0)</f>
        <v>0</v>
      </c>
      <c r="F499" s="3">
        <f>IFERROR(VLOOKUP(B499,'[1]new sheet'!$A$1:$IV$65536,4,FALSE),0)</f>
        <v>0</v>
      </c>
      <c r="G499" s="4">
        <f>IFERROR(VLOOKUP(B499,'[2]new sheet'!$A$1:$IV$65536,2,0),0)</f>
        <v>0</v>
      </c>
      <c r="H499" s="5">
        <f>IFERROR(VLOOKUP(B499,'[3]new sheet'!$A$1:$IV$65536,2,0),0)</f>
        <v>0</v>
      </c>
    </row>
    <row r="500" spans="1:8" ht="24" customHeight="1">
      <c r="A500" s="7"/>
      <c r="B500" s="7">
        <v>101</v>
      </c>
      <c r="C500" s="8" t="s">
        <v>396</v>
      </c>
      <c r="D500" s="8" t="s">
        <v>1935</v>
      </c>
      <c r="E500" s="2">
        <f>IFERROR(VLOOKUP(B500,'[1]new sheet'!$A$1:$IV$65536,5,FALSE),0)</f>
        <v>0</v>
      </c>
      <c r="F500" s="3">
        <f>IFERROR(VLOOKUP(B500,'[1]new sheet'!$A$1:$IV$65536,4,FALSE),0)</f>
        <v>0</v>
      </c>
      <c r="G500" s="4">
        <f>IFERROR(VLOOKUP(B500,'[2]new sheet'!$A$1:$IV$65536,2,0),0)</f>
        <v>0</v>
      </c>
      <c r="H500" s="5">
        <f>IFERROR(VLOOKUP(B500,'[3]new sheet'!$A$1:$IV$65536,2,0),0)</f>
        <v>0</v>
      </c>
    </row>
    <row r="501" spans="1:8" s="6" customFormat="1" ht="24" customHeight="1">
      <c r="A501" s="7">
        <v>1817</v>
      </c>
      <c r="B501" s="7">
        <v>524</v>
      </c>
      <c r="C501" s="8" t="s">
        <v>1812</v>
      </c>
      <c r="D501" s="8" t="s">
        <v>1934</v>
      </c>
      <c r="E501" s="2">
        <f>IFERROR(VLOOKUP(B501,'[1]new sheet'!$A$1:$IV$65536,5,FALSE),0)</f>
        <v>0</v>
      </c>
      <c r="F501" s="3">
        <f>IFERROR(VLOOKUP(B501,'[1]new sheet'!$A$1:$IV$65536,4,FALSE),0)</f>
        <v>0</v>
      </c>
      <c r="G501" s="4">
        <f>IFERROR(VLOOKUP(B501,'[2]new sheet'!$A$1:$IV$65536,2,0),0)</f>
        <v>0</v>
      </c>
      <c r="H501" s="5">
        <f>IFERROR(VLOOKUP(B501,'[3]new sheet'!$A$1:$IV$65536,2,0),0)</f>
        <v>0</v>
      </c>
    </row>
    <row r="502" spans="1:8" ht="24" customHeight="1">
      <c r="A502" s="7">
        <v>3005540</v>
      </c>
      <c r="B502" s="7">
        <v>4148</v>
      </c>
      <c r="C502" s="8" t="s">
        <v>1813</v>
      </c>
      <c r="D502" s="8" t="s">
        <v>1934</v>
      </c>
      <c r="E502" s="2">
        <f>IFERROR(VLOOKUP(B502,'[1]new sheet'!$A$1:$IV$65536,5,FALSE),0)</f>
        <v>0</v>
      </c>
      <c r="F502" s="3">
        <f>IFERROR(VLOOKUP(B502,'[1]new sheet'!$A$1:$IV$65536,4,FALSE),0)</f>
        <v>0</v>
      </c>
      <c r="G502" s="4">
        <f>IFERROR(VLOOKUP(B502,'[2]new sheet'!$A$1:$IV$65536,2,0),0)</f>
        <v>0</v>
      </c>
      <c r="H502" s="5">
        <f>IFERROR(VLOOKUP(B502,'[3]new sheet'!$A$1:$IV$65536,2,0),0)</f>
        <v>0</v>
      </c>
    </row>
    <row r="503" spans="1:8" ht="24" customHeight="1">
      <c r="A503" s="7">
        <v>1000088</v>
      </c>
      <c r="B503" s="7">
        <v>400</v>
      </c>
      <c r="C503" s="8" t="s">
        <v>1814</v>
      </c>
      <c r="D503" s="8" t="s">
        <v>1934</v>
      </c>
      <c r="E503" s="2">
        <f>IFERROR(VLOOKUP(B503,'[1]new sheet'!$A$1:$IV$65536,5,FALSE),0)</f>
        <v>137</v>
      </c>
      <c r="F503" s="3">
        <f>IFERROR(VLOOKUP(B503,'[1]new sheet'!$A$1:$IV$65536,4,FALSE),0)</f>
        <v>6</v>
      </c>
      <c r="G503" s="4">
        <f>IFERROR(VLOOKUP(B503,'[2]new sheet'!$A$1:$IV$65536,2,0),0)</f>
        <v>89</v>
      </c>
      <c r="H503" s="5">
        <f>IFERROR(VLOOKUP(B503,'[3]new sheet'!$A$1:$IV$65536,2,0),0)</f>
        <v>248</v>
      </c>
    </row>
    <row r="504" spans="1:8" ht="24" customHeight="1">
      <c r="A504" s="7">
        <v>15091</v>
      </c>
      <c r="B504" s="7">
        <v>41</v>
      </c>
      <c r="C504" s="8" t="s">
        <v>1815</v>
      </c>
      <c r="D504" s="8" t="s">
        <v>1934</v>
      </c>
      <c r="E504" s="2">
        <f>IFERROR(VLOOKUP(B504,'[1]new sheet'!$A$1:$IV$65536,5,FALSE),0)</f>
        <v>0</v>
      </c>
      <c r="F504" s="3">
        <f>IFERROR(VLOOKUP(B504,'[1]new sheet'!$A$1:$IV$65536,4,FALSE),0)</f>
        <v>0</v>
      </c>
      <c r="G504" s="4">
        <f>IFERROR(VLOOKUP(B504,'[2]new sheet'!$A$1:$IV$65536,2,0),0)</f>
        <v>0</v>
      </c>
      <c r="H504" s="5">
        <f>IFERROR(VLOOKUP(B504,'[3]new sheet'!$A$1:$IV$65536,2,0),0)</f>
        <v>0</v>
      </c>
    </row>
    <row r="505" spans="1:8" ht="24" customHeight="1">
      <c r="A505" s="7">
        <v>1000082</v>
      </c>
      <c r="B505" s="7">
        <v>42</v>
      </c>
      <c r="C505" s="8" t="s">
        <v>1816</v>
      </c>
      <c r="D505" s="8" t="s">
        <v>1934</v>
      </c>
      <c r="E505" s="2">
        <f>IFERROR(VLOOKUP(B505,'[1]new sheet'!$A$1:$IV$65536,5,FALSE),0)</f>
        <v>242</v>
      </c>
      <c r="F505" s="3">
        <f>IFERROR(VLOOKUP(B505,'[1]new sheet'!$A$1:$IV$65536,4,FALSE),0)</f>
        <v>6</v>
      </c>
      <c r="G505" s="4">
        <f>IFERROR(VLOOKUP(B505,'[2]new sheet'!$A$1:$IV$65536,2,0),0)</f>
        <v>291</v>
      </c>
      <c r="H505" s="5">
        <f>IFERROR(VLOOKUP(B505,'[3]new sheet'!$A$1:$IV$65536,2,0),0)</f>
        <v>257</v>
      </c>
    </row>
    <row r="506" spans="1:8" ht="24" customHeight="1">
      <c r="A506" s="7" t="s">
        <v>1552</v>
      </c>
      <c r="B506" s="7">
        <v>3568</v>
      </c>
      <c r="C506" s="8" t="s">
        <v>1817</v>
      </c>
      <c r="D506" s="8" t="s">
        <v>1934</v>
      </c>
      <c r="E506" s="2">
        <f>IFERROR(VLOOKUP(B506,'[1]new sheet'!$A$1:$IV$65536,5,FALSE),0)</f>
        <v>0</v>
      </c>
      <c r="F506" s="3">
        <f>IFERROR(VLOOKUP(B506,'[1]new sheet'!$A$1:$IV$65536,4,FALSE),0)</f>
        <v>0</v>
      </c>
      <c r="G506" s="4">
        <f>IFERROR(VLOOKUP(B506,'[2]new sheet'!$A$1:$IV$65536,2,0),0)</f>
        <v>188</v>
      </c>
      <c r="H506" s="5">
        <f>IFERROR(VLOOKUP(B506,'[3]new sheet'!$A$1:$IV$65536,2,0),0)</f>
        <v>0</v>
      </c>
    </row>
    <row r="507" spans="1:8" ht="24" customHeight="1">
      <c r="A507" s="7">
        <v>18244</v>
      </c>
      <c r="B507" s="7">
        <v>796</v>
      </c>
      <c r="C507" s="8" t="s">
        <v>1818</v>
      </c>
      <c r="D507" s="8" t="s">
        <v>1934</v>
      </c>
      <c r="E507" s="2">
        <f>IFERROR(VLOOKUP(B507,'[1]new sheet'!$A$1:$IV$65536,5,FALSE),0)</f>
        <v>0</v>
      </c>
      <c r="F507" s="3">
        <f>IFERROR(VLOOKUP(B507,'[1]new sheet'!$A$1:$IV$65536,4,FALSE),0)</f>
        <v>0</v>
      </c>
      <c r="G507" s="4">
        <f>IFERROR(VLOOKUP(B507,'[2]new sheet'!$A$1:$IV$65536,2,0),0)</f>
        <v>0</v>
      </c>
      <c r="H507" s="5">
        <f>IFERROR(VLOOKUP(B507,'[3]new sheet'!$A$1:$IV$65536,2,0),0)</f>
        <v>0</v>
      </c>
    </row>
    <row r="508" spans="1:8" ht="24" customHeight="1">
      <c r="A508" s="7">
        <v>16340</v>
      </c>
      <c r="B508" s="7">
        <v>525</v>
      </c>
      <c r="C508" s="8" t="s">
        <v>1819</v>
      </c>
      <c r="D508" s="8" t="s">
        <v>1934</v>
      </c>
      <c r="E508" s="2">
        <f>IFERROR(VLOOKUP(B508,'[1]new sheet'!$A$1:$IV$65536,5,FALSE),0)</f>
        <v>0</v>
      </c>
      <c r="F508" s="3">
        <f>IFERROR(VLOOKUP(B508,'[1]new sheet'!$A$1:$IV$65536,4,FALSE),0)</f>
        <v>0</v>
      </c>
      <c r="G508" s="4">
        <f>IFERROR(VLOOKUP(B508,'[2]new sheet'!$A$1:$IV$65536,2,0),0)</f>
        <v>0</v>
      </c>
      <c r="H508" s="5">
        <f>IFERROR(VLOOKUP(B508,'[3]new sheet'!$A$1:$IV$65536,2,0),0)</f>
        <v>0</v>
      </c>
    </row>
    <row r="509" spans="1:8" ht="24" customHeight="1">
      <c r="A509" s="7"/>
      <c r="B509" s="7">
        <v>904</v>
      </c>
      <c r="C509" s="8" t="s">
        <v>1820</v>
      </c>
      <c r="D509" s="8" t="s">
        <v>1934</v>
      </c>
      <c r="E509" s="2">
        <f>IFERROR(VLOOKUP(B509,'[1]new sheet'!$A$1:$IV$65536,5,FALSE),0)</f>
        <v>0</v>
      </c>
      <c r="F509" s="3">
        <f>IFERROR(VLOOKUP(B509,'[1]new sheet'!$A$1:$IV$65536,4,FALSE),0)</f>
        <v>0</v>
      </c>
      <c r="G509" s="4">
        <f>IFERROR(VLOOKUP(B509,'[2]new sheet'!$A$1:$IV$65536,2,0),0)</f>
        <v>0</v>
      </c>
      <c r="H509" s="5">
        <f>IFERROR(VLOOKUP(B509,'[3]new sheet'!$A$1:$IV$65536,2,0),0)</f>
        <v>0</v>
      </c>
    </row>
    <row r="510" spans="1:8" ht="24" customHeight="1">
      <c r="A510" s="7">
        <v>1000153</v>
      </c>
      <c r="B510" s="7">
        <v>2453</v>
      </c>
      <c r="C510" s="8" t="s">
        <v>1821</v>
      </c>
      <c r="D510" s="8" t="s">
        <v>1934</v>
      </c>
      <c r="E510" s="2">
        <f>IFERROR(VLOOKUP(B510,'[1]new sheet'!$A$1:$IV$65536,5,FALSE),0)</f>
        <v>249</v>
      </c>
      <c r="F510" s="3">
        <f>IFERROR(VLOOKUP(B510,'[1]new sheet'!$A$1:$IV$65536,4,FALSE),0)</f>
        <v>5</v>
      </c>
      <c r="G510" s="4">
        <f>IFERROR(VLOOKUP(B510,'[2]new sheet'!$A$1:$IV$65536,2,0),0)</f>
        <v>180</v>
      </c>
      <c r="H510" s="5">
        <f>IFERROR(VLOOKUP(B510,'[3]new sheet'!$A$1:$IV$65536,2,0),0)</f>
        <v>113</v>
      </c>
    </row>
    <row r="511" spans="1:8" ht="24" customHeight="1">
      <c r="A511" s="7">
        <v>56129</v>
      </c>
      <c r="B511" s="7">
        <v>1825</v>
      </c>
      <c r="C511" s="8" t="s">
        <v>1822</v>
      </c>
      <c r="D511" s="8" t="s">
        <v>1934</v>
      </c>
      <c r="E511" s="2">
        <f>IFERROR(VLOOKUP(B511,'[1]new sheet'!$A$1:$IV$65536,5,FALSE),0)</f>
        <v>0</v>
      </c>
      <c r="F511" s="3">
        <f>IFERROR(VLOOKUP(B511,'[1]new sheet'!$A$1:$IV$65536,4,FALSE),0)</f>
        <v>0</v>
      </c>
      <c r="G511" s="4">
        <f>IFERROR(VLOOKUP(B511,'[2]new sheet'!$A$1:$IV$65536,2,0),0)</f>
        <v>0</v>
      </c>
      <c r="H511" s="5">
        <f>IFERROR(VLOOKUP(B511,'[3]new sheet'!$A$1:$IV$65536,2,0),0)</f>
        <v>0</v>
      </c>
    </row>
    <row r="512" spans="1:8" ht="24" customHeight="1">
      <c r="A512" s="7">
        <v>197742</v>
      </c>
      <c r="B512" s="7">
        <v>40</v>
      </c>
      <c r="C512" s="8" t="s">
        <v>1823</v>
      </c>
      <c r="D512" s="8" t="s">
        <v>1934</v>
      </c>
      <c r="E512" s="2">
        <f>IFERROR(VLOOKUP(B512,'[1]new sheet'!$A$1:$IV$65536,5,FALSE),0)</f>
        <v>0</v>
      </c>
      <c r="F512" s="3">
        <f>IFERROR(VLOOKUP(B512,'[1]new sheet'!$A$1:$IV$65536,4,FALSE),0)</f>
        <v>0</v>
      </c>
      <c r="G512" s="4">
        <f>IFERROR(VLOOKUP(B512,'[2]new sheet'!$A$1:$IV$65536,2,0),0)</f>
        <v>295</v>
      </c>
      <c r="H512" s="5">
        <f>IFERROR(VLOOKUP(B512,'[3]new sheet'!$A$1:$IV$65536,2,0),0)</f>
        <v>6</v>
      </c>
    </row>
    <row r="513" spans="1:8" ht="24" customHeight="1">
      <c r="A513" s="7">
        <v>1309</v>
      </c>
      <c r="B513" s="7">
        <v>1824</v>
      </c>
      <c r="C513" s="8" t="s">
        <v>397</v>
      </c>
      <c r="D513" s="8" t="s">
        <v>1934</v>
      </c>
      <c r="E513" s="2">
        <f>IFERROR(VLOOKUP(B513,'[1]new sheet'!$A$1:$IV$65536,5,FALSE),0)</f>
        <v>0</v>
      </c>
      <c r="F513" s="3">
        <f>IFERROR(VLOOKUP(B513,'[1]new sheet'!$A$1:$IV$65536,4,FALSE),0)</f>
        <v>0</v>
      </c>
      <c r="G513" s="4">
        <f>IFERROR(VLOOKUP(B513,'[2]new sheet'!$A$1:$IV$65536,2,0),0)</f>
        <v>0</v>
      </c>
      <c r="H513" s="5">
        <f>IFERROR(VLOOKUP(B513,'[3]new sheet'!$A$1:$IV$65536,2,0),0)</f>
        <v>0</v>
      </c>
    </row>
    <row r="514" spans="1:8" ht="24" customHeight="1">
      <c r="A514" s="7"/>
      <c r="B514" s="7">
        <v>1827</v>
      </c>
      <c r="C514" s="8" t="s">
        <v>398</v>
      </c>
      <c r="D514" s="8" t="s">
        <v>1934</v>
      </c>
      <c r="E514" s="2">
        <f>IFERROR(VLOOKUP(B514,'[1]new sheet'!$A$1:$IV$65536,5,FALSE),0)</f>
        <v>0</v>
      </c>
      <c r="F514" s="3">
        <f>IFERROR(VLOOKUP(B514,'[1]new sheet'!$A$1:$IV$65536,4,FALSE),0)</f>
        <v>0</v>
      </c>
      <c r="G514" s="4">
        <f>IFERROR(VLOOKUP(B514,'[2]new sheet'!$A$1:$IV$65536,2,0),0)</f>
        <v>0</v>
      </c>
      <c r="H514" s="5">
        <f>IFERROR(VLOOKUP(B514,'[3]new sheet'!$A$1:$IV$65536,2,0),0)</f>
        <v>0</v>
      </c>
    </row>
    <row r="515" spans="1:8" ht="24" customHeight="1">
      <c r="A515" s="7"/>
      <c r="B515" s="7">
        <v>401</v>
      </c>
      <c r="C515" s="8" t="s">
        <v>399</v>
      </c>
      <c r="D515" s="8" t="s">
        <v>1934</v>
      </c>
      <c r="E515" s="2">
        <f>IFERROR(VLOOKUP(B515,'[1]new sheet'!$A$1:$IV$65536,5,FALSE),0)</f>
        <v>0</v>
      </c>
      <c r="F515" s="3">
        <f>IFERROR(VLOOKUP(B515,'[1]new sheet'!$A$1:$IV$65536,4,FALSE),0)</f>
        <v>0</v>
      </c>
      <c r="G515" s="4">
        <f>IFERROR(VLOOKUP(B515,'[2]new sheet'!$A$1:$IV$65536,2,0),0)</f>
        <v>0</v>
      </c>
      <c r="H515" s="5">
        <f>IFERROR(VLOOKUP(B515,'[3]new sheet'!$A$1:$IV$65536,2,0),0)</f>
        <v>0</v>
      </c>
    </row>
    <row r="516" spans="1:8" ht="24" customHeight="1">
      <c r="A516" s="7">
        <v>300180</v>
      </c>
      <c r="B516" s="7">
        <v>4180</v>
      </c>
      <c r="C516" s="8" t="s">
        <v>1833</v>
      </c>
      <c r="D516" s="8" t="s">
        <v>1934</v>
      </c>
      <c r="E516" s="2">
        <f>IFERROR(VLOOKUP(B516,'[1]new sheet'!$A$1:$IV$65536,5,FALSE),0)</f>
        <v>0</v>
      </c>
      <c r="F516" s="3">
        <f>IFERROR(VLOOKUP(B516,'[1]new sheet'!$A$1:$IV$65536,4,FALSE),0)</f>
        <v>0</v>
      </c>
      <c r="G516" s="4">
        <f>IFERROR(VLOOKUP(B516,'[2]new sheet'!$A$1:$IV$65536,2,0),0)</f>
        <v>19</v>
      </c>
      <c r="H516" s="5">
        <f>IFERROR(VLOOKUP(B516,'[3]new sheet'!$A$1:$IV$65536,2,0),0)</f>
        <v>0</v>
      </c>
    </row>
    <row r="517" spans="1:8" ht="24" customHeight="1">
      <c r="A517" s="7">
        <v>13977</v>
      </c>
      <c r="B517" s="7">
        <v>903</v>
      </c>
      <c r="C517" s="8" t="s">
        <v>400</v>
      </c>
      <c r="D517" s="8" t="s">
        <v>1934</v>
      </c>
      <c r="E517" s="2">
        <f>IFERROR(VLOOKUP(B517,'[1]new sheet'!$A$1:$IV$65536,5,FALSE),0)</f>
        <v>0</v>
      </c>
      <c r="F517" s="3">
        <f>IFERROR(VLOOKUP(B517,'[1]new sheet'!$A$1:$IV$65536,4,FALSE),0)</f>
        <v>0</v>
      </c>
      <c r="G517" s="4">
        <f>IFERROR(VLOOKUP(B517,'[2]new sheet'!$A$1:$IV$65536,2,0),0)</f>
        <v>0</v>
      </c>
      <c r="H517" s="5">
        <f>IFERROR(VLOOKUP(B517,'[3]new sheet'!$A$1:$IV$65536,2,0),0)</f>
        <v>0</v>
      </c>
    </row>
    <row r="518" spans="1:8" ht="24" customHeight="1">
      <c r="A518" s="7">
        <v>1759</v>
      </c>
      <c r="B518" s="7">
        <v>526</v>
      </c>
      <c r="C518" s="8" t="s">
        <v>401</v>
      </c>
      <c r="D518" s="8" t="s">
        <v>1934</v>
      </c>
      <c r="E518" s="2">
        <f>IFERROR(VLOOKUP(B518,'[1]new sheet'!$A$1:$IV$65536,5,FALSE),0)</f>
        <v>0</v>
      </c>
      <c r="F518" s="3">
        <f>IFERROR(VLOOKUP(B518,'[1]new sheet'!$A$1:$IV$65536,4,FALSE),0)</f>
        <v>0</v>
      </c>
      <c r="G518" s="4">
        <f>IFERROR(VLOOKUP(B518,'[2]new sheet'!$A$1:$IV$65536,2,0),0)</f>
        <v>0</v>
      </c>
      <c r="H518" s="5">
        <f>IFERROR(VLOOKUP(B518,'[3]new sheet'!$A$1:$IV$65536,2,0),0)</f>
        <v>0</v>
      </c>
    </row>
    <row r="519" spans="1:8" ht="24" customHeight="1">
      <c r="A519" s="7" t="s">
        <v>402</v>
      </c>
      <c r="B519" s="7">
        <v>2000</v>
      </c>
      <c r="C519" s="8" t="s">
        <v>1553</v>
      </c>
      <c r="D519" s="8" t="s">
        <v>1934</v>
      </c>
      <c r="E519" s="2">
        <f>IFERROR(VLOOKUP(B519,'[1]new sheet'!$A$1:$IV$65536,5,FALSE),0)</f>
        <v>115</v>
      </c>
      <c r="F519" s="3">
        <f>IFERROR(VLOOKUP(B519,'[1]new sheet'!$A$1:$IV$65536,4,FALSE),0)</f>
        <v>1</v>
      </c>
      <c r="G519" s="4">
        <f>IFERROR(VLOOKUP(B519,'[2]new sheet'!$A$1:$IV$65536,2,0),0)</f>
        <v>112</v>
      </c>
      <c r="H519" s="5">
        <f>IFERROR(VLOOKUP(B519,'[3]new sheet'!$A$1:$IV$65536,2,0),0)</f>
        <v>41</v>
      </c>
    </row>
    <row r="520" spans="1:8" ht="24" customHeight="1">
      <c r="A520" s="7">
        <v>962163</v>
      </c>
      <c r="B520" s="7">
        <v>3027</v>
      </c>
      <c r="C520" s="8" t="s">
        <v>403</v>
      </c>
      <c r="D520" s="8" t="s">
        <v>1934</v>
      </c>
      <c r="E520" s="2">
        <f>IFERROR(VLOOKUP(B520,'[1]new sheet'!$A$1:$IV$65536,5,FALSE),0)</f>
        <v>0</v>
      </c>
      <c r="F520" s="3">
        <f>IFERROR(VLOOKUP(B520,'[1]new sheet'!$A$1:$IV$65536,4,FALSE),0)</f>
        <v>0</v>
      </c>
      <c r="G520" s="4">
        <f>IFERROR(VLOOKUP(B520,'[2]new sheet'!$A$1:$IV$65536,2,0),0)</f>
        <v>0</v>
      </c>
      <c r="H520" s="5">
        <f>IFERROR(VLOOKUP(B520,'[3]new sheet'!$A$1:$IV$65536,2,0),0)</f>
        <v>0</v>
      </c>
    </row>
    <row r="521" spans="1:8" ht="24" customHeight="1">
      <c r="A521" s="7">
        <v>1000108</v>
      </c>
      <c r="B521" s="7">
        <v>402</v>
      </c>
      <c r="C521" s="8" t="s">
        <v>404</v>
      </c>
      <c r="D521" s="8" t="s">
        <v>1934</v>
      </c>
      <c r="E521" s="2">
        <f>IFERROR(VLOOKUP(B521,'[1]new sheet'!$A$1:$IV$65536,5,FALSE),0)</f>
        <v>0</v>
      </c>
      <c r="F521" s="3">
        <f>IFERROR(VLOOKUP(B521,'[1]new sheet'!$A$1:$IV$65536,4,FALSE),0)</f>
        <v>0</v>
      </c>
      <c r="G521" s="4">
        <f>IFERROR(VLOOKUP(B521,'[2]new sheet'!$A$1:$IV$65536,2,0),0)</f>
        <v>0</v>
      </c>
      <c r="H521" s="5">
        <f>IFERROR(VLOOKUP(B521,'[3]new sheet'!$A$1:$IV$65536,2,0),0)</f>
        <v>0</v>
      </c>
    </row>
    <row r="522" spans="1:8" ht="24" customHeight="1">
      <c r="A522" s="7">
        <v>769851</v>
      </c>
      <c r="B522" s="7">
        <v>2728</v>
      </c>
      <c r="C522" s="8" t="s">
        <v>405</v>
      </c>
      <c r="D522" s="8" t="s">
        <v>1934</v>
      </c>
      <c r="E522" s="2">
        <f>IFERROR(VLOOKUP(B522,'[1]new sheet'!$A$1:$IV$65536,5,FALSE),0)</f>
        <v>0</v>
      </c>
      <c r="F522" s="3">
        <f>IFERROR(VLOOKUP(B522,'[1]new sheet'!$A$1:$IV$65536,4,FALSE),0)</f>
        <v>0</v>
      </c>
      <c r="G522" s="4">
        <f>IFERROR(VLOOKUP(B522,'[2]new sheet'!$A$1:$IV$65536,2,0),0)</f>
        <v>0</v>
      </c>
      <c r="H522" s="5">
        <f>IFERROR(VLOOKUP(B522,'[3]new sheet'!$A$1:$IV$65536,2,0),0)</f>
        <v>0</v>
      </c>
    </row>
    <row r="523" spans="1:8" ht="24" customHeight="1">
      <c r="A523" s="7">
        <v>3003956</v>
      </c>
      <c r="B523" s="7">
        <v>3821</v>
      </c>
      <c r="C523" s="8" t="s">
        <v>1601</v>
      </c>
      <c r="D523" s="8" t="s">
        <v>1934</v>
      </c>
      <c r="E523" s="2">
        <f>IFERROR(VLOOKUP(B523,'[1]new sheet'!$A$1:$IV$65536,5,FALSE),0)</f>
        <v>18</v>
      </c>
      <c r="F523" s="3">
        <f>IFERROR(VLOOKUP(B523,'[1]new sheet'!$A$1:$IV$65536,4,FALSE),0)</f>
        <v>1</v>
      </c>
      <c r="G523" s="4">
        <f>IFERROR(VLOOKUP(B523,'[2]new sheet'!$A$1:$IV$65536,2,0),0)</f>
        <v>21</v>
      </c>
      <c r="H523" s="5">
        <f>IFERROR(VLOOKUP(B523,'[3]new sheet'!$A$1:$IV$65536,2,0),0)</f>
        <v>3</v>
      </c>
    </row>
    <row r="524" spans="1:8" ht="24" customHeight="1">
      <c r="A524" s="7">
        <v>3003957</v>
      </c>
      <c r="B524" s="7">
        <v>3820</v>
      </c>
      <c r="C524" s="8" t="s">
        <v>1554</v>
      </c>
      <c r="D524" s="8" t="s">
        <v>1934</v>
      </c>
      <c r="E524" s="2">
        <f>IFERROR(VLOOKUP(B524,'[1]new sheet'!$A$1:$IV$65536,5,FALSE),0)</f>
        <v>0</v>
      </c>
      <c r="F524" s="3">
        <f>IFERROR(VLOOKUP(B524,'[1]new sheet'!$A$1:$IV$65536,4,FALSE),0)</f>
        <v>0</v>
      </c>
      <c r="G524" s="4">
        <f>IFERROR(VLOOKUP(B524,'[2]new sheet'!$A$1:$IV$65536,2,0),0)</f>
        <v>29</v>
      </c>
      <c r="H524" s="5">
        <f>IFERROR(VLOOKUP(B524,'[3]new sheet'!$A$1:$IV$65536,2,0),0)</f>
        <v>0</v>
      </c>
    </row>
    <row r="525" spans="1:8" ht="24" customHeight="1">
      <c r="A525" s="7">
        <v>995407</v>
      </c>
      <c r="B525" s="7">
        <v>527</v>
      </c>
      <c r="C525" s="8" t="s">
        <v>406</v>
      </c>
      <c r="D525" s="8" t="s">
        <v>1934</v>
      </c>
      <c r="E525" s="2">
        <f>IFERROR(VLOOKUP(B525,'[1]new sheet'!$A$1:$IV$65536,5,FALSE),0)</f>
        <v>0</v>
      </c>
      <c r="F525" s="3">
        <f>IFERROR(VLOOKUP(B525,'[1]new sheet'!$A$1:$IV$65536,4,FALSE),0)</f>
        <v>0</v>
      </c>
      <c r="G525" s="4">
        <f>IFERROR(VLOOKUP(B525,'[2]new sheet'!$A$1:$IV$65536,2,0),0)</f>
        <v>0</v>
      </c>
      <c r="H525" s="5">
        <f>IFERROR(VLOOKUP(B525,'[3]new sheet'!$A$1:$IV$65536,2,0),0)</f>
        <v>0</v>
      </c>
    </row>
    <row r="526" spans="1:8" s="6" customFormat="1" ht="24" customHeight="1">
      <c r="A526" s="7">
        <v>995408</v>
      </c>
      <c r="B526" s="7">
        <v>300</v>
      </c>
      <c r="C526" s="8" t="s">
        <v>407</v>
      </c>
      <c r="D526" s="8" t="s">
        <v>1934</v>
      </c>
      <c r="E526" s="2">
        <f>IFERROR(VLOOKUP(B526,'[1]new sheet'!$A$1:$IV$65536,5,FALSE),0)</f>
        <v>23</v>
      </c>
      <c r="F526" s="3">
        <f>IFERROR(VLOOKUP(B526,'[1]new sheet'!$A$1:$IV$65536,4,FALSE),0)</f>
        <v>1</v>
      </c>
      <c r="G526" s="4">
        <f>IFERROR(VLOOKUP(B526,'[2]new sheet'!$A$1:$IV$65536,2,0),0)</f>
        <v>18</v>
      </c>
      <c r="H526" s="5">
        <f>IFERROR(VLOOKUP(B526,'[3]new sheet'!$A$1:$IV$65536,2,0),0)</f>
        <v>5</v>
      </c>
    </row>
    <row r="527" spans="1:8" ht="24" customHeight="1">
      <c r="A527" s="7">
        <v>993710</v>
      </c>
      <c r="B527" s="7">
        <v>408</v>
      </c>
      <c r="C527" s="8" t="s">
        <v>408</v>
      </c>
      <c r="D527" s="8" t="s">
        <v>1934</v>
      </c>
      <c r="E527" s="2">
        <f>IFERROR(VLOOKUP(B527,'[1]new sheet'!$A$1:$IV$65536,5,FALSE),0)</f>
        <v>24</v>
      </c>
      <c r="F527" s="3">
        <f>IFERROR(VLOOKUP(B527,'[1]new sheet'!$A$1:$IV$65536,4,FALSE),0)</f>
        <v>0</v>
      </c>
      <c r="G527" s="4">
        <f>IFERROR(VLOOKUP(B527,'[2]new sheet'!$A$1:$IV$65536,2,0),0)</f>
        <v>20</v>
      </c>
      <c r="H527" s="5">
        <f>IFERROR(VLOOKUP(B527,'[3]new sheet'!$A$1:$IV$65536,2,0),0)</f>
        <v>6</v>
      </c>
    </row>
    <row r="528" spans="1:8" ht="24" customHeight="1">
      <c r="A528" s="7">
        <v>1078</v>
      </c>
      <c r="B528" s="7">
        <v>2578</v>
      </c>
      <c r="C528" s="8" t="s">
        <v>409</v>
      </c>
      <c r="D528" s="8" t="s">
        <v>1934</v>
      </c>
      <c r="E528" s="2">
        <f>IFERROR(VLOOKUP(B528,'[1]new sheet'!$A$1:$IV$65536,5,FALSE),0)</f>
        <v>0</v>
      </c>
      <c r="F528" s="3">
        <f>IFERROR(VLOOKUP(B528,'[1]new sheet'!$A$1:$IV$65536,4,FALSE),0)</f>
        <v>0</v>
      </c>
      <c r="G528" s="4">
        <f>IFERROR(VLOOKUP(B528,'[2]new sheet'!$A$1:$IV$65536,2,0),0)</f>
        <v>0</v>
      </c>
      <c r="H528" s="5">
        <f>IFERROR(VLOOKUP(B528,'[3]new sheet'!$A$1:$IV$65536,2,0),0)</f>
        <v>0</v>
      </c>
    </row>
    <row r="529" spans="1:8" ht="24" customHeight="1">
      <c r="A529" s="7">
        <v>37572</v>
      </c>
      <c r="B529" s="7">
        <v>3410</v>
      </c>
      <c r="C529" s="8" t="s">
        <v>410</v>
      </c>
      <c r="D529" s="8" t="s">
        <v>1934</v>
      </c>
      <c r="E529" s="2">
        <f>IFERROR(VLOOKUP(B529,'[1]new sheet'!$A$1:$IV$65536,5,FALSE),0)</f>
        <v>21</v>
      </c>
      <c r="F529" s="3">
        <f>IFERROR(VLOOKUP(B529,'[1]new sheet'!$A$1:$IV$65536,4,FALSE),0)</f>
        <v>0</v>
      </c>
      <c r="G529" s="4">
        <f>IFERROR(VLOOKUP(B529,'[2]new sheet'!$A$1:$IV$65536,2,0),0)</f>
        <v>1</v>
      </c>
      <c r="H529" s="5">
        <f>IFERROR(VLOOKUP(B529,'[3]new sheet'!$A$1:$IV$65536,2,0),0)</f>
        <v>8</v>
      </c>
    </row>
    <row r="530" spans="1:8" ht="24" customHeight="1">
      <c r="A530" s="7">
        <v>37571</v>
      </c>
      <c r="B530" s="7">
        <v>3409</v>
      </c>
      <c r="C530" s="8" t="s">
        <v>411</v>
      </c>
      <c r="D530" s="8" t="s">
        <v>1934</v>
      </c>
      <c r="E530" s="2">
        <f>IFERROR(VLOOKUP(B530,'[1]new sheet'!$A$1:$IV$65536,5,FALSE),0)</f>
        <v>5</v>
      </c>
      <c r="F530" s="3">
        <f>IFERROR(VLOOKUP(B530,'[1]new sheet'!$A$1:$IV$65536,4,FALSE),0)</f>
        <v>0</v>
      </c>
      <c r="G530" s="4">
        <f>IFERROR(VLOOKUP(B530,'[2]new sheet'!$A$1:$IV$65536,2,0),0)</f>
        <v>13</v>
      </c>
      <c r="H530" s="5">
        <f>IFERROR(VLOOKUP(B530,'[3]new sheet'!$A$1:$IV$65536,2,0),0)</f>
        <v>4</v>
      </c>
    </row>
    <row r="531" spans="1:8" ht="24" customHeight="1">
      <c r="A531" s="7">
        <v>24297</v>
      </c>
      <c r="B531" s="7">
        <v>3411</v>
      </c>
      <c r="C531" s="8" t="s">
        <v>412</v>
      </c>
      <c r="D531" s="8" t="s">
        <v>1937</v>
      </c>
      <c r="E531" s="2">
        <f>IFERROR(VLOOKUP(B531,'[1]new sheet'!$A$1:$IV$65536,5,FALSE),0)</f>
        <v>4</v>
      </c>
      <c r="F531" s="3">
        <f>IFERROR(VLOOKUP(B531,'[1]new sheet'!$A$1:$IV$65536,4,FALSE),0)</f>
        <v>4</v>
      </c>
      <c r="G531" s="4">
        <f>IFERROR(VLOOKUP(B531,'[2]new sheet'!$A$1:$IV$65536,2,0),0)</f>
        <v>8</v>
      </c>
      <c r="H531" s="5">
        <f>IFERROR(VLOOKUP(B531,'[3]new sheet'!$A$1:$IV$65536,2,0),0)</f>
        <v>3</v>
      </c>
    </row>
    <row r="532" spans="1:8" ht="24" customHeight="1">
      <c r="A532" s="7">
        <v>4004243</v>
      </c>
      <c r="B532" s="7">
        <v>3204</v>
      </c>
      <c r="C532" s="8" t="s">
        <v>413</v>
      </c>
      <c r="D532" s="8" t="s">
        <v>1934</v>
      </c>
      <c r="E532" s="2">
        <f>IFERROR(VLOOKUP(B532,'[1]new sheet'!$A$1:$IV$65536,5,FALSE),0)</f>
        <v>67</v>
      </c>
      <c r="F532" s="3">
        <f>IFERROR(VLOOKUP(B532,'[1]new sheet'!$A$1:$IV$65536,4,FALSE),0)</f>
        <v>2</v>
      </c>
      <c r="G532" s="4">
        <f>IFERROR(VLOOKUP(B532,'[2]new sheet'!$A$1:$IV$65536,2,0),0)</f>
        <v>122</v>
      </c>
      <c r="H532" s="5">
        <f>IFERROR(VLOOKUP(B532,'[3]new sheet'!$A$1:$IV$65536,2,0),0)</f>
        <v>51</v>
      </c>
    </row>
    <row r="533" spans="1:8" ht="24" customHeight="1">
      <c r="A533" s="7">
        <v>998616</v>
      </c>
      <c r="B533" s="7">
        <v>797</v>
      </c>
      <c r="C533" s="8" t="s">
        <v>414</v>
      </c>
      <c r="D533" s="8" t="s">
        <v>1934</v>
      </c>
      <c r="E533" s="2">
        <f>IFERROR(VLOOKUP(B533,'[1]new sheet'!$A$1:$IV$65536,5,FALSE),0)</f>
        <v>0</v>
      </c>
      <c r="F533" s="3">
        <f>IFERROR(VLOOKUP(B533,'[1]new sheet'!$A$1:$IV$65536,4,FALSE),0)</f>
        <v>0</v>
      </c>
      <c r="G533" s="4">
        <f>IFERROR(VLOOKUP(B533,'[2]new sheet'!$A$1:$IV$65536,2,0),0)</f>
        <v>0</v>
      </c>
      <c r="H533" s="5">
        <f>IFERROR(VLOOKUP(B533,'[3]new sheet'!$A$1:$IV$65536,2,0),0)</f>
        <v>0</v>
      </c>
    </row>
    <row r="534" spans="1:8" ht="24" customHeight="1">
      <c r="A534" s="7">
        <v>170046</v>
      </c>
      <c r="B534" s="7">
        <v>3054</v>
      </c>
      <c r="C534" s="8" t="s">
        <v>415</v>
      </c>
      <c r="D534" s="8" t="s">
        <v>1934</v>
      </c>
      <c r="E534" s="2">
        <f>IFERROR(VLOOKUP(B534,'[1]new sheet'!$A$1:$IV$65536,5,FALSE),0)</f>
        <v>290</v>
      </c>
      <c r="F534" s="3">
        <f>IFERROR(VLOOKUP(B534,'[1]new sheet'!$A$1:$IV$65536,4,FALSE),0)</f>
        <v>1</v>
      </c>
      <c r="G534" s="4">
        <f>IFERROR(VLOOKUP(B534,'[2]new sheet'!$A$1:$IV$65536,2,0),0)</f>
        <v>174</v>
      </c>
      <c r="H534" s="5">
        <f>IFERROR(VLOOKUP(B534,'[3]new sheet'!$A$1:$IV$65536,2,0),0)</f>
        <v>99</v>
      </c>
    </row>
    <row r="535" spans="1:8" ht="24" customHeight="1">
      <c r="A535" s="7">
        <v>20030003</v>
      </c>
      <c r="B535" s="7">
        <v>2160</v>
      </c>
      <c r="C535" s="8" t="s">
        <v>416</v>
      </c>
      <c r="D535" s="8" t="s">
        <v>1934</v>
      </c>
      <c r="E535" s="2">
        <f>IFERROR(VLOOKUP(B535,'[1]new sheet'!$A$1:$IV$65536,5,FALSE),0)</f>
        <v>0</v>
      </c>
      <c r="F535" s="3">
        <f>IFERROR(VLOOKUP(B535,'[1]new sheet'!$A$1:$IV$65536,4,FALSE),0)</f>
        <v>0</v>
      </c>
      <c r="G535" s="4">
        <f>IFERROR(VLOOKUP(B535,'[2]new sheet'!$A$1:$IV$65536,2,0),0)</f>
        <v>0</v>
      </c>
      <c r="H535" s="5">
        <f>IFERROR(VLOOKUP(B535,'[3]new sheet'!$A$1:$IV$65536,2,0),0)</f>
        <v>0</v>
      </c>
    </row>
    <row r="536" spans="1:8" ht="24" customHeight="1">
      <c r="A536" s="7">
        <v>16949</v>
      </c>
      <c r="B536" s="7">
        <v>1681</v>
      </c>
      <c r="C536" s="8" t="s">
        <v>417</v>
      </c>
      <c r="D536" s="8" t="s">
        <v>1934</v>
      </c>
      <c r="E536" s="2">
        <f>IFERROR(VLOOKUP(B536,'[1]new sheet'!$A$1:$IV$65536,5,FALSE),0)</f>
        <v>0</v>
      </c>
      <c r="F536" s="3">
        <f>IFERROR(VLOOKUP(B536,'[1]new sheet'!$A$1:$IV$65536,4,FALSE),0)</f>
        <v>0</v>
      </c>
      <c r="G536" s="4">
        <f>IFERROR(VLOOKUP(B536,'[2]new sheet'!$A$1:$IV$65536,2,0),0)</f>
        <v>0</v>
      </c>
      <c r="H536" s="5">
        <f>IFERROR(VLOOKUP(B536,'[3]new sheet'!$A$1:$IV$65536,2,0),0)</f>
        <v>0</v>
      </c>
    </row>
    <row r="537" spans="1:8" ht="24" customHeight="1">
      <c r="A537" s="7">
        <v>0</v>
      </c>
      <c r="B537" s="7">
        <v>3189</v>
      </c>
      <c r="C537" s="8" t="s">
        <v>1627</v>
      </c>
      <c r="D537" s="8" t="s">
        <v>1937</v>
      </c>
      <c r="E537" s="2">
        <f>IFERROR(VLOOKUP(B537,'[1]new sheet'!$A$1:$IV$65536,5,FALSE),0)</f>
        <v>906</v>
      </c>
      <c r="F537" s="3">
        <f>IFERROR(VLOOKUP(B537,'[1]new sheet'!$A$1:$IV$65536,4,FALSE),0)</f>
        <v>0</v>
      </c>
      <c r="G537" s="4">
        <f>IFERROR(VLOOKUP(B537,'[2]new sheet'!$A$1:$IV$65536,2,0),0)</f>
        <v>114</v>
      </c>
      <c r="H537" s="5">
        <f>IFERROR(VLOOKUP(B537,'[3]new sheet'!$A$1:$IV$65536,2,0),0)</f>
        <v>60</v>
      </c>
    </row>
    <row r="538" spans="1:8" ht="24" customHeight="1">
      <c r="A538" s="7">
        <v>15030004</v>
      </c>
      <c r="B538" s="7">
        <v>3254</v>
      </c>
      <c r="C538" s="8" t="s">
        <v>418</v>
      </c>
      <c r="D538" s="8" t="s">
        <v>1934</v>
      </c>
      <c r="E538" s="2">
        <f>IFERROR(VLOOKUP(B538,'[1]new sheet'!$A$1:$IV$65536,5,FALSE),0)</f>
        <v>0</v>
      </c>
      <c r="F538" s="3">
        <f>IFERROR(VLOOKUP(B538,'[1]new sheet'!$A$1:$IV$65536,4,FALSE),0)</f>
        <v>0</v>
      </c>
      <c r="G538" s="4">
        <f>IFERROR(VLOOKUP(B538,'[2]new sheet'!$A$1:$IV$65536,2,0),0)</f>
        <v>31</v>
      </c>
      <c r="H538" s="5">
        <f>IFERROR(VLOOKUP(B538,'[3]new sheet'!$A$1:$IV$65536,2,0),0)</f>
        <v>0</v>
      </c>
    </row>
    <row r="539" spans="1:8" ht="24" customHeight="1">
      <c r="A539" s="7">
        <v>15030001</v>
      </c>
      <c r="B539" s="7">
        <v>528</v>
      </c>
      <c r="C539" s="8" t="s">
        <v>419</v>
      </c>
      <c r="D539" s="8" t="s">
        <v>1934</v>
      </c>
      <c r="E539" s="2">
        <f>IFERROR(VLOOKUP(B539,'[1]new sheet'!$A$1:$IV$65536,5,FALSE),0)</f>
        <v>206</v>
      </c>
      <c r="F539" s="3">
        <f>IFERROR(VLOOKUP(B539,'[1]new sheet'!$A$1:$IV$65536,4,FALSE),0)</f>
        <v>6</v>
      </c>
      <c r="G539" s="4">
        <f>IFERROR(VLOOKUP(B539,'[2]new sheet'!$A$1:$IV$65536,2,0),0)</f>
        <v>264</v>
      </c>
      <c r="H539" s="5">
        <f>IFERROR(VLOOKUP(B539,'[3]new sheet'!$A$1:$IV$65536,2,0),0)</f>
        <v>135</v>
      </c>
    </row>
    <row r="540" spans="1:8" ht="24" customHeight="1">
      <c r="A540" s="7">
        <v>20030001</v>
      </c>
      <c r="B540" s="7">
        <v>3848</v>
      </c>
      <c r="C540" s="8" t="s">
        <v>1579</v>
      </c>
      <c r="D540" s="8" t="s">
        <v>1934</v>
      </c>
      <c r="E540" s="2">
        <f>IFERROR(VLOOKUP(B540,'[1]new sheet'!$A$1:$IV$65536,5,FALSE),0)</f>
        <v>0</v>
      </c>
      <c r="F540" s="3">
        <f>IFERROR(VLOOKUP(B540,'[1]new sheet'!$A$1:$IV$65536,4,FALSE),0)</f>
        <v>0</v>
      </c>
      <c r="G540" s="4">
        <f>IFERROR(VLOOKUP(B540,'[2]new sheet'!$A$1:$IV$65536,2,0),0)</f>
        <v>190</v>
      </c>
      <c r="H540" s="5">
        <f>IFERROR(VLOOKUP(B540,'[3]new sheet'!$A$1:$IV$65536,2,0),0)</f>
        <v>96</v>
      </c>
    </row>
    <row r="541" spans="1:8" ht="24" customHeight="1">
      <c r="A541" s="7"/>
      <c r="B541" s="7">
        <v>529</v>
      </c>
      <c r="C541" s="8" t="s">
        <v>420</v>
      </c>
      <c r="D541" s="8" t="s">
        <v>1934</v>
      </c>
      <c r="E541" s="2">
        <f>IFERROR(VLOOKUP(B541,'[1]new sheet'!$A$1:$IV$65536,5,FALSE),0)</f>
        <v>0</v>
      </c>
      <c r="F541" s="3">
        <f>IFERROR(VLOOKUP(B541,'[1]new sheet'!$A$1:$IV$65536,4,FALSE),0)</f>
        <v>0</v>
      </c>
      <c r="G541" s="4">
        <f>IFERROR(VLOOKUP(B541,'[2]new sheet'!$A$1:$IV$65536,2,0),0)</f>
        <v>0</v>
      </c>
      <c r="H541" s="5">
        <f>IFERROR(VLOOKUP(B541,'[3]new sheet'!$A$1:$IV$65536,2,0),0)</f>
        <v>0</v>
      </c>
    </row>
    <row r="542" spans="1:8" ht="24" customHeight="1">
      <c r="A542" s="7">
        <v>170072</v>
      </c>
      <c r="B542" s="7">
        <v>3053</v>
      </c>
      <c r="C542" s="8" t="s">
        <v>421</v>
      </c>
      <c r="D542" s="8" t="s">
        <v>1934</v>
      </c>
      <c r="E542" s="2">
        <f>IFERROR(VLOOKUP(B542,'[1]new sheet'!$A$1:$IV$65536,5,FALSE),0)</f>
        <v>156</v>
      </c>
      <c r="F542" s="3">
        <f>IFERROR(VLOOKUP(B542,'[1]new sheet'!$A$1:$IV$65536,4,FALSE),0)</f>
        <v>2</v>
      </c>
      <c r="G542" s="4">
        <f>IFERROR(VLOOKUP(B542,'[2]new sheet'!$A$1:$IV$65536,2,0),0)</f>
        <v>142</v>
      </c>
      <c r="H542" s="5">
        <f>IFERROR(VLOOKUP(B542,'[3]new sheet'!$A$1:$IV$65536,2,0),0)</f>
        <v>91</v>
      </c>
    </row>
    <row r="543" spans="1:8" ht="24" customHeight="1">
      <c r="A543" s="7">
        <v>12201</v>
      </c>
      <c r="B543" s="7">
        <v>530</v>
      </c>
      <c r="C543" s="8" t="s">
        <v>422</v>
      </c>
      <c r="D543" s="8" t="s">
        <v>1934</v>
      </c>
      <c r="E543" s="2">
        <f>IFERROR(VLOOKUP(B543,'[1]new sheet'!$A$1:$IV$65536,5,FALSE),0)</f>
        <v>1207</v>
      </c>
      <c r="F543" s="3">
        <f>IFERROR(VLOOKUP(B543,'[1]new sheet'!$A$1:$IV$65536,4,FALSE),0)</f>
        <v>37</v>
      </c>
      <c r="G543" s="4">
        <f>IFERROR(VLOOKUP(B543,'[2]new sheet'!$A$1:$IV$65536,2,0),0)</f>
        <v>784</v>
      </c>
      <c r="H543" s="5">
        <f>IFERROR(VLOOKUP(B543,'[3]new sheet'!$A$1:$IV$65536,2,0),0)</f>
        <v>194</v>
      </c>
    </row>
    <row r="544" spans="1:8" ht="24" customHeight="1">
      <c r="A544" s="7">
        <v>6212</v>
      </c>
      <c r="B544" s="7">
        <v>531</v>
      </c>
      <c r="C544" s="8" t="s">
        <v>423</v>
      </c>
      <c r="D544" s="8" t="s">
        <v>1934</v>
      </c>
      <c r="E544" s="2">
        <f>IFERROR(VLOOKUP(B544,'[1]new sheet'!$A$1:$IV$65536,5,FALSE),0)</f>
        <v>430</v>
      </c>
      <c r="F544" s="3">
        <f>IFERROR(VLOOKUP(B544,'[1]new sheet'!$A$1:$IV$65536,4,FALSE),0)</f>
        <v>9</v>
      </c>
      <c r="G544" s="4">
        <f>IFERROR(VLOOKUP(B544,'[2]new sheet'!$A$1:$IV$65536,2,0),0)</f>
        <v>887</v>
      </c>
      <c r="H544" s="5">
        <f>IFERROR(VLOOKUP(B544,'[3]new sheet'!$A$1:$IV$65536,2,0),0)</f>
        <v>263</v>
      </c>
    </row>
    <row r="545" spans="1:8" ht="24" customHeight="1">
      <c r="A545" s="7">
        <v>16846</v>
      </c>
      <c r="B545" s="7">
        <v>2277</v>
      </c>
      <c r="C545" s="8" t="s">
        <v>424</v>
      </c>
      <c r="D545" s="8" t="s">
        <v>1934</v>
      </c>
      <c r="E545" s="2">
        <f>IFERROR(VLOOKUP(B545,'[1]new sheet'!$A$1:$IV$65536,5,FALSE),0)</f>
        <v>0</v>
      </c>
      <c r="F545" s="3">
        <f>IFERROR(VLOOKUP(B545,'[1]new sheet'!$A$1:$IV$65536,4,FALSE),0)</f>
        <v>0</v>
      </c>
      <c r="G545" s="4">
        <f>IFERROR(VLOOKUP(B545,'[2]new sheet'!$A$1:$IV$65536,2,0),0)</f>
        <v>0</v>
      </c>
      <c r="H545" s="5">
        <f>IFERROR(VLOOKUP(B545,'[3]new sheet'!$A$1:$IV$65536,2,0),0)</f>
        <v>0</v>
      </c>
    </row>
    <row r="546" spans="1:8" ht="24" customHeight="1">
      <c r="A546" s="7">
        <v>280002</v>
      </c>
      <c r="B546" s="7">
        <v>4291</v>
      </c>
      <c r="C546" s="8" t="s">
        <v>1885</v>
      </c>
      <c r="D546" s="8" t="s">
        <v>1934</v>
      </c>
      <c r="E546" s="2">
        <f>IFERROR(VLOOKUP(B546,'[1]new sheet'!$A$1:$IV$65536,5,FALSE),0)</f>
        <v>0</v>
      </c>
      <c r="F546" s="3">
        <f>IFERROR(VLOOKUP(B546,'[1]new sheet'!$A$1:$IV$65536,4,FALSE),0)</f>
        <v>0</v>
      </c>
      <c r="G546" s="4">
        <f>IFERROR(VLOOKUP(B546,'[2]new sheet'!$A$1:$IV$65536,2,0),0)</f>
        <v>3</v>
      </c>
      <c r="H546" s="5">
        <f>IFERROR(VLOOKUP(B546,'[3]new sheet'!$A$1:$IV$65536,2,0),0)</f>
        <v>2</v>
      </c>
    </row>
    <row r="547" spans="1:8" ht="24" customHeight="1">
      <c r="A547" s="7">
        <v>280001</v>
      </c>
      <c r="B547" s="7">
        <v>4290</v>
      </c>
      <c r="C547" s="8" t="s">
        <v>1886</v>
      </c>
      <c r="D547" s="8" t="s">
        <v>1934</v>
      </c>
      <c r="E547" s="2">
        <f>IFERROR(VLOOKUP(B547,'[1]new sheet'!$A$1:$IV$65536,5,FALSE),0)</f>
        <v>0</v>
      </c>
      <c r="F547" s="3">
        <f>IFERROR(VLOOKUP(B547,'[1]new sheet'!$A$1:$IV$65536,4,FALSE),0)</f>
        <v>0</v>
      </c>
      <c r="G547" s="4">
        <f>IFERROR(VLOOKUP(B547,'[2]new sheet'!$A$1:$IV$65536,2,0),0)</f>
        <v>5</v>
      </c>
      <c r="H547" s="5">
        <f>IFERROR(VLOOKUP(B547,'[3]new sheet'!$A$1:$IV$65536,2,0),0)</f>
        <v>1</v>
      </c>
    </row>
    <row r="548" spans="1:8" ht="24" customHeight="1">
      <c r="A548" s="7">
        <v>996901</v>
      </c>
      <c r="B548" s="7">
        <v>1102</v>
      </c>
      <c r="C548" s="8" t="s">
        <v>425</v>
      </c>
      <c r="D548" s="8" t="s">
        <v>1934</v>
      </c>
      <c r="E548" s="2">
        <f>IFERROR(VLOOKUP(B548,'[1]new sheet'!$A$1:$IV$65536,5,FALSE),0)</f>
        <v>8</v>
      </c>
      <c r="F548" s="3">
        <f>IFERROR(VLOOKUP(B548,'[1]new sheet'!$A$1:$IV$65536,4,FALSE),0)</f>
        <v>0</v>
      </c>
      <c r="G548" s="4">
        <f>IFERROR(VLOOKUP(B548,'[2]new sheet'!$A$1:$IV$65536,2,0),0)</f>
        <v>6</v>
      </c>
      <c r="H548" s="5">
        <f>IFERROR(VLOOKUP(B548,'[3]new sheet'!$A$1:$IV$65536,2,0),0)</f>
        <v>2</v>
      </c>
    </row>
    <row r="549" spans="1:8" ht="24" customHeight="1">
      <c r="A549" s="7">
        <v>935113</v>
      </c>
      <c r="B549" s="7">
        <v>4316</v>
      </c>
      <c r="C549" s="8" t="s">
        <v>1930</v>
      </c>
      <c r="D549" s="8" t="s">
        <v>1934</v>
      </c>
      <c r="E549" s="2">
        <f>IFERROR(VLOOKUP(B549,'[1]new sheet'!$A$1:$IV$65536,5,FALSE),0)</f>
        <v>2</v>
      </c>
      <c r="F549" s="3">
        <f>IFERROR(VLOOKUP(B549,'[1]new sheet'!$A$1:$IV$65536,4,FALSE),0)</f>
        <v>0</v>
      </c>
      <c r="G549" s="4">
        <f>IFERROR(VLOOKUP(B549,'[2]new sheet'!$A$1:$IV$65536,2,0),0)</f>
        <v>0</v>
      </c>
      <c r="H549" s="5">
        <f>IFERROR(VLOOKUP(B549,'[3]new sheet'!$A$1:$IV$65536,2,0),0)</f>
        <v>0</v>
      </c>
    </row>
    <row r="550" spans="1:8" ht="24" customHeight="1">
      <c r="A550" s="7" t="s">
        <v>426</v>
      </c>
      <c r="B550" s="7">
        <v>85</v>
      </c>
      <c r="C550" s="8" t="s">
        <v>427</v>
      </c>
      <c r="D550" s="8" t="s">
        <v>1935</v>
      </c>
      <c r="E550" s="2">
        <f>IFERROR(VLOOKUP(B550,'[1]new sheet'!$A$1:$IV$65536,5,FALSE),0)</f>
        <v>0.93</v>
      </c>
      <c r="F550" s="3">
        <f>IFERROR(VLOOKUP(B550,'[1]new sheet'!$A$1:$IV$65536,4,FALSE),0)</f>
        <v>0</v>
      </c>
      <c r="G550" s="4">
        <f>IFERROR(VLOOKUP(B550,'[2]new sheet'!$A$1:$IV$65536,2,0),0)</f>
        <v>0</v>
      </c>
      <c r="H550" s="5">
        <f>IFERROR(VLOOKUP(B550,'[3]new sheet'!$A$1:$IV$65536,2,0),0)</f>
        <v>0</v>
      </c>
    </row>
    <row r="551" spans="1:8" ht="24" customHeight="1">
      <c r="A551" s="7">
        <v>225</v>
      </c>
      <c r="B551" s="7">
        <v>92</v>
      </c>
      <c r="C551" s="8" t="s">
        <v>428</v>
      </c>
      <c r="D551" s="8" t="s">
        <v>1935</v>
      </c>
      <c r="E551" s="2">
        <f>IFERROR(VLOOKUP(B551,'[1]new sheet'!$A$1:$IV$65536,5,FALSE),0)</f>
        <v>468.54</v>
      </c>
      <c r="F551" s="3">
        <f>IFERROR(VLOOKUP(B551,'[1]new sheet'!$A$1:$IV$65536,4,FALSE),0)</f>
        <v>0</v>
      </c>
      <c r="G551" s="4">
        <f>IFERROR(VLOOKUP(B551,'[2]new sheet'!$A$1:$IV$65536,2,0),0)</f>
        <v>535.63</v>
      </c>
      <c r="H551" s="5">
        <f>IFERROR(VLOOKUP(B551,'[3]new sheet'!$A$1:$IV$65536,2,0),0)</f>
        <v>133.59</v>
      </c>
    </row>
    <row r="552" spans="1:8" ht="24" customHeight="1">
      <c r="A552" s="7">
        <v>50716</v>
      </c>
      <c r="B552" s="7">
        <v>2792</v>
      </c>
      <c r="C552" s="8" t="s">
        <v>429</v>
      </c>
      <c r="D552" s="8" t="s">
        <v>1934</v>
      </c>
      <c r="E552" s="2">
        <f>IFERROR(VLOOKUP(B552,'[1]new sheet'!$A$1:$IV$65536,5,FALSE),0)</f>
        <v>0</v>
      </c>
      <c r="F552" s="3">
        <f>IFERROR(VLOOKUP(B552,'[1]new sheet'!$A$1:$IV$65536,4,FALSE),0)</f>
        <v>0</v>
      </c>
      <c r="G552" s="4">
        <f>IFERROR(VLOOKUP(B552,'[2]new sheet'!$A$1:$IV$65536,2,0),0)</f>
        <v>0</v>
      </c>
      <c r="H552" s="5">
        <f>IFERROR(VLOOKUP(B552,'[3]new sheet'!$A$1:$IV$65536,2,0),0)</f>
        <v>0</v>
      </c>
    </row>
    <row r="553" spans="1:8" ht="24" customHeight="1">
      <c r="A553" s="7">
        <v>0</v>
      </c>
      <c r="B553" s="7">
        <v>3805</v>
      </c>
      <c r="C553" s="8" t="s">
        <v>1555</v>
      </c>
      <c r="D553" s="8" t="s">
        <v>1934</v>
      </c>
      <c r="E553" s="2">
        <f>IFERROR(VLOOKUP(B553,'[1]new sheet'!$A$1:$IV$65536,5,FALSE),0)</f>
        <v>0</v>
      </c>
      <c r="F553" s="3">
        <f>IFERROR(VLOOKUP(B553,'[1]new sheet'!$A$1:$IV$65536,4,FALSE),0)</f>
        <v>0</v>
      </c>
      <c r="G553" s="4">
        <f>IFERROR(VLOOKUP(B553,'[2]new sheet'!$A$1:$IV$65536,2,0),0)</f>
        <v>0</v>
      </c>
      <c r="H553" s="5">
        <f>IFERROR(VLOOKUP(B553,'[3]new sheet'!$A$1:$IV$65536,2,0),0)</f>
        <v>0</v>
      </c>
    </row>
    <row r="554" spans="1:8" ht="24" customHeight="1">
      <c r="A554" s="7">
        <v>643</v>
      </c>
      <c r="B554" s="7">
        <v>3967</v>
      </c>
      <c r="C554" s="8" t="s">
        <v>1555</v>
      </c>
      <c r="D554" s="8" t="s">
        <v>1937</v>
      </c>
      <c r="E554" s="2">
        <f>IFERROR(VLOOKUP(B554,'[1]new sheet'!$A$1:$IV$65536,5,FALSE),0)</f>
        <v>0</v>
      </c>
      <c r="F554" s="3">
        <f>IFERROR(VLOOKUP(B554,'[1]new sheet'!$A$1:$IV$65536,4,FALSE),0)</f>
        <v>0</v>
      </c>
      <c r="G554" s="4">
        <f>IFERROR(VLOOKUP(B554,'[2]new sheet'!$A$1:$IV$65536,2,0),0)</f>
        <v>0</v>
      </c>
      <c r="H554" s="5">
        <f>IFERROR(VLOOKUP(B554,'[3]new sheet'!$A$1:$IV$65536,2,0),0)</f>
        <v>0</v>
      </c>
    </row>
    <row r="555" spans="1:8" ht="24" customHeight="1">
      <c r="A555" s="7">
        <v>13201</v>
      </c>
      <c r="B555" s="7">
        <v>3176</v>
      </c>
      <c r="C555" s="8" t="s">
        <v>430</v>
      </c>
      <c r="D555" s="8" t="s">
        <v>1935</v>
      </c>
      <c r="E555" s="2">
        <f>IFERROR(VLOOKUP(B555,'[1]new sheet'!$A$1:$IV$65536,5,FALSE),0)</f>
        <v>0</v>
      </c>
      <c r="F555" s="3">
        <f>IFERROR(VLOOKUP(B555,'[1]new sheet'!$A$1:$IV$65536,4,FALSE),0)</f>
        <v>0</v>
      </c>
      <c r="G555" s="4">
        <f>IFERROR(VLOOKUP(B555,'[2]new sheet'!$A$1:$IV$65536,2,0),0)</f>
        <v>0</v>
      </c>
      <c r="H555" s="5">
        <f>IFERROR(VLOOKUP(B555,'[3]new sheet'!$A$1:$IV$65536,2,0),0)</f>
        <v>0</v>
      </c>
    </row>
    <row r="556" spans="1:8" ht="24" customHeight="1">
      <c r="A556" s="7">
        <v>672</v>
      </c>
      <c r="B556" s="7">
        <v>2868</v>
      </c>
      <c r="C556" s="8" t="s">
        <v>431</v>
      </c>
      <c r="D556" s="8" t="s">
        <v>1935</v>
      </c>
      <c r="E556" s="2">
        <f>IFERROR(VLOOKUP(B556,'[1]new sheet'!$A$1:$IV$65536,5,FALSE),0)</f>
        <v>0</v>
      </c>
      <c r="F556" s="3">
        <f>IFERROR(VLOOKUP(B556,'[1]new sheet'!$A$1:$IV$65536,4,FALSE),0)</f>
        <v>0</v>
      </c>
      <c r="G556" s="4">
        <f>IFERROR(VLOOKUP(B556,'[2]new sheet'!$A$1:$IV$65536,2,0),0)</f>
        <v>0</v>
      </c>
      <c r="H556" s="5">
        <f>IFERROR(VLOOKUP(B556,'[3]new sheet'!$A$1:$IV$65536,2,0),0)</f>
        <v>0</v>
      </c>
    </row>
    <row r="557" spans="1:8" ht="24" customHeight="1">
      <c r="A557" s="7">
        <v>672</v>
      </c>
      <c r="B557" s="7">
        <v>769</v>
      </c>
      <c r="C557" s="8" t="s">
        <v>1711</v>
      </c>
      <c r="D557" s="8" t="s">
        <v>1935</v>
      </c>
      <c r="E557" s="2">
        <f>IFERROR(VLOOKUP(B557,'[1]new sheet'!$A$1:$IV$65536,5,FALSE),0)</f>
        <v>0</v>
      </c>
      <c r="F557" s="3">
        <f>IFERROR(VLOOKUP(B557,'[1]new sheet'!$A$1:$IV$65536,4,FALSE),0)</f>
        <v>0</v>
      </c>
      <c r="G557" s="4">
        <f>IFERROR(VLOOKUP(B557,'[2]new sheet'!$A$1:$IV$65536,2,0),0)</f>
        <v>16.73</v>
      </c>
      <c r="H557" s="5">
        <f>IFERROR(VLOOKUP(B557,'[3]new sheet'!$A$1:$IV$65536,2,0),0)</f>
        <v>0</v>
      </c>
    </row>
    <row r="558" spans="1:8" ht="24" customHeight="1">
      <c r="A558" s="7" t="s">
        <v>432</v>
      </c>
      <c r="B558" s="7">
        <v>86</v>
      </c>
      <c r="C558" s="8" t="s">
        <v>433</v>
      </c>
      <c r="D558" s="8" t="s">
        <v>1935</v>
      </c>
      <c r="E558" s="2">
        <f>IFERROR(VLOOKUP(B558,'[1]new sheet'!$A$1:$IV$65536,5,FALSE),0)</f>
        <v>0</v>
      </c>
      <c r="F558" s="3">
        <f>IFERROR(VLOOKUP(B558,'[1]new sheet'!$A$1:$IV$65536,4,FALSE),0)</f>
        <v>0</v>
      </c>
      <c r="G558" s="4">
        <f>IFERROR(VLOOKUP(B558,'[2]new sheet'!$A$1:$IV$65536,2,0),0)</f>
        <v>1945.1</v>
      </c>
      <c r="H558" s="5">
        <f>IFERROR(VLOOKUP(B558,'[3]new sheet'!$A$1:$IV$65536,2,0),0)</f>
        <v>0</v>
      </c>
    </row>
    <row r="559" spans="1:8" ht="24" customHeight="1">
      <c r="A559" s="7">
        <v>172</v>
      </c>
      <c r="B559" s="7">
        <v>3570</v>
      </c>
      <c r="C559" s="8" t="s">
        <v>434</v>
      </c>
      <c r="D559" s="8" t="s">
        <v>1935</v>
      </c>
      <c r="E559" s="2">
        <f>IFERROR(VLOOKUP(B559,'[1]new sheet'!$A$1:$IV$65536,5,FALSE),0)</f>
        <v>0</v>
      </c>
      <c r="F559" s="3">
        <f>IFERROR(VLOOKUP(B559,'[1]new sheet'!$A$1:$IV$65536,4,FALSE),0)</f>
        <v>0</v>
      </c>
      <c r="G559" s="4">
        <f>IFERROR(VLOOKUP(B559,'[2]new sheet'!$A$1:$IV$65536,2,0),0)</f>
        <v>0</v>
      </c>
      <c r="H559" s="5">
        <f>IFERROR(VLOOKUP(B559,'[3]new sheet'!$A$1:$IV$65536,2,0),0)</f>
        <v>0</v>
      </c>
    </row>
    <row r="560" spans="1:8" ht="24" customHeight="1">
      <c r="A560" s="7"/>
      <c r="B560" s="7">
        <v>217</v>
      </c>
      <c r="C560" s="8" t="s">
        <v>435</v>
      </c>
      <c r="D560" s="8" t="s">
        <v>1934</v>
      </c>
      <c r="E560" s="2">
        <f>IFERROR(VLOOKUP(B560,'[1]new sheet'!$A$1:$IV$65536,5,FALSE),0)</f>
        <v>0</v>
      </c>
      <c r="F560" s="3">
        <f>IFERROR(VLOOKUP(B560,'[1]new sheet'!$A$1:$IV$65536,4,FALSE),0)</f>
        <v>0</v>
      </c>
      <c r="G560" s="4">
        <f>IFERROR(VLOOKUP(B560,'[2]new sheet'!$A$1:$IV$65536,2,0),0)</f>
        <v>0</v>
      </c>
      <c r="H560" s="5">
        <f>IFERROR(VLOOKUP(B560,'[3]new sheet'!$A$1:$IV$65536,2,0),0)</f>
        <v>0</v>
      </c>
    </row>
    <row r="561" spans="1:8" ht="24" customHeight="1">
      <c r="A561" s="7">
        <v>991</v>
      </c>
      <c r="B561" s="7">
        <v>2944</v>
      </c>
      <c r="C561" s="8" t="s">
        <v>436</v>
      </c>
      <c r="D561" s="8" t="s">
        <v>1937</v>
      </c>
      <c r="E561" s="2">
        <f>IFERROR(VLOOKUP(B561,'[1]new sheet'!$A$1:$IV$65536,5,FALSE),0)</f>
        <v>21</v>
      </c>
      <c r="F561" s="3">
        <f>IFERROR(VLOOKUP(B561,'[1]new sheet'!$A$1:$IV$65536,4,FALSE),0)</f>
        <v>7</v>
      </c>
      <c r="G561" s="4">
        <f>IFERROR(VLOOKUP(B561,'[2]new sheet'!$A$1:$IV$65536,2,0),0)</f>
        <v>36</v>
      </c>
      <c r="H561" s="5">
        <f>IFERROR(VLOOKUP(B561,'[3]new sheet'!$A$1:$IV$65536,2,0),0)</f>
        <v>6</v>
      </c>
    </row>
    <row r="562" spans="1:8" ht="24" customHeight="1">
      <c r="A562" s="7">
        <v>991</v>
      </c>
      <c r="B562" s="7">
        <v>4034</v>
      </c>
      <c r="C562" s="8" t="s">
        <v>1664</v>
      </c>
      <c r="D562" s="8" t="s">
        <v>1939</v>
      </c>
      <c r="E562" s="2">
        <f>IFERROR(VLOOKUP(B562,'[1]new sheet'!$A$1:$IV$65536,5,FALSE),0)</f>
        <v>69</v>
      </c>
      <c r="F562" s="3">
        <f>IFERROR(VLOOKUP(B562,'[1]new sheet'!$A$1:$IV$65536,4,FALSE),0)</f>
        <v>2</v>
      </c>
      <c r="G562" s="4">
        <f>IFERROR(VLOOKUP(B562,'[2]new sheet'!$A$1:$IV$65536,2,0),0)</f>
        <v>8</v>
      </c>
      <c r="H562" s="5">
        <f>IFERROR(VLOOKUP(B562,'[3]new sheet'!$A$1:$IV$65536,2,0),0)</f>
        <v>1</v>
      </c>
    </row>
    <row r="563" spans="1:8" ht="24" customHeight="1">
      <c r="A563" s="7">
        <v>6572</v>
      </c>
      <c r="B563" s="7">
        <v>3186</v>
      </c>
      <c r="C563" s="8" t="s">
        <v>437</v>
      </c>
      <c r="D563" s="8" t="s">
        <v>1934</v>
      </c>
      <c r="E563" s="2">
        <f>IFERROR(VLOOKUP(B563,'[1]new sheet'!$A$1:$IV$65536,5,FALSE),0)</f>
        <v>32</v>
      </c>
      <c r="F563" s="3">
        <f>IFERROR(VLOOKUP(B563,'[1]new sheet'!$A$1:$IV$65536,4,FALSE),0)</f>
        <v>5</v>
      </c>
      <c r="G563" s="4">
        <f>IFERROR(VLOOKUP(B563,'[2]new sheet'!$A$1:$IV$65536,2,0),0)</f>
        <v>51</v>
      </c>
      <c r="H563" s="5">
        <f>IFERROR(VLOOKUP(B563,'[3]new sheet'!$A$1:$IV$65536,2,0),0)</f>
        <v>12</v>
      </c>
    </row>
    <row r="564" spans="1:8" ht="24" customHeight="1">
      <c r="A564" s="7">
        <v>20070002</v>
      </c>
      <c r="B564" s="7">
        <v>218</v>
      </c>
      <c r="C564" s="8" t="s">
        <v>438</v>
      </c>
      <c r="D564" s="8" t="s">
        <v>1934</v>
      </c>
      <c r="E564" s="2">
        <f>IFERROR(VLOOKUP(B564,'[1]new sheet'!$A$1:$IV$65536,5,FALSE),0)</f>
        <v>0</v>
      </c>
      <c r="F564" s="3">
        <f>IFERROR(VLOOKUP(B564,'[1]new sheet'!$A$1:$IV$65536,4,FALSE),0)</f>
        <v>0</v>
      </c>
      <c r="G564" s="4">
        <f>IFERROR(VLOOKUP(B564,'[2]new sheet'!$A$1:$IV$65536,2,0),0)</f>
        <v>0</v>
      </c>
      <c r="H564" s="5">
        <f>IFERROR(VLOOKUP(B564,'[3]new sheet'!$A$1:$IV$65536,2,0),0)</f>
        <v>0</v>
      </c>
    </row>
    <row r="565" spans="1:8" ht="24" customHeight="1">
      <c r="A565" s="7">
        <v>991</v>
      </c>
      <c r="B565" s="7">
        <v>2458</v>
      </c>
      <c r="C565" s="8" t="s">
        <v>439</v>
      </c>
      <c r="D565" s="8" t="s">
        <v>1934</v>
      </c>
      <c r="E565" s="2">
        <f>IFERROR(VLOOKUP(B565,'[1]new sheet'!$A$1:$IV$65536,5,FALSE),0)</f>
        <v>0</v>
      </c>
      <c r="F565" s="3">
        <f>IFERROR(VLOOKUP(B565,'[1]new sheet'!$A$1:$IV$65536,4,FALSE),0)</f>
        <v>0</v>
      </c>
      <c r="G565" s="4">
        <f>IFERROR(VLOOKUP(B565,'[2]new sheet'!$A$1:$IV$65536,2,0),0)</f>
        <v>0</v>
      </c>
      <c r="H565" s="5">
        <f>IFERROR(VLOOKUP(B565,'[3]new sheet'!$A$1:$IV$65536,2,0),0)</f>
        <v>0</v>
      </c>
    </row>
    <row r="566" spans="1:8" ht="24" customHeight="1">
      <c r="A566" s="7"/>
      <c r="B566" s="7">
        <v>798</v>
      </c>
      <c r="C566" s="8" t="s">
        <v>440</v>
      </c>
      <c r="D566" s="8" t="s">
        <v>1934</v>
      </c>
      <c r="E566" s="2">
        <f>IFERROR(VLOOKUP(B566,'[1]new sheet'!$A$1:$IV$65536,5,FALSE),0)</f>
        <v>91</v>
      </c>
      <c r="F566" s="3">
        <f>IFERROR(VLOOKUP(B566,'[1]new sheet'!$A$1:$IV$65536,4,FALSE),0)</f>
        <v>2</v>
      </c>
      <c r="G566" s="4">
        <f>IFERROR(VLOOKUP(B566,'[2]new sheet'!$A$1:$IV$65536,2,0),0)</f>
        <v>27</v>
      </c>
      <c r="H566" s="5">
        <f>IFERROR(VLOOKUP(B566,'[3]new sheet'!$A$1:$IV$65536,2,0),0)</f>
        <v>24</v>
      </c>
    </row>
    <row r="567" spans="1:8" ht="24" customHeight="1">
      <c r="A567" s="7"/>
      <c r="B567" s="7">
        <v>219</v>
      </c>
      <c r="C567" s="8" t="s">
        <v>441</v>
      </c>
      <c r="D567" s="8" t="s">
        <v>1934</v>
      </c>
      <c r="E567" s="2">
        <f>IFERROR(VLOOKUP(B567,'[1]new sheet'!$A$1:$IV$65536,5,FALSE),0)</f>
        <v>155</v>
      </c>
      <c r="F567" s="3">
        <f>IFERROR(VLOOKUP(B567,'[1]new sheet'!$A$1:$IV$65536,4,FALSE),0)</f>
        <v>2</v>
      </c>
      <c r="G567" s="4">
        <f>IFERROR(VLOOKUP(B567,'[2]new sheet'!$A$1:$IV$65536,2,0),0)</f>
        <v>69</v>
      </c>
      <c r="H567" s="5">
        <f>IFERROR(VLOOKUP(B567,'[3]new sheet'!$A$1:$IV$65536,2,0),0)</f>
        <v>49</v>
      </c>
    </row>
    <row r="568" spans="1:8" ht="24" customHeight="1">
      <c r="A568" s="7">
        <v>4321</v>
      </c>
      <c r="B568" s="7">
        <v>45</v>
      </c>
      <c r="C568" s="8" t="s">
        <v>442</v>
      </c>
      <c r="D568" s="8" t="s">
        <v>1934</v>
      </c>
      <c r="E568" s="2">
        <f>IFERROR(VLOOKUP(B568,'[1]new sheet'!$A$1:$IV$65536,5,FALSE),0)</f>
        <v>0</v>
      </c>
      <c r="F568" s="3">
        <f>IFERROR(VLOOKUP(B568,'[1]new sheet'!$A$1:$IV$65536,4,FALSE),0)</f>
        <v>0</v>
      </c>
      <c r="G568" s="4">
        <f>IFERROR(VLOOKUP(B568,'[2]new sheet'!$A$1:$IV$65536,2,0),0)</f>
        <v>872</v>
      </c>
      <c r="H568" s="5">
        <f>IFERROR(VLOOKUP(B568,'[3]new sheet'!$A$1:$IV$65536,2,0),0)</f>
        <v>325</v>
      </c>
    </row>
    <row r="569" spans="1:8" ht="24" customHeight="1">
      <c r="A569" s="7">
        <v>22</v>
      </c>
      <c r="B569" s="7">
        <v>3371</v>
      </c>
      <c r="C569" s="8" t="s">
        <v>443</v>
      </c>
      <c r="D569" s="8" t="s">
        <v>1934</v>
      </c>
      <c r="E569" s="2">
        <f>IFERROR(VLOOKUP(B569,'[1]new sheet'!$A$1:$IV$65536,5,FALSE),0)</f>
        <v>0</v>
      </c>
      <c r="F569" s="3">
        <f>IFERROR(VLOOKUP(B569,'[1]new sheet'!$A$1:$IV$65536,4,FALSE),0)</f>
        <v>0</v>
      </c>
      <c r="G569" s="4">
        <f>IFERROR(VLOOKUP(B569,'[2]new sheet'!$A$1:$IV$65536,2,0),0)</f>
        <v>0</v>
      </c>
      <c r="H569" s="5">
        <f>IFERROR(VLOOKUP(B569,'[3]new sheet'!$A$1:$IV$65536,2,0),0)</f>
        <v>0</v>
      </c>
    </row>
    <row r="570" spans="1:8" ht="24" customHeight="1">
      <c r="A570" s="7">
        <v>217</v>
      </c>
      <c r="B570" s="7">
        <v>46</v>
      </c>
      <c r="C570" s="8" t="s">
        <v>444</v>
      </c>
      <c r="D570" s="8" t="s">
        <v>1934</v>
      </c>
      <c r="E570" s="2">
        <f>IFERROR(VLOOKUP(B570,'[1]new sheet'!$A$1:$IV$65536,5,FALSE),0)</f>
        <v>0</v>
      </c>
      <c r="F570" s="3">
        <f>IFERROR(VLOOKUP(B570,'[1]new sheet'!$A$1:$IV$65536,4,FALSE),0)</f>
        <v>0</v>
      </c>
      <c r="G570" s="4">
        <f>IFERROR(VLOOKUP(B570,'[2]new sheet'!$A$1:$IV$65536,2,0),0)</f>
        <v>143</v>
      </c>
      <c r="H570" s="5">
        <f>IFERROR(VLOOKUP(B570,'[3]new sheet'!$A$1:$IV$65536,2,0),0)</f>
        <v>1</v>
      </c>
    </row>
    <row r="571" spans="1:8" ht="24" customHeight="1">
      <c r="A571" s="7"/>
      <c r="B571" s="7">
        <v>194</v>
      </c>
      <c r="C571" s="8" t="s">
        <v>445</v>
      </c>
      <c r="D571" s="8" t="s">
        <v>1934</v>
      </c>
      <c r="E571" s="2">
        <f>IFERROR(VLOOKUP(B571,'[1]new sheet'!$A$1:$IV$65536,5,FALSE),0)</f>
        <v>0</v>
      </c>
      <c r="F571" s="3">
        <f>IFERROR(VLOOKUP(B571,'[1]new sheet'!$A$1:$IV$65536,4,FALSE),0)</f>
        <v>0</v>
      </c>
      <c r="G571" s="4">
        <f>IFERROR(VLOOKUP(B571,'[2]new sheet'!$A$1:$IV$65536,2,0),0)</f>
        <v>0</v>
      </c>
      <c r="H571" s="5">
        <f>IFERROR(VLOOKUP(B571,'[3]new sheet'!$A$1:$IV$65536,2,0),0)</f>
        <v>0</v>
      </c>
    </row>
    <row r="572" spans="1:8" ht="24" customHeight="1">
      <c r="A572" s="7">
        <v>991563</v>
      </c>
      <c r="B572" s="7">
        <v>4317</v>
      </c>
      <c r="C572" s="8" t="s">
        <v>1931</v>
      </c>
      <c r="D572" s="8" t="s">
        <v>1934</v>
      </c>
      <c r="E572" s="2">
        <f>IFERROR(VLOOKUP(B572,'[1]new sheet'!$A$1:$IV$65536,5,FALSE),0)</f>
        <v>3</v>
      </c>
      <c r="F572" s="3">
        <f>IFERROR(VLOOKUP(B572,'[1]new sheet'!$A$1:$IV$65536,4,FALSE),0)</f>
        <v>0</v>
      </c>
      <c r="G572" s="4">
        <f>IFERROR(VLOOKUP(B572,'[2]new sheet'!$A$1:$IV$65536,2,0),0)</f>
        <v>0</v>
      </c>
      <c r="H572" s="5">
        <f>IFERROR(VLOOKUP(B572,'[3]new sheet'!$A$1:$IV$65536,2,0),0)</f>
        <v>0</v>
      </c>
    </row>
    <row r="573" spans="1:8" ht="24" customHeight="1">
      <c r="A573" s="7">
        <v>597872</v>
      </c>
      <c r="B573" s="7">
        <v>533</v>
      </c>
      <c r="C573" s="8" t="s">
        <v>1776</v>
      </c>
      <c r="D573" s="8" t="s">
        <v>1934</v>
      </c>
      <c r="E573" s="2">
        <f>IFERROR(VLOOKUP(B573,'[1]new sheet'!$A$1:$IV$65536,5,FALSE),0)</f>
        <v>0</v>
      </c>
      <c r="F573" s="3">
        <f>IFERROR(VLOOKUP(B573,'[1]new sheet'!$A$1:$IV$65536,4,FALSE),0)</f>
        <v>0</v>
      </c>
      <c r="G573" s="4">
        <f>IFERROR(VLOOKUP(B573,'[2]new sheet'!$A$1:$IV$65536,2,0),0)</f>
        <v>0</v>
      </c>
      <c r="H573" s="5">
        <f>IFERROR(VLOOKUP(B573,'[3]new sheet'!$A$1:$IV$65536,2,0),0)</f>
        <v>0</v>
      </c>
    </row>
    <row r="574" spans="1:8" ht="24" customHeight="1">
      <c r="A574" s="7">
        <v>597880</v>
      </c>
      <c r="B574" s="7">
        <v>532</v>
      </c>
      <c r="C574" s="8" t="s">
        <v>446</v>
      </c>
      <c r="D574" s="8" t="s">
        <v>1934</v>
      </c>
      <c r="E574" s="2">
        <f>IFERROR(VLOOKUP(B574,'[1]new sheet'!$A$1:$IV$65536,5,FALSE),0)</f>
        <v>0</v>
      </c>
      <c r="F574" s="3">
        <f>IFERROR(VLOOKUP(B574,'[1]new sheet'!$A$1:$IV$65536,4,FALSE),0)</f>
        <v>0</v>
      </c>
      <c r="G574" s="4">
        <f>IFERROR(VLOOKUP(B574,'[2]new sheet'!$A$1:$IV$65536,2,0),0)</f>
        <v>0</v>
      </c>
      <c r="H574" s="5">
        <f>IFERROR(VLOOKUP(B574,'[3]new sheet'!$A$1:$IV$65536,2,0),0)</f>
        <v>0</v>
      </c>
    </row>
    <row r="575" spans="1:8" ht="24" customHeight="1">
      <c r="A575" s="7">
        <v>852326</v>
      </c>
      <c r="B575" s="7">
        <v>4129</v>
      </c>
      <c r="C575" s="8" t="s">
        <v>1763</v>
      </c>
      <c r="D575" s="8" t="s">
        <v>1934</v>
      </c>
      <c r="E575" s="2">
        <f>IFERROR(VLOOKUP(B575,'[1]new sheet'!$A$1:$IV$65536,5,FALSE),0)</f>
        <v>106</v>
      </c>
      <c r="F575" s="3">
        <f>IFERROR(VLOOKUP(B575,'[1]new sheet'!$A$1:$IV$65536,4,FALSE),0)</f>
        <v>0</v>
      </c>
      <c r="G575" s="4">
        <f>IFERROR(VLOOKUP(B575,'[2]new sheet'!$A$1:$IV$65536,2,0),0)</f>
        <v>4</v>
      </c>
      <c r="H575" s="5">
        <f>IFERROR(VLOOKUP(B575,'[3]new sheet'!$A$1:$IV$65536,2,0),0)</f>
        <v>0</v>
      </c>
    </row>
    <row r="576" spans="1:8" ht="24" customHeight="1">
      <c r="A576" s="7">
        <v>574236</v>
      </c>
      <c r="B576" s="7">
        <v>534</v>
      </c>
      <c r="C576" s="8" t="s">
        <v>447</v>
      </c>
      <c r="D576" s="8" t="s">
        <v>1934</v>
      </c>
      <c r="E576" s="2">
        <f>IFERROR(VLOOKUP(B576,'[1]new sheet'!$A$1:$IV$65536,5,FALSE),0)</f>
        <v>26</v>
      </c>
      <c r="F576" s="3">
        <f>IFERROR(VLOOKUP(B576,'[1]new sheet'!$A$1:$IV$65536,4,FALSE),0)</f>
        <v>0</v>
      </c>
      <c r="G576" s="4">
        <f>IFERROR(VLOOKUP(B576,'[2]new sheet'!$A$1:$IV$65536,2,0),0)</f>
        <v>8</v>
      </c>
      <c r="H576" s="5">
        <f>IFERROR(VLOOKUP(B576,'[3]new sheet'!$A$1:$IV$65536,2,0),0)</f>
        <v>8</v>
      </c>
    </row>
    <row r="577" spans="1:8" ht="24" customHeight="1">
      <c r="A577" s="7">
        <v>1105</v>
      </c>
      <c r="B577" s="7">
        <v>799</v>
      </c>
      <c r="C577" s="8" t="s">
        <v>448</v>
      </c>
      <c r="D577" s="8" t="s">
        <v>1937</v>
      </c>
      <c r="E577" s="2">
        <f>IFERROR(VLOOKUP(B577,'[1]new sheet'!$A$1:$IV$65536,5,FALSE),0)</f>
        <v>0</v>
      </c>
      <c r="F577" s="3">
        <f>IFERROR(VLOOKUP(B577,'[1]new sheet'!$A$1:$IV$65536,4,FALSE),0)</f>
        <v>0</v>
      </c>
      <c r="G577" s="4">
        <f>IFERROR(VLOOKUP(B577,'[2]new sheet'!$A$1:$IV$65536,2,0),0)</f>
        <v>0</v>
      </c>
      <c r="H577" s="5">
        <f>IFERROR(VLOOKUP(B577,'[3]new sheet'!$A$1:$IV$65536,2,0),0)</f>
        <v>0</v>
      </c>
    </row>
    <row r="578" spans="1:8" ht="24" customHeight="1">
      <c r="A578" s="7">
        <v>2489</v>
      </c>
      <c r="B578" s="7">
        <v>4243</v>
      </c>
      <c r="C578" s="8" t="s">
        <v>1870</v>
      </c>
      <c r="D578" s="8" t="s">
        <v>1937</v>
      </c>
      <c r="E578" s="2">
        <f>IFERROR(VLOOKUP(B578,'[1]new sheet'!$A$1:$IV$65536,5,FALSE),0)</f>
        <v>720</v>
      </c>
      <c r="F578" s="3">
        <f>IFERROR(VLOOKUP(B578,'[1]new sheet'!$A$1:$IV$65536,4,FALSE),0)</f>
        <v>36</v>
      </c>
      <c r="G578" s="4">
        <f>IFERROR(VLOOKUP(B578,'[2]new sheet'!$A$1:$IV$65536,2,0),0)</f>
        <v>378</v>
      </c>
      <c r="H578" s="5">
        <f>IFERROR(VLOOKUP(B578,'[3]new sheet'!$A$1:$IV$65536,2,0),0)</f>
        <v>0</v>
      </c>
    </row>
    <row r="579" spans="1:8" ht="24" customHeight="1">
      <c r="A579" s="7"/>
      <c r="B579" s="7">
        <v>886</v>
      </c>
      <c r="C579" s="8" t="s">
        <v>1692</v>
      </c>
      <c r="D579" s="8" t="s">
        <v>1937</v>
      </c>
      <c r="E579" s="2">
        <f>IFERROR(VLOOKUP(B579,'[1]new sheet'!$A$1:$IV$65536,5,FALSE),0)</f>
        <v>0</v>
      </c>
      <c r="F579" s="3">
        <f>IFERROR(VLOOKUP(B579,'[1]new sheet'!$A$1:$IV$65536,4,FALSE),0)</f>
        <v>0</v>
      </c>
      <c r="G579" s="4">
        <f>IFERROR(VLOOKUP(B579,'[2]new sheet'!$A$1:$IV$65536,2,0),0)</f>
        <v>0</v>
      </c>
      <c r="H579" s="5">
        <f>IFERROR(VLOOKUP(B579,'[3]new sheet'!$A$1:$IV$65536,2,0),0)</f>
        <v>0</v>
      </c>
    </row>
    <row r="580" spans="1:8" ht="24" customHeight="1">
      <c r="A580" s="7">
        <v>2230</v>
      </c>
      <c r="B580" s="7">
        <v>535</v>
      </c>
      <c r="C580" s="8" t="s">
        <v>449</v>
      </c>
      <c r="D580" s="8" t="s">
        <v>1937</v>
      </c>
      <c r="E580" s="2">
        <f>IFERROR(VLOOKUP(B580,'[1]new sheet'!$A$1:$IV$65536,5,FALSE),0)</f>
        <v>0</v>
      </c>
      <c r="F580" s="3">
        <f>IFERROR(VLOOKUP(B580,'[1]new sheet'!$A$1:$IV$65536,4,FALSE),0)</f>
        <v>0</v>
      </c>
      <c r="G580" s="4">
        <f>IFERROR(VLOOKUP(B580,'[2]new sheet'!$A$1:$IV$65536,2,0),0)</f>
        <v>0</v>
      </c>
      <c r="H580" s="5">
        <f>IFERROR(VLOOKUP(B580,'[3]new sheet'!$A$1:$IV$65536,2,0),0)</f>
        <v>0</v>
      </c>
    </row>
    <row r="581" spans="1:8" ht="24" customHeight="1">
      <c r="A581" s="7">
        <v>1220</v>
      </c>
      <c r="B581" s="7">
        <v>2454</v>
      </c>
      <c r="C581" s="8" t="s">
        <v>450</v>
      </c>
      <c r="D581" s="8" t="s">
        <v>1934</v>
      </c>
      <c r="E581" s="2">
        <f>IFERROR(VLOOKUP(B581,'[1]new sheet'!$A$1:$IV$65536,5,FALSE),0)</f>
        <v>0</v>
      </c>
      <c r="F581" s="3">
        <f>IFERROR(VLOOKUP(B581,'[1]new sheet'!$A$1:$IV$65536,4,FALSE),0)</f>
        <v>0</v>
      </c>
      <c r="G581" s="4">
        <f>IFERROR(VLOOKUP(B581,'[2]new sheet'!$A$1:$IV$65536,2,0),0)</f>
        <v>0</v>
      </c>
      <c r="H581" s="5">
        <f>IFERROR(VLOOKUP(B581,'[3]new sheet'!$A$1:$IV$65536,2,0),0)</f>
        <v>0</v>
      </c>
    </row>
    <row r="582" spans="1:8" ht="24" customHeight="1">
      <c r="A582" s="7">
        <v>536</v>
      </c>
      <c r="B582" s="7">
        <v>536</v>
      </c>
      <c r="C582" s="8" t="s">
        <v>451</v>
      </c>
      <c r="D582" s="8" t="s">
        <v>1934</v>
      </c>
      <c r="E582" s="2">
        <f>IFERROR(VLOOKUP(B582,'[1]new sheet'!$A$1:$IV$65536,5,FALSE),0)</f>
        <v>0</v>
      </c>
      <c r="F582" s="3">
        <f>IFERROR(VLOOKUP(B582,'[1]new sheet'!$A$1:$IV$65536,4,FALSE),0)</f>
        <v>0</v>
      </c>
      <c r="G582" s="4">
        <f>IFERROR(VLOOKUP(B582,'[2]new sheet'!$A$1:$IV$65536,2,0),0)</f>
        <v>78</v>
      </c>
      <c r="H582" s="5">
        <f>IFERROR(VLOOKUP(B582,'[3]new sheet'!$A$1:$IV$65536,2,0),0)</f>
        <v>0</v>
      </c>
    </row>
    <row r="583" spans="1:8" ht="24" customHeight="1">
      <c r="A583" s="7">
        <v>11030000</v>
      </c>
      <c r="B583" s="7">
        <v>1564</v>
      </c>
      <c r="C583" s="8" t="s">
        <v>452</v>
      </c>
      <c r="D583" s="8" t="s">
        <v>1934</v>
      </c>
      <c r="E583" s="2">
        <f>IFERROR(VLOOKUP(B583,'[1]new sheet'!$A$1:$IV$65536,5,FALSE),0)</f>
        <v>0</v>
      </c>
      <c r="F583" s="3">
        <f>IFERROR(VLOOKUP(B583,'[1]new sheet'!$A$1:$IV$65536,4,FALSE),0)</f>
        <v>0</v>
      </c>
      <c r="G583" s="4">
        <f>IFERROR(VLOOKUP(B583,'[2]new sheet'!$A$1:$IV$65536,2,0),0)</f>
        <v>0</v>
      </c>
      <c r="H583" s="5">
        <f>IFERROR(VLOOKUP(B583,'[3]new sheet'!$A$1:$IV$65536,2,0),0)</f>
        <v>0</v>
      </c>
    </row>
    <row r="584" spans="1:8" ht="24" customHeight="1">
      <c r="A584" s="7">
        <v>575844</v>
      </c>
      <c r="B584" s="7">
        <v>409</v>
      </c>
      <c r="C584" s="8" t="s">
        <v>453</v>
      </c>
      <c r="D584" s="8" t="s">
        <v>1934</v>
      </c>
      <c r="E584" s="2">
        <f>IFERROR(VLOOKUP(B584,'[1]new sheet'!$A$1:$IV$65536,5,FALSE),0)</f>
        <v>0</v>
      </c>
      <c r="F584" s="3">
        <f>IFERROR(VLOOKUP(B584,'[1]new sheet'!$A$1:$IV$65536,4,FALSE),0)</f>
        <v>0</v>
      </c>
      <c r="G584" s="4">
        <f>IFERROR(VLOOKUP(B584,'[2]new sheet'!$A$1:$IV$65536,2,0),0)</f>
        <v>0</v>
      </c>
      <c r="H584" s="5">
        <f>IFERROR(VLOOKUP(B584,'[3]new sheet'!$A$1:$IV$65536,2,0),0)</f>
        <v>0</v>
      </c>
    </row>
    <row r="585" spans="1:8" ht="24" customHeight="1">
      <c r="A585" s="7">
        <v>27282</v>
      </c>
      <c r="B585" s="7">
        <v>299</v>
      </c>
      <c r="C585" s="8" t="s">
        <v>454</v>
      </c>
      <c r="D585" s="8" t="s">
        <v>1934</v>
      </c>
      <c r="E585" s="2">
        <f>IFERROR(VLOOKUP(B585,'[1]new sheet'!$A$1:$IV$65536,5,FALSE),0)</f>
        <v>0</v>
      </c>
      <c r="F585" s="3">
        <f>IFERROR(VLOOKUP(B585,'[1]new sheet'!$A$1:$IV$65536,4,FALSE),0)</f>
        <v>0</v>
      </c>
      <c r="G585" s="4">
        <f>IFERROR(VLOOKUP(B585,'[2]new sheet'!$A$1:$IV$65536,2,0),0)</f>
        <v>0</v>
      </c>
      <c r="H585" s="5">
        <f>IFERROR(VLOOKUP(B585,'[3]new sheet'!$A$1:$IV$65536,2,0),0)</f>
        <v>0</v>
      </c>
    </row>
    <row r="586" spans="1:8" ht="24" customHeight="1">
      <c r="A586" s="7">
        <v>52123</v>
      </c>
      <c r="B586" s="7">
        <v>1477</v>
      </c>
      <c r="C586" s="8" t="s">
        <v>455</v>
      </c>
      <c r="D586" s="32" t="s">
        <v>1935</v>
      </c>
      <c r="E586" s="23">
        <f>IFERROR(VLOOKUP(B586,'[1]new sheet'!$A$1:$IV$65536,5,FALSE),0)</f>
        <v>0</v>
      </c>
      <c r="F586" s="3">
        <f>IFERROR(VLOOKUP(B586,'[1]new sheet'!$A$1:$IV$65536,4,FALSE),0)</f>
        <v>0</v>
      </c>
      <c r="G586" s="4">
        <f>IFERROR(VLOOKUP(B586,'[2]new sheet'!$A$1:$IV$65536,2,0),0)</f>
        <v>0</v>
      </c>
      <c r="H586" s="5">
        <f>IFERROR(VLOOKUP(B586,'[3]new sheet'!$A$1:$IV$65536,2,0),0)</f>
        <v>0</v>
      </c>
    </row>
    <row r="587" spans="1:8" ht="24" customHeight="1">
      <c r="A587" s="24">
        <v>33112</v>
      </c>
      <c r="B587" s="24">
        <v>2756</v>
      </c>
      <c r="C587" s="25" t="s">
        <v>456</v>
      </c>
      <c r="D587" s="25" t="s">
        <v>1935</v>
      </c>
      <c r="E587" s="2">
        <f>IFERROR(VLOOKUP(B587,'[1]new sheet'!$A$1:$IV$65536,5,FALSE),0)</f>
        <v>0</v>
      </c>
      <c r="F587" s="3">
        <f>IFERROR(VLOOKUP(B587,'[1]new sheet'!$A$1:$IV$65536,4,FALSE),0)</f>
        <v>0</v>
      </c>
      <c r="G587" s="4">
        <f>IFERROR(VLOOKUP(B587,'[2]new sheet'!$A$1:$IV$65536,2,0),0)</f>
        <v>5200.88</v>
      </c>
      <c r="H587" s="5">
        <f>IFERROR(VLOOKUP(B587,'[3]new sheet'!$A$1:$IV$65536,2,0),0)</f>
        <v>0</v>
      </c>
    </row>
    <row r="588" spans="1:8" ht="24" customHeight="1">
      <c r="A588" s="7">
        <v>28</v>
      </c>
      <c r="B588" s="7">
        <v>1023</v>
      </c>
      <c r="C588" s="8" t="s">
        <v>457</v>
      </c>
      <c r="D588" s="8" t="s">
        <v>1935</v>
      </c>
      <c r="E588" s="2">
        <f>IFERROR(VLOOKUP(B588,'[1]new sheet'!$A$1:$IV$65536,5,FALSE),0)</f>
        <v>0</v>
      </c>
      <c r="F588" s="3">
        <f>IFERROR(VLOOKUP(B588,'[1]new sheet'!$A$1:$IV$65536,4,FALSE),0)</f>
        <v>0</v>
      </c>
      <c r="G588" s="4">
        <f>IFERROR(VLOOKUP(B588,'[2]new sheet'!$A$1:$IV$65536,2,0),0)</f>
        <v>0</v>
      </c>
      <c r="H588" s="5">
        <f>IFERROR(VLOOKUP(B588,'[3]new sheet'!$A$1:$IV$65536,2,0),0)</f>
        <v>0</v>
      </c>
    </row>
    <row r="589" spans="1:8" ht="24" customHeight="1">
      <c r="A589" s="7">
        <v>20650</v>
      </c>
      <c r="B589" s="7">
        <v>4106</v>
      </c>
      <c r="C589" s="8" t="s">
        <v>1732</v>
      </c>
      <c r="D589" s="8" t="s">
        <v>1935</v>
      </c>
      <c r="E589" s="2">
        <f>IFERROR(VLOOKUP(B589,'[1]new sheet'!$A$1:$IV$65536,5,FALSE),0)</f>
        <v>0</v>
      </c>
      <c r="F589" s="3">
        <f>IFERROR(VLOOKUP(B589,'[1]new sheet'!$A$1:$IV$65536,4,FALSE),0)</f>
        <v>0</v>
      </c>
      <c r="G589" s="4">
        <f>IFERROR(VLOOKUP(B589,'[2]new sheet'!$A$1:$IV$65536,2,0),0)</f>
        <v>0</v>
      </c>
      <c r="H589" s="5">
        <f>IFERROR(VLOOKUP(B589,'[3]new sheet'!$A$1:$IV$65536,2,0),0)</f>
        <v>0</v>
      </c>
    </row>
    <row r="590" spans="1:8" ht="24" customHeight="1">
      <c r="A590" s="7">
        <v>263</v>
      </c>
      <c r="B590" s="7">
        <v>4081</v>
      </c>
      <c r="C590" s="8" t="s">
        <v>1703</v>
      </c>
      <c r="D590" s="8" t="s">
        <v>1935</v>
      </c>
      <c r="E590" s="2">
        <f>IFERROR(VLOOKUP(B590,'[1]new sheet'!$A$1:$IV$65536,5,FALSE),0)</f>
        <v>0</v>
      </c>
      <c r="F590" s="3">
        <f>IFERROR(VLOOKUP(B590,'[1]new sheet'!$A$1:$IV$65536,4,FALSE),0)</f>
        <v>0</v>
      </c>
      <c r="G590" s="4">
        <f>IFERROR(VLOOKUP(B590,'[2]new sheet'!$A$1:$IV$65536,2,0),0)</f>
        <v>0</v>
      </c>
      <c r="H590" s="5">
        <f>IFERROR(VLOOKUP(B590,'[3]new sheet'!$A$1:$IV$65536,2,0),0)</f>
        <v>0</v>
      </c>
    </row>
    <row r="591" spans="1:8" ht="24" customHeight="1">
      <c r="A591" s="7">
        <v>0</v>
      </c>
      <c r="B591" s="7">
        <v>87</v>
      </c>
      <c r="C591" s="8" t="s">
        <v>458</v>
      </c>
      <c r="D591" s="8" t="s">
        <v>1935</v>
      </c>
      <c r="E591" s="2">
        <f>IFERROR(VLOOKUP(B591,'[1]new sheet'!$A$1:$IV$65536,5,FALSE),0)</f>
        <v>0</v>
      </c>
      <c r="F591" s="3">
        <f>IFERROR(VLOOKUP(B591,'[1]new sheet'!$A$1:$IV$65536,4,FALSE),0)</f>
        <v>0</v>
      </c>
      <c r="G591" s="4">
        <f>IFERROR(VLOOKUP(B591,'[2]new sheet'!$A$1:$IV$65536,2,0),0)</f>
        <v>0</v>
      </c>
      <c r="H591" s="5">
        <f>IFERROR(VLOOKUP(B591,'[3]new sheet'!$A$1:$IV$65536,2,0),0)</f>
        <v>0</v>
      </c>
    </row>
    <row r="592" spans="1:8" ht="24" customHeight="1">
      <c r="A592" s="7">
        <v>33126</v>
      </c>
      <c r="B592" s="7">
        <v>2605</v>
      </c>
      <c r="C592" s="8" t="s">
        <v>459</v>
      </c>
      <c r="D592" s="8" t="s">
        <v>1935</v>
      </c>
      <c r="E592" s="2">
        <f>IFERROR(VLOOKUP(B592,'[1]new sheet'!$A$1:$IV$65536,5,FALSE),0)</f>
        <v>0</v>
      </c>
      <c r="F592" s="3">
        <f>IFERROR(VLOOKUP(B592,'[1]new sheet'!$A$1:$IV$65536,4,FALSE),0)</f>
        <v>0</v>
      </c>
      <c r="G592" s="4">
        <f>IFERROR(VLOOKUP(B592,'[2]new sheet'!$A$1:$IV$65536,2,0),0)</f>
        <v>0</v>
      </c>
      <c r="H592" s="5">
        <f>IFERROR(VLOOKUP(B592,'[3]new sheet'!$A$1:$IV$65536,2,0),0)</f>
        <v>0</v>
      </c>
    </row>
    <row r="593" spans="1:8" ht="24" customHeight="1">
      <c r="A593" s="7" t="s">
        <v>460</v>
      </c>
      <c r="B593" s="7">
        <v>537</v>
      </c>
      <c r="C593" s="8" t="s">
        <v>461</v>
      </c>
      <c r="D593" s="8" t="s">
        <v>1934</v>
      </c>
      <c r="E593" s="2">
        <f>IFERROR(VLOOKUP(B593,'[1]new sheet'!$A$1:$IV$65536,5,FALSE),0)</f>
        <v>0</v>
      </c>
      <c r="F593" s="3">
        <f>IFERROR(VLOOKUP(B593,'[1]new sheet'!$A$1:$IV$65536,4,FALSE),0)</f>
        <v>0</v>
      </c>
      <c r="G593" s="4">
        <f>IFERROR(VLOOKUP(B593,'[2]new sheet'!$A$1:$IV$65536,2,0),0)</f>
        <v>0</v>
      </c>
      <c r="H593" s="5">
        <f>IFERROR(VLOOKUP(B593,'[3]new sheet'!$A$1:$IV$65536,2,0),0)</f>
        <v>0</v>
      </c>
    </row>
    <row r="594" spans="1:8" ht="24" customHeight="1">
      <c r="A594" s="7"/>
      <c r="B594" s="7">
        <v>1162</v>
      </c>
      <c r="C594" s="8" t="s">
        <v>462</v>
      </c>
      <c r="D594" s="8" t="s">
        <v>1934</v>
      </c>
      <c r="E594" s="2">
        <f>IFERROR(VLOOKUP(B594,'[1]new sheet'!$A$1:$IV$65536,5,FALSE),0)</f>
        <v>165</v>
      </c>
      <c r="F594" s="3">
        <f>IFERROR(VLOOKUP(B594,'[1]new sheet'!$A$1:$IV$65536,4,FALSE),0)</f>
        <v>0</v>
      </c>
      <c r="G594" s="4">
        <f>IFERROR(VLOOKUP(B594,'[2]new sheet'!$A$1:$IV$65536,2,0),0)</f>
        <v>9</v>
      </c>
      <c r="H594" s="5">
        <f>IFERROR(VLOOKUP(B594,'[3]new sheet'!$A$1:$IV$65536,2,0),0)</f>
        <v>10</v>
      </c>
    </row>
    <row r="595" spans="1:8" ht="24" customHeight="1">
      <c r="A595" s="7"/>
      <c r="B595" s="7">
        <v>913</v>
      </c>
      <c r="C595" s="8" t="s">
        <v>463</v>
      </c>
      <c r="D595" s="8" t="s">
        <v>1934</v>
      </c>
      <c r="E595" s="2">
        <f>IFERROR(VLOOKUP(B595,'[1]new sheet'!$A$1:$IV$65536,5,FALSE),0)</f>
        <v>0</v>
      </c>
      <c r="F595" s="3">
        <f>IFERROR(VLOOKUP(B595,'[1]new sheet'!$A$1:$IV$65536,4,FALSE),0)</f>
        <v>0</v>
      </c>
      <c r="G595" s="4">
        <f>IFERROR(VLOOKUP(B595,'[2]new sheet'!$A$1:$IV$65536,2,0),0)</f>
        <v>0</v>
      </c>
      <c r="H595" s="5">
        <f>IFERROR(VLOOKUP(B595,'[3]new sheet'!$A$1:$IV$65536,2,0),0)</f>
        <v>0</v>
      </c>
    </row>
    <row r="596" spans="1:8" ht="24" customHeight="1">
      <c r="A596" s="7"/>
      <c r="B596" s="7">
        <v>1641</v>
      </c>
      <c r="C596" s="8" t="s">
        <v>464</v>
      </c>
      <c r="D596" s="8" t="s">
        <v>1934</v>
      </c>
      <c r="E596" s="2">
        <f>IFERROR(VLOOKUP(B596,'[1]new sheet'!$A$1:$IV$65536,5,FALSE),0)</f>
        <v>0</v>
      </c>
      <c r="F596" s="3">
        <f>IFERROR(VLOOKUP(B596,'[1]new sheet'!$A$1:$IV$65536,4,FALSE),0)</f>
        <v>0</v>
      </c>
      <c r="G596" s="4">
        <f>IFERROR(VLOOKUP(B596,'[2]new sheet'!$A$1:$IV$65536,2,0),0)</f>
        <v>0</v>
      </c>
      <c r="H596" s="5">
        <f>IFERROR(VLOOKUP(B596,'[3]new sheet'!$A$1:$IV$65536,2,0),0)</f>
        <v>0</v>
      </c>
    </row>
    <row r="597" spans="1:8" ht="24" customHeight="1">
      <c r="A597" s="7"/>
      <c r="B597" s="7">
        <v>1642</v>
      </c>
      <c r="C597" s="8" t="s">
        <v>465</v>
      </c>
      <c r="D597" s="8" t="s">
        <v>1934</v>
      </c>
      <c r="E597" s="2">
        <f>IFERROR(VLOOKUP(B597,'[1]new sheet'!$A$1:$IV$65536,5,FALSE),0)</f>
        <v>0</v>
      </c>
      <c r="F597" s="3">
        <f>IFERROR(VLOOKUP(B597,'[1]new sheet'!$A$1:$IV$65536,4,FALSE),0)</f>
        <v>0</v>
      </c>
      <c r="G597" s="4">
        <f>IFERROR(VLOOKUP(B597,'[2]new sheet'!$A$1:$IV$65536,2,0),0)</f>
        <v>0</v>
      </c>
      <c r="H597" s="5">
        <f>IFERROR(VLOOKUP(B597,'[3]new sheet'!$A$1:$IV$65536,2,0),0)</f>
        <v>0</v>
      </c>
    </row>
    <row r="598" spans="1:8" ht="24" customHeight="1">
      <c r="A598" s="7">
        <v>1561</v>
      </c>
      <c r="B598" s="7">
        <v>189</v>
      </c>
      <c r="C598" s="8" t="s">
        <v>466</v>
      </c>
      <c r="D598" s="8" t="s">
        <v>1934</v>
      </c>
      <c r="E598" s="2">
        <f>IFERROR(VLOOKUP(B598,'[1]new sheet'!$A$1:$IV$65536,5,FALSE),0)</f>
        <v>243</v>
      </c>
      <c r="F598" s="3">
        <f>IFERROR(VLOOKUP(B598,'[1]new sheet'!$A$1:$IV$65536,4,FALSE),0)</f>
        <v>1</v>
      </c>
      <c r="G598" s="4">
        <f>IFERROR(VLOOKUP(B598,'[2]new sheet'!$A$1:$IV$65536,2,0),0)</f>
        <v>184</v>
      </c>
      <c r="H598" s="5">
        <f>IFERROR(VLOOKUP(B598,'[3]new sheet'!$A$1:$IV$65536,2,0),0)</f>
        <v>60</v>
      </c>
    </row>
    <row r="599" spans="1:8" ht="24" customHeight="1">
      <c r="A599" s="7">
        <v>1551</v>
      </c>
      <c r="B599" s="7">
        <v>190</v>
      </c>
      <c r="C599" s="8" t="s">
        <v>467</v>
      </c>
      <c r="D599" s="8" t="s">
        <v>1934</v>
      </c>
      <c r="E599" s="2">
        <f>IFERROR(VLOOKUP(B599,'[1]new sheet'!$A$1:$IV$65536,5,FALSE),0)</f>
        <v>102</v>
      </c>
      <c r="F599" s="3">
        <f>IFERROR(VLOOKUP(B599,'[1]new sheet'!$A$1:$IV$65536,4,FALSE),0)</f>
        <v>2</v>
      </c>
      <c r="G599" s="4">
        <f>IFERROR(VLOOKUP(B599,'[2]new sheet'!$A$1:$IV$65536,2,0),0)</f>
        <v>382</v>
      </c>
      <c r="H599" s="5">
        <f>IFERROR(VLOOKUP(B599,'[3]new sheet'!$A$1:$IV$65536,2,0),0)</f>
        <v>153</v>
      </c>
    </row>
    <row r="600" spans="1:8" ht="24" customHeight="1">
      <c r="A600" s="7"/>
      <c r="B600" s="7">
        <v>912</v>
      </c>
      <c r="C600" s="8" t="s">
        <v>468</v>
      </c>
      <c r="D600" s="8" t="s">
        <v>1934</v>
      </c>
      <c r="E600" s="2">
        <f>IFERROR(VLOOKUP(B600,'[1]new sheet'!$A$1:$IV$65536,5,FALSE),0)</f>
        <v>0</v>
      </c>
      <c r="F600" s="3">
        <f>IFERROR(VLOOKUP(B600,'[1]new sheet'!$A$1:$IV$65536,4,FALSE),0)</f>
        <v>0</v>
      </c>
      <c r="G600" s="4">
        <f>IFERROR(VLOOKUP(B600,'[2]new sheet'!$A$1:$IV$65536,2,0),0)</f>
        <v>0</v>
      </c>
      <c r="H600" s="5">
        <f>IFERROR(VLOOKUP(B600,'[3]new sheet'!$A$1:$IV$65536,2,0),0)</f>
        <v>0</v>
      </c>
    </row>
    <row r="601" spans="1:8" ht="24" customHeight="1">
      <c r="A601" s="7">
        <v>3441</v>
      </c>
      <c r="B601" s="7">
        <v>800</v>
      </c>
      <c r="C601" s="8" t="s">
        <v>469</v>
      </c>
      <c r="D601" s="8" t="s">
        <v>1937</v>
      </c>
      <c r="E601" s="2">
        <f>IFERROR(VLOOKUP(B601,'[1]new sheet'!$A$1:$IV$65536,5,FALSE),0)</f>
        <v>74</v>
      </c>
      <c r="F601" s="3">
        <f>IFERROR(VLOOKUP(B601,'[1]new sheet'!$A$1:$IV$65536,4,FALSE),0)</f>
        <v>0</v>
      </c>
      <c r="G601" s="4">
        <f>IFERROR(VLOOKUP(B601,'[2]new sheet'!$A$1:$IV$65536,2,0),0)</f>
        <v>103</v>
      </c>
      <c r="H601" s="5">
        <f>IFERROR(VLOOKUP(B601,'[3]new sheet'!$A$1:$IV$65536,2,0),0)</f>
        <v>0</v>
      </c>
    </row>
    <row r="602" spans="1:8" ht="24" customHeight="1">
      <c r="A602" s="7">
        <v>4225844</v>
      </c>
      <c r="B602" s="7">
        <v>3879</v>
      </c>
      <c r="C602" s="8" t="s">
        <v>1592</v>
      </c>
      <c r="D602" s="8" t="s">
        <v>1934</v>
      </c>
      <c r="E602" s="2">
        <f>IFERROR(VLOOKUP(B602,'[1]new sheet'!$A$1:$IV$65536,5,FALSE),0)</f>
        <v>0</v>
      </c>
      <c r="F602" s="3">
        <f>IFERROR(VLOOKUP(B602,'[1]new sheet'!$A$1:$IV$65536,4,FALSE),0)</f>
        <v>0</v>
      </c>
      <c r="G602" s="4">
        <f>IFERROR(VLOOKUP(B602,'[2]new sheet'!$A$1:$IV$65536,2,0),0)</f>
        <v>1</v>
      </c>
      <c r="H602" s="5">
        <f>IFERROR(VLOOKUP(B602,'[3]new sheet'!$A$1:$IV$65536,2,0),0)</f>
        <v>0</v>
      </c>
    </row>
    <row r="603" spans="1:8" ht="24" customHeight="1">
      <c r="A603" s="7">
        <v>135123</v>
      </c>
      <c r="B603" s="7">
        <v>4079</v>
      </c>
      <c r="C603" s="8" t="s">
        <v>1704</v>
      </c>
      <c r="D603" s="8" t="s">
        <v>1937</v>
      </c>
      <c r="E603" s="2">
        <f>IFERROR(VLOOKUP(B603,'[1]new sheet'!$A$1:$IV$65536,5,FALSE),0)</f>
        <v>124</v>
      </c>
      <c r="F603" s="3">
        <f>IFERROR(VLOOKUP(B603,'[1]new sheet'!$A$1:$IV$65536,4,FALSE),0)</f>
        <v>0</v>
      </c>
      <c r="G603" s="4">
        <f>IFERROR(VLOOKUP(B603,'[2]new sheet'!$A$1:$IV$65536,2,0),0)</f>
        <v>122</v>
      </c>
      <c r="H603" s="5">
        <f>IFERROR(VLOOKUP(B603,'[3]new sheet'!$A$1:$IV$65536,2,0),0)</f>
        <v>15</v>
      </c>
    </row>
    <row r="604" spans="1:8" ht="24" customHeight="1">
      <c r="A604" s="7">
        <v>135086</v>
      </c>
      <c r="B604" s="7">
        <v>4078</v>
      </c>
      <c r="C604" s="8" t="s">
        <v>1705</v>
      </c>
      <c r="D604" s="8" t="s">
        <v>1937</v>
      </c>
      <c r="E604" s="2">
        <f>IFERROR(VLOOKUP(B604,'[1]new sheet'!$A$1:$IV$65536,5,FALSE),0)</f>
        <v>1080</v>
      </c>
      <c r="F604" s="3">
        <f>IFERROR(VLOOKUP(B604,'[1]new sheet'!$A$1:$IV$65536,4,FALSE),0)</f>
        <v>47</v>
      </c>
      <c r="G604" s="4">
        <f>IFERROR(VLOOKUP(B604,'[2]new sheet'!$A$1:$IV$65536,2,0),0)</f>
        <v>591</v>
      </c>
      <c r="H604" s="5">
        <f>IFERROR(VLOOKUP(B604,'[3]new sheet'!$A$1:$IV$65536,2,0),0)</f>
        <v>214</v>
      </c>
    </row>
    <row r="605" spans="1:8" ht="24" customHeight="1">
      <c r="A605" s="7">
        <v>135131</v>
      </c>
      <c r="B605" s="7">
        <v>4137</v>
      </c>
      <c r="C605" s="8" t="s">
        <v>1750</v>
      </c>
      <c r="D605" s="8" t="s">
        <v>1937</v>
      </c>
      <c r="E605" s="2">
        <f>IFERROR(VLOOKUP(B605,'[1]new sheet'!$A$1:$IV$65536,5,FALSE),0)</f>
        <v>297</v>
      </c>
      <c r="F605" s="3">
        <f>IFERROR(VLOOKUP(B605,'[1]new sheet'!$A$1:$IV$65536,4,FALSE),0)</f>
        <v>62</v>
      </c>
      <c r="G605" s="4">
        <f>IFERROR(VLOOKUP(B605,'[2]new sheet'!$A$1:$IV$65536,2,0),0)</f>
        <v>355</v>
      </c>
      <c r="H605" s="5">
        <f>IFERROR(VLOOKUP(B605,'[3]new sheet'!$A$1:$IV$65536,2,0),0)</f>
        <v>142</v>
      </c>
    </row>
    <row r="606" spans="1:8" ht="24" customHeight="1">
      <c r="A606" s="7">
        <v>156386</v>
      </c>
      <c r="B606" s="7">
        <v>4098</v>
      </c>
      <c r="C606" s="8" t="s">
        <v>1834</v>
      </c>
      <c r="D606" s="8" t="s">
        <v>1937</v>
      </c>
      <c r="E606" s="2">
        <f>IFERROR(VLOOKUP(B606,'[1]new sheet'!$A$1:$IV$65536,5,FALSE),0)</f>
        <v>5</v>
      </c>
      <c r="F606" s="3">
        <f>IFERROR(VLOOKUP(B606,'[1]new sheet'!$A$1:$IV$65536,4,FALSE),0)</f>
        <v>0</v>
      </c>
      <c r="G606" s="4">
        <f>IFERROR(VLOOKUP(B606,'[2]new sheet'!$A$1:$IV$65536,2,0),0)</f>
        <v>62</v>
      </c>
      <c r="H606" s="5">
        <f>IFERROR(VLOOKUP(B606,'[3]new sheet'!$A$1:$IV$65536,2,0),0)</f>
        <v>2</v>
      </c>
    </row>
    <row r="607" spans="1:8" ht="24" customHeight="1">
      <c r="A607" s="7"/>
      <c r="B607" s="7">
        <v>801</v>
      </c>
      <c r="C607" s="8" t="s">
        <v>470</v>
      </c>
      <c r="D607" s="8" t="s">
        <v>1934</v>
      </c>
      <c r="E607" s="2">
        <f>IFERROR(VLOOKUP(B607,'[1]new sheet'!$A$1:$IV$65536,5,FALSE),0)</f>
        <v>0</v>
      </c>
      <c r="F607" s="3">
        <f>IFERROR(VLOOKUP(B607,'[1]new sheet'!$A$1:$IV$65536,4,FALSE),0)</f>
        <v>0</v>
      </c>
      <c r="G607" s="4">
        <f>IFERROR(VLOOKUP(B607,'[2]new sheet'!$A$1:$IV$65536,2,0),0)</f>
        <v>0</v>
      </c>
      <c r="H607" s="5">
        <f>IFERROR(VLOOKUP(B607,'[3]new sheet'!$A$1:$IV$65536,2,0),0)</f>
        <v>0</v>
      </c>
    </row>
    <row r="608" spans="1:8" ht="24" customHeight="1">
      <c r="A608" s="7">
        <v>575828</v>
      </c>
      <c r="B608" s="7">
        <v>538</v>
      </c>
      <c r="C608" s="8" t="s">
        <v>471</v>
      </c>
      <c r="D608" s="8" t="s">
        <v>1934</v>
      </c>
      <c r="E608" s="2">
        <f>IFERROR(VLOOKUP(B608,'[1]new sheet'!$A$1:$IV$65536,5,FALSE),0)</f>
        <v>2</v>
      </c>
      <c r="F608" s="3">
        <f>IFERROR(VLOOKUP(B608,'[1]new sheet'!$A$1:$IV$65536,4,FALSE),0)</f>
        <v>0</v>
      </c>
      <c r="G608" s="4">
        <f>IFERROR(VLOOKUP(B608,'[2]new sheet'!$A$1:$IV$65536,2,0),0)</f>
        <v>0</v>
      </c>
      <c r="H608" s="5">
        <f>IFERROR(VLOOKUP(B608,'[3]new sheet'!$A$1:$IV$65536,2,0),0)</f>
        <v>0</v>
      </c>
    </row>
    <row r="609" spans="1:8" ht="24" customHeight="1">
      <c r="A609" s="7">
        <v>575798</v>
      </c>
      <c r="B609" s="7">
        <v>298</v>
      </c>
      <c r="C609" s="8" t="s">
        <v>472</v>
      </c>
      <c r="D609" s="8" t="s">
        <v>1934</v>
      </c>
      <c r="E609" s="2">
        <f>IFERROR(VLOOKUP(B609,'[1]new sheet'!$A$1:$IV$65536,5,FALSE),0)</f>
        <v>0</v>
      </c>
      <c r="F609" s="3">
        <f>IFERROR(VLOOKUP(B609,'[1]new sheet'!$A$1:$IV$65536,4,FALSE),0)</f>
        <v>0</v>
      </c>
      <c r="G609" s="4">
        <f>IFERROR(VLOOKUP(B609,'[2]new sheet'!$A$1:$IV$65536,2,0),0)</f>
        <v>0</v>
      </c>
      <c r="H609" s="5">
        <f>IFERROR(VLOOKUP(B609,'[3]new sheet'!$A$1:$IV$65536,2,0),0)</f>
        <v>0</v>
      </c>
    </row>
    <row r="610" spans="1:8" ht="24" customHeight="1">
      <c r="A610" s="7">
        <v>996296</v>
      </c>
      <c r="B610" s="7">
        <v>3362</v>
      </c>
      <c r="C610" s="8" t="s">
        <v>473</v>
      </c>
      <c r="D610" s="8" t="s">
        <v>1935</v>
      </c>
      <c r="E610" s="2">
        <f>IFERROR(VLOOKUP(B610,'[1]new sheet'!$A$1:$IV$65536,5,FALSE),0)</f>
        <v>39.99</v>
      </c>
      <c r="F610" s="3">
        <f>IFERROR(VLOOKUP(B610,'[1]new sheet'!$A$1:$IV$65536,4,FALSE),0)</f>
        <v>0</v>
      </c>
      <c r="G610" s="4">
        <f>IFERROR(VLOOKUP(B610,'[2]new sheet'!$A$1:$IV$65536,2,0),0)</f>
        <v>0</v>
      </c>
      <c r="H610" s="5">
        <f>IFERROR(VLOOKUP(B610,'[3]new sheet'!$A$1:$IV$65536,2,0),0)</f>
        <v>0</v>
      </c>
    </row>
    <row r="611" spans="1:8" ht="24" customHeight="1">
      <c r="A611" s="7">
        <v>13203</v>
      </c>
      <c r="B611" s="7">
        <v>4297</v>
      </c>
      <c r="C611" s="8" t="s">
        <v>1887</v>
      </c>
      <c r="D611" s="8" t="s">
        <v>1935</v>
      </c>
      <c r="E611" s="2">
        <f>IFERROR(VLOOKUP(B611,'[1]new sheet'!$A$1:$IV$65536,5,FALSE),0)</f>
        <v>0</v>
      </c>
      <c r="F611" s="3">
        <f>IFERROR(VLOOKUP(B611,'[1]new sheet'!$A$1:$IV$65536,4,FALSE),0)</f>
        <v>0</v>
      </c>
      <c r="G611" s="4">
        <f>IFERROR(VLOOKUP(B611,'[2]new sheet'!$A$1:$IV$65536,2,0),0)</f>
        <v>175.13</v>
      </c>
      <c r="H611" s="5">
        <f>IFERROR(VLOOKUP(B611,'[3]new sheet'!$A$1:$IV$65536,2,0),0)</f>
        <v>2844.69</v>
      </c>
    </row>
    <row r="612" spans="1:8" ht="24" customHeight="1">
      <c r="A612" s="7" t="s">
        <v>474</v>
      </c>
      <c r="B612" s="7">
        <v>107</v>
      </c>
      <c r="C612" s="8" t="s">
        <v>1764</v>
      </c>
      <c r="D612" s="8" t="s">
        <v>1935</v>
      </c>
      <c r="E612" s="2">
        <f>IFERROR(VLOOKUP(B612,'[1]new sheet'!$A$1:$IV$65536,5,FALSE),0)</f>
        <v>0</v>
      </c>
      <c r="F612" s="3">
        <f>IFERROR(VLOOKUP(B612,'[1]new sheet'!$A$1:$IV$65536,4,FALSE),0)</f>
        <v>0</v>
      </c>
      <c r="G612" s="4">
        <f>IFERROR(VLOOKUP(B612,'[2]new sheet'!$A$1:$IV$65536,2,0),0)</f>
        <v>0</v>
      </c>
      <c r="H612" s="5">
        <f>IFERROR(VLOOKUP(B612,'[3]new sheet'!$A$1:$IV$65536,2,0),0)</f>
        <v>0</v>
      </c>
    </row>
    <row r="613" spans="1:8" ht="24" customHeight="1">
      <c r="A613" s="7" t="s">
        <v>475</v>
      </c>
      <c r="B613" s="7">
        <v>108</v>
      </c>
      <c r="C613" s="8" t="s">
        <v>476</v>
      </c>
      <c r="D613" s="8" t="s">
        <v>1935</v>
      </c>
      <c r="E613" s="2">
        <f>IFERROR(VLOOKUP(B613,'[1]new sheet'!$A$1:$IV$65536,5,FALSE),0)</f>
        <v>12.96</v>
      </c>
      <c r="F613" s="3">
        <f>IFERROR(VLOOKUP(B613,'[1]new sheet'!$A$1:$IV$65536,4,FALSE),0)</f>
        <v>0</v>
      </c>
      <c r="G613" s="4">
        <f>IFERROR(VLOOKUP(B613,'[2]new sheet'!$A$1:$IV$65536,2,0),0)</f>
        <v>3830.98</v>
      </c>
      <c r="H613" s="5">
        <f>IFERROR(VLOOKUP(B613,'[3]new sheet'!$A$1:$IV$65536,2,0),0)</f>
        <v>45.47</v>
      </c>
    </row>
    <row r="614" spans="1:8" ht="24" customHeight="1">
      <c r="A614" s="7" t="s">
        <v>477</v>
      </c>
      <c r="B614" s="7">
        <v>539</v>
      </c>
      <c r="C614" s="8" t="s">
        <v>478</v>
      </c>
      <c r="D614" s="8" t="s">
        <v>1935</v>
      </c>
      <c r="E614" s="2">
        <f>IFERROR(VLOOKUP(B614,'[1]new sheet'!$A$1:$IV$65536,5,FALSE),0)</f>
        <v>0</v>
      </c>
      <c r="F614" s="3">
        <f>IFERROR(VLOOKUP(B614,'[1]new sheet'!$A$1:$IV$65536,4,FALSE),0)</f>
        <v>0</v>
      </c>
      <c r="G614" s="4">
        <f>IFERROR(VLOOKUP(B614,'[2]new sheet'!$A$1:$IV$65536,2,0),0)</f>
        <v>0</v>
      </c>
      <c r="H614" s="5">
        <f>IFERROR(VLOOKUP(B614,'[3]new sheet'!$A$1:$IV$65536,2,0),0)</f>
        <v>0</v>
      </c>
    </row>
    <row r="615" spans="1:8" ht="24" customHeight="1">
      <c r="A615" s="7"/>
      <c r="B615" s="7">
        <v>88</v>
      </c>
      <c r="C615" s="8" t="s">
        <v>479</v>
      </c>
      <c r="D615" s="8" t="s">
        <v>1935</v>
      </c>
      <c r="E615" s="2">
        <f>IFERROR(VLOOKUP(B615,'[1]new sheet'!$A$1:$IV$65536,5,FALSE),0)</f>
        <v>0</v>
      </c>
      <c r="F615" s="3">
        <f>IFERROR(VLOOKUP(B615,'[1]new sheet'!$A$1:$IV$65536,4,FALSE),0)</f>
        <v>0</v>
      </c>
      <c r="G615" s="4">
        <f>IFERROR(VLOOKUP(B615,'[2]new sheet'!$A$1:$IV$65536,2,0),0)</f>
        <v>0</v>
      </c>
      <c r="H615" s="5">
        <f>IFERROR(VLOOKUP(B615,'[3]new sheet'!$A$1:$IV$65536,2,0),0)</f>
        <v>0</v>
      </c>
    </row>
    <row r="616" spans="1:8" ht="24" customHeight="1">
      <c r="A616" s="7">
        <v>71200</v>
      </c>
      <c r="B616" s="7">
        <v>4257</v>
      </c>
      <c r="C616" s="8" t="s">
        <v>1888</v>
      </c>
      <c r="D616" s="8" t="s">
        <v>1935</v>
      </c>
      <c r="E616" s="2">
        <f>IFERROR(VLOOKUP(B616,'[1]new sheet'!$A$1:$IV$65536,5,FALSE),0)</f>
        <v>2534.46</v>
      </c>
      <c r="F616" s="3">
        <f>IFERROR(VLOOKUP(B616,'[1]new sheet'!$A$1:$IV$65536,4,FALSE),0)</f>
        <v>160</v>
      </c>
      <c r="G616" s="4">
        <f>IFERROR(VLOOKUP(B616,'[2]new sheet'!$A$1:$IV$65536,2,0),0)</f>
        <v>182.02</v>
      </c>
      <c r="H616" s="5">
        <f>IFERROR(VLOOKUP(B616,'[3]new sheet'!$A$1:$IV$65536,2,0),0)</f>
        <v>298.88</v>
      </c>
    </row>
    <row r="617" spans="1:8" ht="24" customHeight="1">
      <c r="A617" s="7"/>
      <c r="B617" s="7">
        <v>38</v>
      </c>
      <c r="C617" s="8" t="s">
        <v>480</v>
      </c>
      <c r="D617" s="8" t="s">
        <v>1934</v>
      </c>
      <c r="E617" s="2">
        <f>IFERROR(VLOOKUP(B617,'[1]new sheet'!$A$1:$IV$65536,5,FALSE),0)</f>
        <v>0</v>
      </c>
      <c r="F617" s="3">
        <f>IFERROR(VLOOKUP(B617,'[1]new sheet'!$A$1:$IV$65536,4,FALSE),0)</f>
        <v>0</v>
      </c>
      <c r="G617" s="4">
        <f>IFERROR(VLOOKUP(B617,'[2]new sheet'!$A$1:$IV$65536,2,0),0)</f>
        <v>0</v>
      </c>
      <c r="H617" s="5">
        <f>IFERROR(VLOOKUP(B617,'[3]new sheet'!$A$1:$IV$65536,2,0),0)</f>
        <v>0</v>
      </c>
    </row>
    <row r="618" spans="1:8" s="6" customFormat="1" ht="24" customHeight="1">
      <c r="A618" s="7">
        <v>42</v>
      </c>
      <c r="B618" s="7">
        <v>3211</v>
      </c>
      <c r="C618" s="8" t="s">
        <v>481</v>
      </c>
      <c r="D618" s="8" t="s">
        <v>1934</v>
      </c>
      <c r="E618" s="2">
        <f>IFERROR(VLOOKUP(B618,'[1]new sheet'!$A$1:$IV$65536,5,FALSE),0)</f>
        <v>0</v>
      </c>
      <c r="F618" s="3">
        <f>IFERROR(VLOOKUP(B618,'[1]new sheet'!$A$1:$IV$65536,4,FALSE),0)</f>
        <v>1</v>
      </c>
      <c r="G618" s="11">
        <f>IFERROR(VLOOKUP(B618,'[2]new sheet'!$A$1:$IV$65536,2,0),0)</f>
        <v>89</v>
      </c>
      <c r="H618" s="5">
        <f>IFERROR(VLOOKUP(B618,'[3]new sheet'!$A$1:$IV$65536,2,0),0)</f>
        <v>8</v>
      </c>
    </row>
    <row r="619" spans="1:8" ht="24" customHeight="1">
      <c r="A619" s="7">
        <v>502</v>
      </c>
      <c r="B619" s="7">
        <v>39</v>
      </c>
      <c r="C619" s="8" t="s">
        <v>482</v>
      </c>
      <c r="D619" s="8" t="s">
        <v>1934</v>
      </c>
      <c r="E619" s="2">
        <f>IFERROR(VLOOKUP(B619,'[1]new sheet'!$A$1:$IV$65536,5,FALSE),0)</f>
        <v>86</v>
      </c>
      <c r="F619" s="3">
        <f>IFERROR(VLOOKUP(B619,'[1]new sheet'!$A$1:$IV$65536,4,FALSE),0)</f>
        <v>0</v>
      </c>
      <c r="G619" s="4">
        <f>IFERROR(VLOOKUP(B619,'[2]new sheet'!$A$1:$IV$65536,2,0),0)</f>
        <v>32</v>
      </c>
      <c r="H619" s="5">
        <f>IFERROR(VLOOKUP(B619,'[3]new sheet'!$A$1:$IV$65536,2,0),0)</f>
        <v>33</v>
      </c>
    </row>
    <row r="620" spans="1:8" ht="24" customHeight="1">
      <c r="A620" s="7"/>
      <c r="B620" s="7">
        <v>540</v>
      </c>
      <c r="C620" s="8" t="s">
        <v>483</v>
      </c>
      <c r="D620" s="8" t="s">
        <v>1934</v>
      </c>
      <c r="E620" s="2">
        <f>IFERROR(VLOOKUP(B620,'[1]new sheet'!$A$1:$IV$65536,5,FALSE),0)</f>
        <v>0</v>
      </c>
      <c r="F620" s="3">
        <f>IFERROR(VLOOKUP(B620,'[1]new sheet'!$A$1:$IV$65536,4,FALSE),0)</f>
        <v>0</v>
      </c>
      <c r="G620" s="4">
        <f>IFERROR(VLOOKUP(B620,'[2]new sheet'!$A$1:$IV$65536,2,0),0)</f>
        <v>0</v>
      </c>
      <c r="H620" s="5">
        <f>IFERROR(VLOOKUP(B620,'[3]new sheet'!$A$1:$IV$65536,2,0),0)</f>
        <v>0</v>
      </c>
    </row>
    <row r="621" spans="1:8" ht="24" customHeight="1">
      <c r="A621" s="7">
        <v>1000972</v>
      </c>
      <c r="B621" s="7">
        <v>889</v>
      </c>
      <c r="C621" s="8" t="s">
        <v>484</v>
      </c>
      <c r="D621" s="8" t="s">
        <v>1934</v>
      </c>
      <c r="E621" s="2">
        <f>IFERROR(VLOOKUP(B621,'[1]new sheet'!$A$1:$IV$65536,5,FALSE),0)</f>
        <v>0</v>
      </c>
      <c r="F621" s="3">
        <f>IFERROR(VLOOKUP(B621,'[1]new sheet'!$A$1:$IV$65536,4,FALSE),0)</f>
        <v>0</v>
      </c>
      <c r="G621" s="4">
        <f>IFERROR(VLOOKUP(B621,'[2]new sheet'!$A$1:$IV$65536,2,0),0)</f>
        <v>0</v>
      </c>
      <c r="H621" s="5">
        <f>IFERROR(VLOOKUP(B621,'[3]new sheet'!$A$1:$IV$65536,2,0),0)</f>
        <v>0</v>
      </c>
    </row>
    <row r="622" spans="1:8" ht="24" customHeight="1">
      <c r="A622" s="7">
        <v>1000972</v>
      </c>
      <c r="B622" s="7">
        <v>2190</v>
      </c>
      <c r="C622" s="8" t="s">
        <v>485</v>
      </c>
      <c r="D622" s="8" t="s">
        <v>1934</v>
      </c>
      <c r="E622" s="2">
        <f>IFERROR(VLOOKUP(B622,'[1]new sheet'!$A$1:$IV$65536,5,FALSE),0)</f>
        <v>87</v>
      </c>
      <c r="F622" s="3">
        <f>IFERROR(VLOOKUP(B622,'[1]new sheet'!$A$1:$IV$65536,4,FALSE),0)</f>
        <v>0</v>
      </c>
      <c r="G622" s="4">
        <f>IFERROR(VLOOKUP(B622,'[2]new sheet'!$A$1:$IV$65536,2,0),0)</f>
        <v>67</v>
      </c>
      <c r="H622" s="5">
        <f>IFERROR(VLOOKUP(B622,'[3]new sheet'!$A$1:$IV$65536,2,0),0)</f>
        <v>13</v>
      </c>
    </row>
    <row r="623" spans="1:8" ht="24" customHeight="1">
      <c r="A623" s="7">
        <v>54632</v>
      </c>
      <c r="B623" s="7">
        <v>936</v>
      </c>
      <c r="C623" s="8" t="s">
        <v>486</v>
      </c>
      <c r="D623" s="8" t="s">
        <v>1934</v>
      </c>
      <c r="E623" s="2">
        <f>IFERROR(VLOOKUP(B623,'[1]new sheet'!$A$1:$IV$65536,5,FALSE),0)</f>
        <v>8</v>
      </c>
      <c r="F623" s="3">
        <f>IFERROR(VLOOKUP(B623,'[1]new sheet'!$A$1:$IV$65536,4,FALSE),0)</f>
        <v>0</v>
      </c>
      <c r="G623" s="4">
        <f>IFERROR(VLOOKUP(B623,'[2]new sheet'!$A$1:$IV$65536,2,0),0)</f>
        <v>19</v>
      </c>
      <c r="H623" s="5">
        <f>IFERROR(VLOOKUP(B623,'[3]new sheet'!$A$1:$IV$65536,2,0),0)</f>
        <v>6</v>
      </c>
    </row>
    <row r="624" spans="1:8" ht="21.75" customHeight="1">
      <c r="A624" s="7">
        <v>3005580</v>
      </c>
      <c r="B624" s="7">
        <v>4164</v>
      </c>
      <c r="C624" s="8" t="s">
        <v>1835</v>
      </c>
      <c r="D624" s="8" t="s">
        <v>1934</v>
      </c>
      <c r="E624" s="2">
        <f>IFERROR(VLOOKUP(B624,'[1]new sheet'!$A$1:$IV$65536,5,FALSE),0)</f>
        <v>45</v>
      </c>
      <c r="F624" s="3">
        <f>IFERROR(VLOOKUP(B624,'[1]new sheet'!$A$1:$IV$65536,4,FALSE),0)</f>
        <v>0</v>
      </c>
      <c r="G624" s="4">
        <f>IFERROR(VLOOKUP(B624,'[2]new sheet'!$A$1:$IV$65536,2,0),0)</f>
        <v>1</v>
      </c>
      <c r="H624" s="5">
        <f>IFERROR(VLOOKUP(B624,'[3]new sheet'!$A$1:$IV$65536,2,0),0)</f>
        <v>0</v>
      </c>
    </row>
    <row r="625" spans="1:8" s="6" customFormat="1" ht="24" customHeight="1">
      <c r="A625" s="7"/>
      <c r="B625" s="7">
        <v>2374</v>
      </c>
      <c r="C625" s="8" t="s">
        <v>487</v>
      </c>
      <c r="D625" s="8" t="s">
        <v>1935</v>
      </c>
      <c r="E625" s="2">
        <f>IFERROR(VLOOKUP(B625,'[1]new sheet'!$A$1:$IV$65536,5,FALSE),0)</f>
        <v>0</v>
      </c>
      <c r="F625" s="3">
        <f>IFERROR(VLOOKUP(B625,'[1]new sheet'!$A$1:$IV$65536,4,FALSE),0)</f>
        <v>0</v>
      </c>
      <c r="G625" s="11">
        <f>IFERROR(VLOOKUP(B625,'[2]new sheet'!$A$1:$IV$65536,2,0),0)</f>
        <v>0</v>
      </c>
      <c r="H625" s="5">
        <f>IFERROR(VLOOKUP(B625,'[3]new sheet'!$A$1:$IV$65536,2,0),0)</f>
        <v>0</v>
      </c>
    </row>
    <row r="626" spans="1:8" ht="24" customHeight="1">
      <c r="A626" s="7">
        <v>3002323</v>
      </c>
      <c r="B626" s="7">
        <v>4154</v>
      </c>
      <c r="C626" s="8" t="s">
        <v>1760</v>
      </c>
      <c r="D626" s="8" t="s">
        <v>1934</v>
      </c>
      <c r="E626" s="2">
        <f>IFERROR(VLOOKUP(B626,'[1]new sheet'!$A$1:$IV$65536,5,FALSE),0)</f>
        <v>0</v>
      </c>
      <c r="F626" s="3">
        <f>IFERROR(VLOOKUP(B626,'[1]new sheet'!$A$1:$IV$65536,4,FALSE),0)</f>
        <v>0</v>
      </c>
      <c r="G626" s="4">
        <f>IFERROR(VLOOKUP(B626,'[2]new sheet'!$A$1:$IV$65536,2,0),0)</f>
        <v>0</v>
      </c>
      <c r="H626" s="5">
        <f>IFERROR(VLOOKUP(B626,'[3]new sheet'!$A$1:$IV$65536,2,0),0)</f>
        <v>0</v>
      </c>
    </row>
    <row r="627" spans="1:8" ht="24" customHeight="1">
      <c r="A627" s="7">
        <v>993202</v>
      </c>
      <c r="B627" s="7">
        <v>1414</v>
      </c>
      <c r="C627" s="8" t="s">
        <v>488</v>
      </c>
      <c r="D627" s="8" t="s">
        <v>1934</v>
      </c>
      <c r="E627" s="2">
        <f>IFERROR(VLOOKUP(B627,'[1]new sheet'!$A$1:$IV$65536,5,FALSE),0)</f>
        <v>0</v>
      </c>
      <c r="F627" s="3">
        <f>IFERROR(VLOOKUP(B627,'[1]new sheet'!$A$1:$IV$65536,4,FALSE),0)</f>
        <v>6</v>
      </c>
      <c r="G627" s="4">
        <f>IFERROR(VLOOKUP(B627,'[2]new sheet'!$A$1:$IV$65536,2,0),0)</f>
        <v>8</v>
      </c>
      <c r="H627" s="5">
        <f>IFERROR(VLOOKUP(B627,'[3]new sheet'!$A$1:$IV$65536,2,0),0)</f>
        <v>18</v>
      </c>
    </row>
    <row r="628" spans="1:8" ht="24" customHeight="1">
      <c r="A628" s="7">
        <v>995432</v>
      </c>
      <c r="B628" s="7">
        <v>296</v>
      </c>
      <c r="C628" s="8" t="s">
        <v>489</v>
      </c>
      <c r="D628" s="8" t="s">
        <v>1934</v>
      </c>
      <c r="E628" s="2">
        <f>IFERROR(VLOOKUP(B628,'[1]new sheet'!$A$1:$IV$65536,5,FALSE),0)</f>
        <v>27</v>
      </c>
      <c r="F628" s="3">
        <f>IFERROR(VLOOKUP(B628,'[1]new sheet'!$A$1:$IV$65536,4,FALSE),0)</f>
        <v>0</v>
      </c>
      <c r="G628" s="4">
        <f>IFERROR(VLOOKUP(B628,'[2]new sheet'!$A$1:$IV$65536,2,0),0)</f>
        <v>8</v>
      </c>
      <c r="H628" s="5">
        <f>IFERROR(VLOOKUP(B628,'[3]new sheet'!$A$1:$IV$65536,2,0),0)</f>
        <v>1</v>
      </c>
    </row>
    <row r="629" spans="1:8" ht="24" customHeight="1">
      <c r="A629" s="7">
        <v>45159</v>
      </c>
      <c r="B629" s="7">
        <v>295</v>
      </c>
      <c r="C629" s="8" t="s">
        <v>490</v>
      </c>
      <c r="D629" s="8" t="s">
        <v>1934</v>
      </c>
      <c r="E629" s="2">
        <f>IFERROR(VLOOKUP(B629,'[1]new sheet'!$A$1:$IV$65536,5,FALSE),0)</f>
        <v>0</v>
      </c>
      <c r="F629" s="3">
        <f>IFERROR(VLOOKUP(B629,'[1]new sheet'!$A$1:$IV$65536,4,FALSE),0)</f>
        <v>0</v>
      </c>
      <c r="G629" s="4">
        <f>IFERROR(VLOOKUP(B629,'[2]new sheet'!$A$1:$IV$65536,2,0),0)</f>
        <v>0</v>
      </c>
      <c r="H629" s="5">
        <f>IFERROR(VLOOKUP(B629,'[3]new sheet'!$A$1:$IV$65536,2,0),0)</f>
        <v>0</v>
      </c>
    </row>
    <row r="630" spans="1:8" ht="24" customHeight="1">
      <c r="A630" s="7">
        <v>134</v>
      </c>
      <c r="B630" s="7">
        <v>4306</v>
      </c>
      <c r="C630" s="8" t="s">
        <v>1919</v>
      </c>
      <c r="D630" s="8" t="s">
        <v>1934</v>
      </c>
      <c r="E630" s="2">
        <f>IFERROR(VLOOKUP(B630,'[1]new sheet'!$A$1:$IV$65536,5,FALSE),0)</f>
        <v>97</v>
      </c>
      <c r="F630" s="3">
        <f>IFERROR(VLOOKUP(B630,'[1]new sheet'!$A$1:$IV$65536,4,FALSE),0)</f>
        <v>0</v>
      </c>
      <c r="G630" s="4">
        <f>IFERROR(VLOOKUP(B630,'[2]new sheet'!$A$1:$IV$65536,2,0),0)</f>
        <v>0</v>
      </c>
      <c r="H630" s="5">
        <f>IFERROR(VLOOKUP(B630,'[3]new sheet'!$A$1:$IV$65536,2,0),0)</f>
        <v>2</v>
      </c>
    </row>
    <row r="631" spans="1:8" ht="24" customHeight="1">
      <c r="A631" s="7">
        <v>135</v>
      </c>
      <c r="B631" s="7">
        <v>4307</v>
      </c>
      <c r="C631" s="8" t="s">
        <v>1920</v>
      </c>
      <c r="D631" s="8" t="s">
        <v>1934</v>
      </c>
      <c r="E631" s="2">
        <f>IFERROR(VLOOKUP(B631,'[1]new sheet'!$A$1:$IV$65536,5,FALSE),0)</f>
        <v>67</v>
      </c>
      <c r="F631" s="3">
        <f>IFERROR(VLOOKUP(B631,'[1]new sheet'!$A$1:$IV$65536,4,FALSE),0)</f>
        <v>0</v>
      </c>
      <c r="G631" s="4">
        <f>IFERROR(VLOOKUP(B631,'[2]new sheet'!$A$1:$IV$65536,2,0),0)</f>
        <v>0</v>
      </c>
      <c r="H631" s="5">
        <f>IFERROR(VLOOKUP(B631,'[3]new sheet'!$A$1:$IV$65536,2,0),0)</f>
        <v>1</v>
      </c>
    </row>
    <row r="632" spans="1:8" ht="24" customHeight="1">
      <c r="A632" s="7" t="s">
        <v>491</v>
      </c>
      <c r="B632" s="7">
        <v>135</v>
      </c>
      <c r="C632" s="8" t="s">
        <v>492</v>
      </c>
      <c r="D632" s="8" t="s">
        <v>1934</v>
      </c>
      <c r="E632" s="2">
        <f>IFERROR(VLOOKUP(B632,'[1]new sheet'!$A$1:$IV$65536,5,FALSE),0)</f>
        <v>181</v>
      </c>
      <c r="F632" s="3">
        <f>IFERROR(VLOOKUP(B632,'[1]new sheet'!$A$1:$IV$65536,4,FALSE),0)</f>
        <v>1</v>
      </c>
      <c r="G632" s="4">
        <f>IFERROR(VLOOKUP(B632,'[2]new sheet'!$A$1:$IV$65536,2,0),0)</f>
        <v>42</v>
      </c>
      <c r="H632" s="5">
        <f>IFERROR(VLOOKUP(B632,'[3]new sheet'!$A$1:$IV$65536,2,0),0)</f>
        <v>15</v>
      </c>
    </row>
    <row r="633" spans="1:8" ht="24" customHeight="1">
      <c r="A633" s="7">
        <v>0</v>
      </c>
      <c r="B633" s="7">
        <v>3915</v>
      </c>
      <c r="C633" s="8" t="s">
        <v>1610</v>
      </c>
      <c r="D633" s="8" t="s">
        <v>1934</v>
      </c>
      <c r="E633" s="2">
        <f>IFERROR(VLOOKUP(B633,'[1]new sheet'!$A$1:$IV$65536,5,FALSE),0)</f>
        <v>0</v>
      </c>
      <c r="F633" s="3">
        <f>IFERROR(VLOOKUP(B633,'[1]new sheet'!$A$1:$IV$65536,4,FALSE),0)</f>
        <v>0</v>
      </c>
      <c r="G633" s="4">
        <f>IFERROR(VLOOKUP(B633,'[2]new sheet'!$A$1:$IV$65536,2,0),0)</f>
        <v>0</v>
      </c>
      <c r="H633" s="5">
        <f>IFERROR(VLOOKUP(B633,'[3]new sheet'!$A$1:$IV$65536,2,0),0)</f>
        <v>0</v>
      </c>
    </row>
    <row r="634" spans="1:8" ht="24" customHeight="1">
      <c r="A634" s="7">
        <v>56058</v>
      </c>
      <c r="B634" s="7">
        <v>136</v>
      </c>
      <c r="C634" s="8" t="s">
        <v>493</v>
      </c>
      <c r="D634" s="8" t="s">
        <v>1934</v>
      </c>
      <c r="E634" s="2">
        <f>IFERROR(VLOOKUP(B634,'[1]new sheet'!$A$1:$IV$65536,5,FALSE),0)</f>
        <v>0</v>
      </c>
      <c r="F634" s="3">
        <f>IFERROR(VLOOKUP(B634,'[1]new sheet'!$A$1:$IV$65536,4,FALSE),0)</f>
        <v>0</v>
      </c>
      <c r="G634" s="4">
        <f>IFERROR(VLOOKUP(B634,'[2]new sheet'!$A$1:$IV$65536,2,0),0)</f>
        <v>0</v>
      </c>
      <c r="H634" s="5">
        <f>IFERROR(VLOOKUP(B634,'[3]new sheet'!$A$1:$IV$65536,2,0),0)</f>
        <v>0</v>
      </c>
    </row>
    <row r="635" spans="1:8" ht="24" customHeight="1">
      <c r="A635" s="7"/>
      <c r="B635" s="7">
        <v>802</v>
      </c>
      <c r="C635" s="8" t="s">
        <v>494</v>
      </c>
      <c r="D635" s="8" t="s">
        <v>1934</v>
      </c>
      <c r="E635" s="2">
        <f>IFERROR(VLOOKUP(B635,'[1]new sheet'!$A$1:$IV$65536,5,FALSE),0)</f>
        <v>0</v>
      </c>
      <c r="F635" s="3">
        <f>IFERROR(VLOOKUP(B635,'[1]new sheet'!$A$1:$IV$65536,4,FALSE),0)</f>
        <v>0</v>
      </c>
      <c r="G635" s="4">
        <f>IFERROR(VLOOKUP(B635,'[2]new sheet'!$A$1:$IV$65536,2,0),0)</f>
        <v>0</v>
      </c>
      <c r="H635" s="5">
        <f>IFERROR(VLOOKUP(B635,'[3]new sheet'!$A$1:$IV$65536,2,0),0)</f>
        <v>0</v>
      </c>
    </row>
    <row r="636" spans="1:8" ht="24" customHeight="1">
      <c r="A636" s="7">
        <v>263</v>
      </c>
      <c r="B636" s="7">
        <v>3349</v>
      </c>
      <c r="C636" s="8" t="s">
        <v>495</v>
      </c>
      <c r="D636" s="8" t="s">
        <v>1934</v>
      </c>
      <c r="E636" s="2">
        <f>IFERROR(VLOOKUP(B636,'[1]new sheet'!$A$1:$IV$65536,5,FALSE),0)</f>
        <v>0</v>
      </c>
      <c r="F636" s="3">
        <f>IFERROR(VLOOKUP(B636,'[1]new sheet'!$A$1:$IV$65536,4,FALSE),0)</f>
        <v>0</v>
      </c>
      <c r="G636" s="4">
        <f>IFERROR(VLOOKUP(B636,'[2]new sheet'!$A$1:$IV$65536,2,0),0)</f>
        <v>0</v>
      </c>
      <c r="H636" s="5">
        <f>IFERROR(VLOOKUP(B636,'[3]new sheet'!$A$1:$IV$65536,2,0),0)</f>
        <v>0</v>
      </c>
    </row>
    <row r="637" spans="1:8" ht="24" customHeight="1">
      <c r="A637" s="7">
        <v>1490009</v>
      </c>
      <c r="B637" s="7">
        <v>1925</v>
      </c>
      <c r="C637" s="8" t="s">
        <v>496</v>
      </c>
      <c r="D637" s="8" t="s">
        <v>1934</v>
      </c>
      <c r="E637" s="2">
        <f>IFERROR(VLOOKUP(B637,'[1]new sheet'!$A$1:$IV$65536,5,FALSE),0)</f>
        <v>0</v>
      </c>
      <c r="F637" s="3">
        <f>IFERROR(VLOOKUP(B637,'[1]new sheet'!$A$1:$IV$65536,4,FALSE),0)</f>
        <v>0</v>
      </c>
      <c r="G637" s="4">
        <f>IFERROR(VLOOKUP(B637,'[2]new sheet'!$A$1:$IV$65536,2,0),0)</f>
        <v>0</v>
      </c>
      <c r="H637" s="5">
        <f>IFERROR(VLOOKUP(B637,'[3]new sheet'!$A$1:$IV$65536,2,0),0)</f>
        <v>0</v>
      </c>
    </row>
    <row r="638" spans="1:8" ht="24" customHeight="1">
      <c r="A638" s="7" t="s">
        <v>497</v>
      </c>
      <c r="B638" s="7">
        <v>2321</v>
      </c>
      <c r="C638" s="8" t="s">
        <v>498</v>
      </c>
      <c r="D638" s="8" t="s">
        <v>1934</v>
      </c>
      <c r="E638" s="2">
        <f>IFERROR(VLOOKUP(B638,'[1]new sheet'!$A$1:$IV$65536,5,FALSE),0)</f>
        <v>0</v>
      </c>
      <c r="F638" s="3">
        <f>IFERROR(VLOOKUP(B638,'[1]new sheet'!$A$1:$IV$65536,4,FALSE),0)</f>
        <v>0</v>
      </c>
      <c r="G638" s="4">
        <f>IFERROR(VLOOKUP(B638,'[2]new sheet'!$A$1:$IV$65536,2,0),0)</f>
        <v>0</v>
      </c>
      <c r="H638" s="5">
        <f>IFERROR(VLOOKUP(B638,'[3]new sheet'!$A$1:$IV$65536,2,0),0)</f>
        <v>0</v>
      </c>
    </row>
    <row r="639" spans="1:8" ht="24" customHeight="1">
      <c r="A639" s="7">
        <v>688</v>
      </c>
      <c r="B639" s="7">
        <v>3974</v>
      </c>
      <c r="C639" s="8" t="s">
        <v>1665</v>
      </c>
      <c r="D639" s="8" t="s">
        <v>1934</v>
      </c>
      <c r="E639" s="2">
        <f>IFERROR(VLOOKUP(B639,'[1]new sheet'!$A$1:$IV$65536,5,FALSE),0)</f>
        <v>0</v>
      </c>
      <c r="F639" s="3">
        <f>IFERROR(VLOOKUP(B639,'[1]new sheet'!$A$1:$IV$65536,4,FALSE),0)</f>
        <v>0</v>
      </c>
      <c r="G639" s="4">
        <f>IFERROR(VLOOKUP(B639,'[2]new sheet'!$A$1:$IV$65536,2,0),0)</f>
        <v>0</v>
      </c>
      <c r="H639" s="5">
        <f>IFERROR(VLOOKUP(B639,'[3]new sheet'!$A$1:$IV$65536,2,0),0)</f>
        <v>0</v>
      </c>
    </row>
    <row r="640" spans="1:8" ht="24" customHeight="1">
      <c r="A640" s="7">
        <v>1821</v>
      </c>
      <c r="B640" s="7">
        <v>47</v>
      </c>
      <c r="C640" s="8" t="s">
        <v>1871</v>
      </c>
      <c r="D640" s="8" t="s">
        <v>1934</v>
      </c>
      <c r="E640" s="2">
        <f>IFERROR(VLOOKUP(B640,'[1]new sheet'!$A$1:$IV$65536,5,FALSE),0)</f>
        <v>624</v>
      </c>
      <c r="F640" s="3">
        <f>IFERROR(VLOOKUP(B640,'[1]new sheet'!$A$1:$IV$65536,4,FALSE),0)</f>
        <v>8</v>
      </c>
      <c r="G640" s="4">
        <f>IFERROR(VLOOKUP(B640,'[2]new sheet'!$A$1:$IV$65536,2,0),0)</f>
        <v>247</v>
      </c>
      <c r="H640" s="5">
        <f>IFERROR(VLOOKUP(B640,'[3]new sheet'!$A$1:$IV$65536,2,0),0)</f>
        <v>324</v>
      </c>
    </row>
    <row r="641" spans="1:8" ht="24" customHeight="1">
      <c r="A641" s="7" t="s">
        <v>499</v>
      </c>
      <c r="B641" s="7">
        <v>541</v>
      </c>
      <c r="C641" s="8" t="s">
        <v>500</v>
      </c>
      <c r="D641" s="8" t="s">
        <v>1934</v>
      </c>
      <c r="E641" s="2">
        <f>IFERROR(VLOOKUP(B641,'[1]new sheet'!$A$1:$IV$65536,5,FALSE),0)</f>
        <v>0</v>
      </c>
      <c r="F641" s="3">
        <f>IFERROR(VLOOKUP(B641,'[1]new sheet'!$A$1:$IV$65536,4,FALSE),0)</f>
        <v>0</v>
      </c>
      <c r="G641" s="4">
        <f>IFERROR(VLOOKUP(B641,'[2]new sheet'!$A$1:$IV$65536,2,0),0)</f>
        <v>0</v>
      </c>
      <c r="H641" s="5">
        <f>IFERROR(VLOOKUP(B641,'[3]new sheet'!$A$1:$IV$65536,2,0),0)</f>
        <v>0</v>
      </c>
    </row>
    <row r="642" spans="1:8" ht="24" customHeight="1">
      <c r="A642" s="7">
        <v>14614</v>
      </c>
      <c r="B642" s="7">
        <v>2363</v>
      </c>
      <c r="C642" s="8" t="s">
        <v>501</v>
      </c>
      <c r="D642" s="8" t="s">
        <v>1934</v>
      </c>
      <c r="E642" s="2">
        <f>IFERROR(VLOOKUP(B642,'[1]new sheet'!$A$1:$IV$65536,5,FALSE),0)</f>
        <v>90</v>
      </c>
      <c r="F642" s="3">
        <f>IFERROR(VLOOKUP(B642,'[1]new sheet'!$A$1:$IV$65536,4,FALSE),0)</f>
        <v>2</v>
      </c>
      <c r="G642" s="4">
        <f>IFERROR(VLOOKUP(B642,'[2]new sheet'!$A$1:$IV$65536,2,0),0)</f>
        <v>195</v>
      </c>
      <c r="H642" s="5">
        <f>IFERROR(VLOOKUP(B642,'[3]new sheet'!$A$1:$IV$65536,2,0),0)</f>
        <v>46</v>
      </c>
    </row>
    <row r="643" spans="1:8" ht="24" customHeight="1">
      <c r="A643" s="7">
        <v>1000644</v>
      </c>
      <c r="B643" s="7">
        <v>994</v>
      </c>
      <c r="C643" s="8" t="s">
        <v>502</v>
      </c>
      <c r="D643" s="8" t="s">
        <v>1934</v>
      </c>
      <c r="E643" s="2">
        <f>IFERROR(VLOOKUP(B643,'[1]new sheet'!$A$1:$IV$65536,5,FALSE),0)</f>
        <v>0</v>
      </c>
      <c r="F643" s="3">
        <f>IFERROR(VLOOKUP(B643,'[1]new sheet'!$A$1:$IV$65536,4,FALSE),0)</f>
        <v>0</v>
      </c>
      <c r="G643" s="4">
        <f>IFERROR(VLOOKUP(B643,'[2]new sheet'!$A$1:$IV$65536,2,0),0)</f>
        <v>761</v>
      </c>
      <c r="H643" s="5">
        <f>IFERROR(VLOOKUP(B643,'[3]new sheet'!$A$1:$IV$65536,2,0),0)</f>
        <v>0</v>
      </c>
    </row>
    <row r="644" spans="1:8" ht="24" customHeight="1">
      <c r="A644" s="7">
        <v>15105</v>
      </c>
      <c r="B644" s="7">
        <v>803</v>
      </c>
      <c r="C644" s="8" t="s">
        <v>1872</v>
      </c>
      <c r="D644" s="8" t="s">
        <v>1934</v>
      </c>
      <c r="E644" s="2">
        <f>IFERROR(VLOOKUP(B644,'[1]new sheet'!$A$1:$IV$65536,5,FALSE),0)</f>
        <v>1582</v>
      </c>
      <c r="F644" s="3">
        <f>IFERROR(VLOOKUP(B644,'[1]new sheet'!$A$1:$IV$65536,4,FALSE),0)</f>
        <v>3</v>
      </c>
      <c r="G644" s="4">
        <f>IFERROR(VLOOKUP(B644,'[2]new sheet'!$A$1:$IV$65536,2,0),0)</f>
        <v>512</v>
      </c>
      <c r="H644" s="5">
        <f>IFERROR(VLOOKUP(B644,'[3]new sheet'!$A$1:$IV$65536,2,0),0)</f>
        <v>155</v>
      </c>
    </row>
    <row r="645" spans="1:8" ht="24" customHeight="1">
      <c r="A645" s="7"/>
      <c r="B645" s="7">
        <v>2841</v>
      </c>
      <c r="C645" s="8" t="s">
        <v>503</v>
      </c>
      <c r="D645" s="8" t="s">
        <v>1934</v>
      </c>
      <c r="E645" s="2">
        <f>IFERROR(VLOOKUP(B645,'[1]new sheet'!$A$1:$IV$65536,5,FALSE),0)</f>
        <v>0</v>
      </c>
      <c r="F645" s="3">
        <f>IFERROR(VLOOKUP(B645,'[1]new sheet'!$A$1:$IV$65536,4,FALSE),0)</f>
        <v>0</v>
      </c>
      <c r="G645" s="4">
        <f>IFERROR(VLOOKUP(B645,'[2]new sheet'!$A$1:$IV$65536,2,0),0)</f>
        <v>0</v>
      </c>
      <c r="H645" s="5">
        <f>IFERROR(VLOOKUP(B645,'[3]new sheet'!$A$1:$IV$65536,2,0),0)</f>
        <v>0</v>
      </c>
    </row>
    <row r="646" spans="1:8" ht="24" customHeight="1">
      <c r="A646" s="7">
        <v>1349</v>
      </c>
      <c r="B646" s="7">
        <v>804</v>
      </c>
      <c r="C646" s="8" t="s">
        <v>504</v>
      </c>
      <c r="D646" s="8" t="s">
        <v>1934</v>
      </c>
      <c r="E646" s="2">
        <f>IFERROR(VLOOKUP(B646,'[1]new sheet'!$A$1:$IV$65536,5,FALSE),0)</f>
        <v>0</v>
      </c>
      <c r="F646" s="3">
        <f>IFERROR(VLOOKUP(B646,'[1]new sheet'!$A$1:$IV$65536,4,FALSE),0)</f>
        <v>0</v>
      </c>
      <c r="G646" s="4">
        <f>IFERROR(VLOOKUP(B646,'[2]new sheet'!$A$1:$IV$65536,2,0),0)</f>
        <v>0</v>
      </c>
      <c r="H646" s="5">
        <f>IFERROR(VLOOKUP(B646,'[3]new sheet'!$A$1:$IV$65536,2,0),0)</f>
        <v>0</v>
      </c>
    </row>
    <row r="647" spans="1:8" ht="24" customHeight="1">
      <c r="A647" s="7">
        <v>929883</v>
      </c>
      <c r="B647" s="7">
        <v>3205</v>
      </c>
      <c r="C647" s="8" t="s">
        <v>505</v>
      </c>
      <c r="D647" s="8" t="s">
        <v>1934</v>
      </c>
      <c r="E647" s="2">
        <f>IFERROR(VLOOKUP(B647,'[1]new sheet'!$A$1:$IV$65536,5,FALSE),0)</f>
        <v>0</v>
      </c>
      <c r="F647" s="3">
        <f>IFERROR(VLOOKUP(B647,'[1]new sheet'!$A$1:$IV$65536,4,FALSE),0)</f>
        <v>0</v>
      </c>
      <c r="G647" s="4">
        <f>IFERROR(VLOOKUP(B647,'[2]new sheet'!$A$1:$IV$65536,2,0),0)</f>
        <v>0</v>
      </c>
      <c r="H647" s="5">
        <f>IFERROR(VLOOKUP(B647,'[3]new sheet'!$A$1:$IV$65536,2,0),0)</f>
        <v>0</v>
      </c>
    </row>
    <row r="648" spans="1:8" ht="24" customHeight="1">
      <c r="A648" s="7">
        <v>79753</v>
      </c>
      <c r="B648" s="7">
        <v>1609</v>
      </c>
      <c r="C648" s="8" t="s">
        <v>506</v>
      </c>
      <c r="D648" s="8" t="s">
        <v>1934</v>
      </c>
      <c r="E648" s="2">
        <f>IFERROR(VLOOKUP(B648,'[1]new sheet'!$A$1:$IV$65536,5,FALSE),0)</f>
        <v>0</v>
      </c>
      <c r="F648" s="3">
        <f>IFERROR(VLOOKUP(B648,'[1]new sheet'!$A$1:$IV$65536,4,FALSE),0)</f>
        <v>0</v>
      </c>
      <c r="G648" s="4">
        <f>IFERROR(VLOOKUP(B648,'[2]new sheet'!$A$1:$IV$65536,2,0),0)</f>
        <v>0</v>
      </c>
      <c r="H648" s="5">
        <f>IFERROR(VLOOKUP(B648,'[3]new sheet'!$A$1:$IV$65536,2,0),0)</f>
        <v>0</v>
      </c>
    </row>
    <row r="649" spans="1:8" ht="24" customHeight="1">
      <c r="A649" s="7">
        <v>67</v>
      </c>
      <c r="B649" s="7">
        <v>805</v>
      </c>
      <c r="C649" s="8" t="s">
        <v>507</v>
      </c>
      <c r="D649" s="8" t="s">
        <v>1934</v>
      </c>
      <c r="E649" s="2">
        <f>IFERROR(VLOOKUP(B649,'[1]new sheet'!$A$1:$IV$65536,5,FALSE),0)</f>
        <v>0</v>
      </c>
      <c r="F649" s="3">
        <f>IFERROR(VLOOKUP(B649,'[1]new sheet'!$A$1:$IV$65536,4,FALSE),0)</f>
        <v>0</v>
      </c>
      <c r="G649" s="4">
        <f>IFERROR(VLOOKUP(B649,'[2]new sheet'!$A$1:$IV$65536,2,0),0)</f>
        <v>1075</v>
      </c>
      <c r="H649" s="5">
        <f>IFERROR(VLOOKUP(B649,'[3]new sheet'!$A$1:$IV$65536,2,0),0)</f>
        <v>197</v>
      </c>
    </row>
    <row r="650" spans="1:8" ht="24" customHeight="1">
      <c r="A650" s="7">
        <v>680450</v>
      </c>
      <c r="B650" s="7">
        <v>872</v>
      </c>
      <c r="C650" s="8" t="s">
        <v>508</v>
      </c>
      <c r="D650" s="8" t="s">
        <v>1934</v>
      </c>
      <c r="E650" s="2">
        <f>IFERROR(VLOOKUP(B650,'[1]new sheet'!$A$1:$IV$65536,5,FALSE),0)</f>
        <v>602</v>
      </c>
      <c r="F650" s="3">
        <f>IFERROR(VLOOKUP(B650,'[1]new sheet'!$A$1:$IV$65536,4,FALSE),0)</f>
        <v>28</v>
      </c>
      <c r="G650" s="4">
        <f>IFERROR(VLOOKUP(B650,'[2]new sheet'!$A$1:$IV$65536,2,0),0)</f>
        <v>0</v>
      </c>
      <c r="H650" s="5">
        <f>IFERROR(VLOOKUP(B650,'[3]new sheet'!$A$1:$IV$65536,2,0),0)</f>
        <v>360</v>
      </c>
    </row>
    <row r="651" spans="1:8" ht="24" customHeight="1">
      <c r="A651" s="7">
        <v>71713</v>
      </c>
      <c r="B651" s="7">
        <v>3182</v>
      </c>
      <c r="C651" s="8" t="s">
        <v>509</v>
      </c>
      <c r="D651" s="8" t="s">
        <v>1934</v>
      </c>
      <c r="E651" s="2">
        <f>IFERROR(VLOOKUP(B651,'[1]new sheet'!$A$1:$IV$65536,5,FALSE),0)</f>
        <v>0</v>
      </c>
      <c r="F651" s="3">
        <f>IFERROR(VLOOKUP(B651,'[1]new sheet'!$A$1:$IV$65536,4,FALSE),0)</f>
        <v>0</v>
      </c>
      <c r="G651" s="4">
        <f>IFERROR(VLOOKUP(B651,'[2]new sheet'!$A$1:$IV$65536,2,0),0)</f>
        <v>0</v>
      </c>
      <c r="H651" s="5">
        <f>IFERROR(VLOOKUP(B651,'[3]new sheet'!$A$1:$IV$65536,2,0),0)</f>
        <v>0</v>
      </c>
    </row>
    <row r="652" spans="1:8" ht="24" customHeight="1">
      <c r="A652" s="7">
        <v>349</v>
      </c>
      <c r="B652" s="7">
        <v>399</v>
      </c>
      <c r="C652" s="8" t="s">
        <v>510</v>
      </c>
      <c r="D652" s="8" t="s">
        <v>1934</v>
      </c>
      <c r="E652" s="2">
        <f>IFERROR(VLOOKUP(B652,'[1]new sheet'!$A$1:$IV$65536,5,FALSE),0)</f>
        <v>0</v>
      </c>
      <c r="F652" s="3">
        <f>IFERROR(VLOOKUP(B652,'[1]new sheet'!$A$1:$IV$65536,4,FALSE),0)</f>
        <v>0</v>
      </c>
      <c r="G652" s="4">
        <f>IFERROR(VLOOKUP(B652,'[2]new sheet'!$A$1:$IV$65536,2,0),0)</f>
        <v>0</v>
      </c>
      <c r="H652" s="5">
        <f>IFERROR(VLOOKUP(B652,'[3]new sheet'!$A$1:$IV$65536,2,0),0)</f>
        <v>0</v>
      </c>
    </row>
    <row r="653" spans="1:8" ht="24" customHeight="1">
      <c r="A653" s="7">
        <v>244</v>
      </c>
      <c r="B653" s="7">
        <v>1826</v>
      </c>
      <c r="C653" s="8" t="s">
        <v>511</v>
      </c>
      <c r="D653" s="8" t="s">
        <v>1934</v>
      </c>
      <c r="E653" s="2">
        <f>IFERROR(VLOOKUP(B653,'[1]new sheet'!$A$1:$IV$65536,5,FALSE),0)</f>
        <v>0</v>
      </c>
      <c r="F653" s="3">
        <f>IFERROR(VLOOKUP(B653,'[1]new sheet'!$A$1:$IV$65536,4,FALSE),0)</f>
        <v>0</v>
      </c>
      <c r="G653" s="4">
        <f>IFERROR(VLOOKUP(B653,'[2]new sheet'!$A$1:$IV$65536,2,0),0)</f>
        <v>0</v>
      </c>
      <c r="H653" s="5">
        <f>IFERROR(VLOOKUP(B653,'[3]new sheet'!$A$1:$IV$65536,2,0),0)</f>
        <v>0</v>
      </c>
    </row>
    <row r="654" spans="1:8" ht="24" customHeight="1">
      <c r="A654" s="7">
        <v>255</v>
      </c>
      <c r="B654" s="7">
        <v>1412</v>
      </c>
      <c r="C654" s="8" t="s">
        <v>512</v>
      </c>
      <c r="D654" s="8" t="s">
        <v>1934</v>
      </c>
      <c r="E654" s="2">
        <f>IFERROR(VLOOKUP(B654,'[1]new sheet'!$A$1:$IV$65536,5,FALSE),0)</f>
        <v>0</v>
      </c>
      <c r="F654" s="3">
        <f>IFERROR(VLOOKUP(B654,'[1]new sheet'!$A$1:$IV$65536,4,FALSE),0)</f>
        <v>0</v>
      </c>
      <c r="G654" s="4">
        <f>IFERROR(VLOOKUP(B654,'[2]new sheet'!$A$1:$IV$65536,2,0),0)</f>
        <v>651</v>
      </c>
      <c r="H654" s="5">
        <f>IFERROR(VLOOKUP(B654,'[3]new sheet'!$A$1:$IV$65536,2,0),0)</f>
        <v>1</v>
      </c>
    </row>
    <row r="655" spans="1:8" ht="24" customHeight="1">
      <c r="A655" s="7"/>
      <c r="B655" s="7">
        <v>542</v>
      </c>
      <c r="C655" s="8" t="s">
        <v>513</v>
      </c>
      <c r="D655" s="8" t="s">
        <v>1934</v>
      </c>
      <c r="E655" s="2">
        <f>IFERROR(VLOOKUP(B655,'[1]new sheet'!$A$1:$IV$65536,5,FALSE),0)</f>
        <v>0</v>
      </c>
      <c r="F655" s="3">
        <f>IFERROR(VLOOKUP(B655,'[1]new sheet'!$A$1:$IV$65536,4,FALSE),0)</f>
        <v>0</v>
      </c>
      <c r="G655" s="4">
        <f>IFERROR(VLOOKUP(B655,'[2]new sheet'!$A$1:$IV$65536,2,0),0)</f>
        <v>0</v>
      </c>
      <c r="H655" s="5">
        <f>IFERROR(VLOOKUP(B655,'[3]new sheet'!$A$1:$IV$65536,2,0),0)</f>
        <v>0</v>
      </c>
    </row>
    <row r="656" spans="1:8" ht="24" customHeight="1">
      <c r="A656" s="7">
        <v>1173</v>
      </c>
      <c r="B656" s="7">
        <v>3640</v>
      </c>
      <c r="C656" s="8" t="s">
        <v>1526</v>
      </c>
      <c r="D656" s="8" t="s">
        <v>1934</v>
      </c>
      <c r="E656" s="2">
        <f>IFERROR(VLOOKUP(B656,'[1]new sheet'!$A$1:$IV$65536,5,FALSE),0)</f>
        <v>0</v>
      </c>
      <c r="F656" s="3">
        <f>IFERROR(VLOOKUP(B656,'[1]new sheet'!$A$1:$IV$65536,4,FALSE),0)</f>
        <v>0</v>
      </c>
      <c r="G656" s="4">
        <f>IFERROR(VLOOKUP(B656,'[2]new sheet'!$A$1:$IV$65536,2,0),0)</f>
        <v>0</v>
      </c>
      <c r="H656" s="5">
        <f>IFERROR(VLOOKUP(B656,'[3]new sheet'!$A$1:$IV$65536,2,0),0)</f>
        <v>0</v>
      </c>
    </row>
    <row r="657" spans="1:8" ht="24" customHeight="1">
      <c r="A657" s="7"/>
      <c r="B657" s="7">
        <v>543</v>
      </c>
      <c r="C657" s="8" t="s">
        <v>1666</v>
      </c>
      <c r="D657" s="8" t="s">
        <v>1934</v>
      </c>
      <c r="E657" s="2">
        <f>IFERROR(VLOOKUP(B657,'[1]new sheet'!$A$1:$IV$65536,5,FALSE),0)</f>
        <v>0</v>
      </c>
      <c r="F657" s="3">
        <f>IFERROR(VLOOKUP(B657,'[1]new sheet'!$A$1:$IV$65536,4,FALSE),0)</f>
        <v>0</v>
      </c>
      <c r="G657" s="4">
        <f>IFERROR(VLOOKUP(B657,'[2]new sheet'!$A$1:$IV$65536,2,0),0)</f>
        <v>22</v>
      </c>
      <c r="H657" s="5">
        <f>IFERROR(VLOOKUP(B657,'[3]new sheet'!$A$1:$IV$65536,2,0),0)</f>
        <v>0</v>
      </c>
    </row>
    <row r="658" spans="1:8" ht="24" customHeight="1">
      <c r="A658" s="7">
        <v>133389</v>
      </c>
      <c r="B658" s="7">
        <v>2828</v>
      </c>
      <c r="C658" s="8" t="s">
        <v>514</v>
      </c>
      <c r="D658" s="8" t="s">
        <v>1934</v>
      </c>
      <c r="E658" s="2">
        <f>IFERROR(VLOOKUP(B658,'[1]new sheet'!$A$1:$IV$65536,5,FALSE),0)</f>
        <v>0</v>
      </c>
      <c r="F658" s="3">
        <f>IFERROR(VLOOKUP(B658,'[1]new sheet'!$A$1:$IV$65536,4,FALSE),0)</f>
        <v>0</v>
      </c>
      <c r="G658" s="4">
        <f>IFERROR(VLOOKUP(B658,'[2]new sheet'!$A$1:$IV$65536,2,0),0)</f>
        <v>0</v>
      </c>
      <c r="H658" s="5">
        <f>IFERROR(VLOOKUP(B658,'[3]new sheet'!$A$1:$IV$65536,2,0),0)</f>
        <v>0</v>
      </c>
    </row>
    <row r="659" spans="1:8" ht="24" customHeight="1">
      <c r="A659" s="7" t="s">
        <v>515</v>
      </c>
      <c r="B659" s="7">
        <v>2493</v>
      </c>
      <c r="C659" s="8" t="s">
        <v>516</v>
      </c>
      <c r="D659" s="8" t="s">
        <v>1934</v>
      </c>
      <c r="E659" s="2">
        <f>IFERROR(VLOOKUP(B659,'[1]new sheet'!$A$1:$IV$65536,5,FALSE),0)</f>
        <v>0</v>
      </c>
      <c r="F659" s="3">
        <f>IFERROR(VLOOKUP(B659,'[1]new sheet'!$A$1:$IV$65536,4,FALSE),0)</f>
        <v>0</v>
      </c>
      <c r="G659" s="4">
        <f>IFERROR(VLOOKUP(B659,'[2]new sheet'!$A$1:$IV$65536,2,0),0)</f>
        <v>0</v>
      </c>
      <c r="H659" s="5">
        <f>IFERROR(VLOOKUP(B659,'[3]new sheet'!$A$1:$IV$65536,2,0),0)</f>
        <v>0</v>
      </c>
    </row>
    <row r="660" spans="1:8" ht="24" customHeight="1">
      <c r="A660" s="7">
        <v>912</v>
      </c>
      <c r="B660" s="7">
        <v>3986</v>
      </c>
      <c r="C660" s="8" t="s">
        <v>1645</v>
      </c>
      <c r="D660" s="8" t="s">
        <v>1934</v>
      </c>
      <c r="E660" s="2">
        <f>IFERROR(VLOOKUP(B660,'[1]new sheet'!$A$1:$IV$65536,5,FALSE),0)</f>
        <v>41</v>
      </c>
      <c r="F660" s="3">
        <f>IFERROR(VLOOKUP(B660,'[1]new sheet'!$A$1:$IV$65536,4,FALSE),0)</f>
        <v>0</v>
      </c>
      <c r="G660" s="4">
        <f>IFERROR(VLOOKUP(B660,'[2]new sheet'!$A$1:$IV$65536,2,0),0)</f>
        <v>9</v>
      </c>
      <c r="H660" s="5">
        <f>IFERROR(VLOOKUP(B660,'[3]new sheet'!$A$1:$IV$65536,2,0),0)</f>
        <v>6</v>
      </c>
    </row>
    <row r="661" spans="1:8" ht="24" customHeight="1">
      <c r="A661" s="7">
        <v>160</v>
      </c>
      <c r="B661" s="7">
        <v>3987</v>
      </c>
      <c r="C661" s="8" t="s">
        <v>1646</v>
      </c>
      <c r="D661" s="8" t="s">
        <v>1934</v>
      </c>
      <c r="E661" s="2">
        <f>IFERROR(VLOOKUP(B661,'[1]new sheet'!$A$1:$IV$65536,5,FALSE),0)</f>
        <v>0</v>
      </c>
      <c r="F661" s="3">
        <f>IFERROR(VLOOKUP(B661,'[1]new sheet'!$A$1:$IV$65536,4,FALSE),0)</f>
        <v>0</v>
      </c>
      <c r="G661" s="4">
        <f>IFERROR(VLOOKUP(B661,'[2]new sheet'!$A$1:$IV$65536,2,0),0)</f>
        <v>0</v>
      </c>
      <c r="H661" s="5">
        <f>IFERROR(VLOOKUP(B661,'[3]new sheet'!$A$1:$IV$65536,2,0),0)</f>
        <v>0</v>
      </c>
    </row>
    <row r="662" spans="1:8" ht="24" customHeight="1">
      <c r="A662" s="7">
        <v>3004577</v>
      </c>
      <c r="B662" s="7">
        <v>3957</v>
      </c>
      <c r="C662" s="8" t="s">
        <v>1647</v>
      </c>
      <c r="D662" s="8" t="s">
        <v>1934</v>
      </c>
      <c r="E662" s="2">
        <f>IFERROR(VLOOKUP(B662,'[1]new sheet'!$A$1:$IV$65536,5,FALSE),0)</f>
        <v>0</v>
      </c>
      <c r="F662" s="3">
        <f>IFERROR(VLOOKUP(B662,'[1]new sheet'!$A$1:$IV$65536,4,FALSE),0)</f>
        <v>0</v>
      </c>
      <c r="G662" s="4">
        <f>IFERROR(VLOOKUP(B662,'[2]new sheet'!$A$1:$IV$65536,2,0),0)</f>
        <v>0</v>
      </c>
      <c r="H662" s="5">
        <f>IFERROR(VLOOKUP(B662,'[3]new sheet'!$A$1:$IV$65536,2,0),0)</f>
        <v>0</v>
      </c>
    </row>
    <row r="663" spans="1:8" ht="24" customHeight="1">
      <c r="A663" s="7">
        <v>3004303</v>
      </c>
      <c r="B663" s="7">
        <v>2322</v>
      </c>
      <c r="C663" s="8" t="s">
        <v>517</v>
      </c>
      <c r="D663" s="8" t="s">
        <v>1934</v>
      </c>
      <c r="E663" s="2">
        <f>IFERROR(VLOOKUP(B663,'[1]new sheet'!$A$1:$IV$65536,5,FALSE),0)</f>
        <v>0</v>
      </c>
      <c r="F663" s="3">
        <f>IFERROR(VLOOKUP(B663,'[1]new sheet'!$A$1:$IV$65536,4,FALSE),0)</f>
        <v>0</v>
      </c>
      <c r="G663" s="4">
        <f>IFERROR(VLOOKUP(B663,'[2]new sheet'!$A$1:$IV$65536,2,0),0)</f>
        <v>0</v>
      </c>
      <c r="H663" s="5">
        <f>IFERROR(VLOOKUP(B663,'[3]new sheet'!$A$1:$IV$65536,2,0),0)</f>
        <v>0</v>
      </c>
    </row>
    <row r="664" spans="1:8" ht="24" customHeight="1">
      <c r="A664" s="7">
        <v>3002935</v>
      </c>
      <c r="B664" s="7">
        <v>137</v>
      </c>
      <c r="C664" s="8" t="s">
        <v>1667</v>
      </c>
      <c r="D664" s="8" t="s">
        <v>1934</v>
      </c>
      <c r="E664" s="2">
        <f>IFERROR(VLOOKUP(B664,'[1]new sheet'!$A$1:$IV$65536,5,FALSE),0)</f>
        <v>11</v>
      </c>
      <c r="F664" s="3">
        <f>IFERROR(VLOOKUP(B664,'[1]new sheet'!$A$1:$IV$65536,4,FALSE),0)</f>
        <v>0</v>
      </c>
      <c r="G664" s="4">
        <f>IFERROR(VLOOKUP(B664,'[2]new sheet'!$A$1:$IV$65536,2,0),0)</f>
        <v>7</v>
      </c>
      <c r="H664" s="5">
        <f>IFERROR(VLOOKUP(B664,'[3]new sheet'!$A$1:$IV$65536,2,0),0)</f>
        <v>2</v>
      </c>
    </row>
    <row r="665" spans="1:8" ht="24" customHeight="1">
      <c r="A665" s="7">
        <v>3501</v>
      </c>
      <c r="B665" s="7">
        <v>2273</v>
      </c>
      <c r="C665" s="8" t="s">
        <v>518</v>
      </c>
      <c r="D665" s="8" t="s">
        <v>1934</v>
      </c>
      <c r="E665" s="2">
        <f>IFERROR(VLOOKUP(B665,'[1]new sheet'!$A$1:$IV$65536,5,FALSE),0)</f>
        <v>0</v>
      </c>
      <c r="F665" s="3">
        <f>IFERROR(VLOOKUP(B665,'[1]new sheet'!$A$1:$IV$65536,4,FALSE),0)</f>
        <v>0</v>
      </c>
      <c r="G665" s="4">
        <f>IFERROR(VLOOKUP(B665,'[2]new sheet'!$A$1:$IV$65536,2,0),0)</f>
        <v>0</v>
      </c>
      <c r="H665" s="5">
        <f>IFERROR(VLOOKUP(B665,'[3]new sheet'!$A$1:$IV$65536,2,0),0)</f>
        <v>0</v>
      </c>
    </row>
    <row r="666" spans="1:8" ht="24" customHeight="1">
      <c r="A666" s="7">
        <v>0</v>
      </c>
      <c r="B666" s="7">
        <v>1480</v>
      </c>
      <c r="C666" s="8" t="s">
        <v>1873</v>
      </c>
      <c r="D666" s="8" t="s">
        <v>1934</v>
      </c>
      <c r="E666" s="2">
        <f>IFERROR(VLOOKUP(B666,'[1]new sheet'!$A$1:$IV$65536,5,FALSE),0)</f>
        <v>284</v>
      </c>
      <c r="F666" s="3">
        <f>IFERROR(VLOOKUP(B666,'[1]new sheet'!$A$1:$IV$65536,4,FALSE),0)</f>
        <v>4</v>
      </c>
      <c r="G666" s="4">
        <f>IFERROR(VLOOKUP(B666,'[2]new sheet'!$A$1:$IV$65536,2,0),0)</f>
        <v>231</v>
      </c>
      <c r="H666" s="5">
        <f>IFERROR(VLOOKUP(B666,'[3]new sheet'!$A$1:$IV$65536,2,0),0)</f>
        <v>56</v>
      </c>
    </row>
    <row r="667" spans="1:8" ht="24" customHeight="1">
      <c r="A667" s="7">
        <v>3004495</v>
      </c>
      <c r="B667" s="7">
        <v>2092</v>
      </c>
      <c r="C667" s="8" t="s">
        <v>519</v>
      </c>
      <c r="D667" s="8" t="s">
        <v>1934</v>
      </c>
      <c r="E667" s="2">
        <f>IFERROR(VLOOKUP(B667,'[1]new sheet'!$A$1:$IV$65536,5,FALSE),0)</f>
        <v>0</v>
      </c>
      <c r="F667" s="3">
        <f>IFERROR(VLOOKUP(B667,'[1]new sheet'!$A$1:$IV$65536,4,FALSE),0)</f>
        <v>0</v>
      </c>
      <c r="G667" s="4">
        <f>IFERROR(VLOOKUP(B667,'[2]new sheet'!$A$1:$IV$65536,2,0),0)</f>
        <v>0</v>
      </c>
      <c r="H667" s="5">
        <f>IFERROR(VLOOKUP(B667,'[3]new sheet'!$A$1:$IV$65536,2,0),0)</f>
        <v>0</v>
      </c>
    </row>
    <row r="668" spans="1:8" s="6" customFormat="1" ht="24" customHeight="1">
      <c r="A668" s="7" t="s">
        <v>520</v>
      </c>
      <c r="B668" s="7">
        <v>2435</v>
      </c>
      <c r="C668" s="8" t="s">
        <v>521</v>
      </c>
      <c r="D668" s="8" t="s">
        <v>1934</v>
      </c>
      <c r="E668" s="2">
        <f>IFERROR(VLOOKUP(B668,'[1]new sheet'!$A$1:$IV$65536,5,FALSE),0)</f>
        <v>0</v>
      </c>
      <c r="F668" s="3">
        <f>IFERROR(VLOOKUP(B668,'[1]new sheet'!$A$1:$IV$65536,4,FALSE),0)</f>
        <v>0</v>
      </c>
      <c r="G668" s="4">
        <f>IFERROR(VLOOKUP(B668,'[2]new sheet'!$A$1:$IV$65536,2,0),0)</f>
        <v>0</v>
      </c>
      <c r="H668" s="5">
        <f>IFERROR(VLOOKUP(B668,'[3]new sheet'!$A$1:$IV$65536,2,0),0)</f>
        <v>0</v>
      </c>
    </row>
    <row r="669" spans="1:8" ht="24" customHeight="1">
      <c r="A669" s="7">
        <v>1199940</v>
      </c>
      <c r="B669" s="7">
        <v>4178</v>
      </c>
      <c r="C669" s="8" t="s">
        <v>1824</v>
      </c>
      <c r="D669" s="8" t="s">
        <v>1934</v>
      </c>
      <c r="E669" s="2">
        <f>IFERROR(VLOOKUP(B669,'[1]new sheet'!$A$1:$IV$65536,5,FALSE),0)</f>
        <v>29</v>
      </c>
      <c r="F669" s="3">
        <f>IFERROR(VLOOKUP(B669,'[1]new sheet'!$A$1:$IV$65536,4,FALSE),0)</f>
        <v>0</v>
      </c>
      <c r="G669" s="4">
        <f>IFERROR(VLOOKUP(B669,'[2]new sheet'!$A$1:$IV$65536,2,0),0)</f>
        <v>71</v>
      </c>
      <c r="H669" s="5">
        <f>IFERROR(VLOOKUP(B669,'[3]new sheet'!$A$1:$IV$65536,2,0),0)</f>
        <v>28</v>
      </c>
    </row>
    <row r="670" spans="1:8" ht="24" customHeight="1">
      <c r="A670" s="7">
        <v>9000001215</v>
      </c>
      <c r="B670" s="7">
        <v>3683</v>
      </c>
      <c r="C670" s="8" t="s">
        <v>522</v>
      </c>
      <c r="D670" s="8" t="s">
        <v>1934</v>
      </c>
      <c r="E670" s="2">
        <f>IFERROR(VLOOKUP(B670,'[1]new sheet'!$A$1:$IV$65536,5,FALSE),0)</f>
        <v>0</v>
      </c>
      <c r="F670" s="3">
        <f>IFERROR(VLOOKUP(B670,'[1]new sheet'!$A$1:$IV$65536,4,FALSE),0)</f>
        <v>0</v>
      </c>
      <c r="G670" s="4">
        <f>IFERROR(VLOOKUP(B670,'[2]new sheet'!$A$1:$IV$65536,2,0),0)</f>
        <v>0</v>
      </c>
      <c r="H670" s="5">
        <f>IFERROR(VLOOKUP(B670,'[3]new sheet'!$A$1:$IV$65536,2,0),0)</f>
        <v>0</v>
      </c>
    </row>
    <row r="671" spans="1:8" ht="24" customHeight="1">
      <c r="A671" s="7">
        <v>9000001214</v>
      </c>
      <c r="B671" s="7">
        <v>3976</v>
      </c>
      <c r="C671" s="8" t="s">
        <v>1648</v>
      </c>
      <c r="D671" s="8" t="s">
        <v>1934</v>
      </c>
      <c r="E671" s="2">
        <f>IFERROR(VLOOKUP(B671,'[1]new sheet'!$A$1:$IV$65536,5,FALSE),0)</f>
        <v>0</v>
      </c>
      <c r="F671" s="3">
        <f>IFERROR(VLOOKUP(B671,'[1]new sheet'!$A$1:$IV$65536,4,FALSE),0)</f>
        <v>0</v>
      </c>
      <c r="G671" s="4">
        <f>IFERROR(VLOOKUP(B671,'[2]new sheet'!$A$1:$IV$65536,2,0),0)</f>
        <v>0</v>
      </c>
      <c r="H671" s="5">
        <f>IFERROR(VLOOKUP(B671,'[3]new sheet'!$A$1:$IV$65536,2,0),0)</f>
        <v>0</v>
      </c>
    </row>
    <row r="672" spans="1:8" ht="24" customHeight="1">
      <c r="A672" s="7">
        <v>9000001243</v>
      </c>
      <c r="B672" s="7">
        <v>4035</v>
      </c>
      <c r="C672" s="8" t="s">
        <v>1668</v>
      </c>
      <c r="D672" s="8" t="s">
        <v>1934</v>
      </c>
      <c r="E672" s="2">
        <f>IFERROR(VLOOKUP(B672,'[1]new sheet'!$A$1:$IV$65536,5,FALSE),0)</f>
        <v>0</v>
      </c>
      <c r="F672" s="3">
        <f>IFERROR(VLOOKUP(B672,'[1]new sheet'!$A$1:$IV$65536,4,FALSE),0)</f>
        <v>0</v>
      </c>
      <c r="G672" s="4">
        <f>IFERROR(VLOOKUP(B672,'[2]new sheet'!$A$1:$IV$65536,2,0),0)</f>
        <v>0</v>
      </c>
      <c r="H672" s="5">
        <f>IFERROR(VLOOKUP(B672,'[3]new sheet'!$A$1:$IV$65536,2,0),0)</f>
        <v>0</v>
      </c>
    </row>
    <row r="673" spans="1:8" ht="24" customHeight="1">
      <c r="A673" s="7">
        <v>1001</v>
      </c>
      <c r="B673" s="7">
        <v>896</v>
      </c>
      <c r="C673" s="8" t="s">
        <v>523</v>
      </c>
      <c r="D673" s="8" t="s">
        <v>1934</v>
      </c>
      <c r="E673" s="2">
        <f>IFERROR(VLOOKUP(B673,'[1]new sheet'!$A$1:$IV$65536,5,FALSE),0)</f>
        <v>0</v>
      </c>
      <c r="F673" s="3">
        <f>IFERROR(VLOOKUP(B673,'[1]new sheet'!$A$1:$IV$65536,4,FALSE),0)</f>
        <v>0</v>
      </c>
      <c r="G673" s="4">
        <f>IFERROR(VLOOKUP(B673,'[2]new sheet'!$A$1:$IV$65536,2,0),0)</f>
        <v>0</v>
      </c>
      <c r="H673" s="5">
        <f>IFERROR(VLOOKUP(B673,'[3]new sheet'!$A$1:$IV$65536,2,0),0)</f>
        <v>0</v>
      </c>
    </row>
    <row r="674" spans="1:8" ht="24" customHeight="1">
      <c r="A674" s="7">
        <v>45167</v>
      </c>
      <c r="B674" s="7">
        <v>18</v>
      </c>
      <c r="C674" s="8" t="s">
        <v>524</v>
      </c>
      <c r="D674" s="8" t="s">
        <v>1934</v>
      </c>
      <c r="E674" s="2">
        <f>IFERROR(VLOOKUP(B674,'[1]new sheet'!$A$1:$IV$65536,5,FALSE),0)</f>
        <v>0</v>
      </c>
      <c r="F674" s="3">
        <f>IFERROR(VLOOKUP(B674,'[1]new sheet'!$A$1:$IV$65536,4,FALSE),0)</f>
        <v>0</v>
      </c>
      <c r="G674" s="4">
        <f>IFERROR(VLOOKUP(B674,'[2]new sheet'!$A$1:$IV$65536,2,0),0)</f>
        <v>0</v>
      </c>
      <c r="H674" s="5">
        <f>IFERROR(VLOOKUP(B674,'[3]new sheet'!$A$1:$IV$65536,2,0),0)</f>
        <v>0</v>
      </c>
    </row>
    <row r="675" spans="1:8" ht="24" customHeight="1">
      <c r="A675" s="7">
        <v>3004482</v>
      </c>
      <c r="B675" s="7">
        <v>2399</v>
      </c>
      <c r="C675" s="8" t="s">
        <v>525</v>
      </c>
      <c r="D675" s="8" t="s">
        <v>1934</v>
      </c>
      <c r="E675" s="2">
        <f>IFERROR(VLOOKUP(B675,'[1]new sheet'!$A$1:$IV$65536,5,FALSE),0)</f>
        <v>0</v>
      </c>
      <c r="F675" s="3">
        <f>IFERROR(VLOOKUP(B675,'[1]new sheet'!$A$1:$IV$65536,4,FALSE),0)</f>
        <v>0</v>
      </c>
      <c r="G675" s="4">
        <f>IFERROR(VLOOKUP(B675,'[2]new sheet'!$A$1:$IV$65536,2,0),0)</f>
        <v>0</v>
      </c>
      <c r="H675" s="5">
        <f>IFERROR(VLOOKUP(B675,'[3]new sheet'!$A$1:$IV$65536,2,0),0)</f>
        <v>0</v>
      </c>
    </row>
    <row r="676" spans="1:8" ht="24" customHeight="1">
      <c r="A676" s="7">
        <v>1199941</v>
      </c>
      <c r="B676" s="7">
        <v>4177</v>
      </c>
      <c r="C676" s="8" t="s">
        <v>1825</v>
      </c>
      <c r="D676" s="8" t="s">
        <v>1934</v>
      </c>
      <c r="E676" s="2">
        <f>IFERROR(VLOOKUP(B676,'[1]new sheet'!$A$1:$IV$65536,5,FALSE),0)</f>
        <v>0</v>
      </c>
      <c r="F676" s="3">
        <f>IFERROR(VLOOKUP(B676,'[1]new sheet'!$A$1:$IV$65536,4,FALSE),0)</f>
        <v>0</v>
      </c>
      <c r="G676" s="4">
        <f>IFERROR(VLOOKUP(B676,'[2]new sheet'!$A$1:$IV$65536,2,0),0)</f>
        <v>31</v>
      </c>
      <c r="H676" s="5">
        <f>IFERROR(VLOOKUP(B676,'[3]new sheet'!$A$1:$IV$65536,2,0),0)</f>
        <v>6</v>
      </c>
    </row>
    <row r="677" spans="1:8" ht="24" customHeight="1">
      <c r="A677" s="7">
        <v>3004536</v>
      </c>
      <c r="B677" s="7">
        <v>1341</v>
      </c>
      <c r="C677" s="8" t="s">
        <v>526</v>
      </c>
      <c r="D677" s="8" t="s">
        <v>1934</v>
      </c>
      <c r="E677" s="2">
        <f>IFERROR(VLOOKUP(B677,'[1]new sheet'!$A$1:$IV$65536,5,FALSE),0)</f>
        <v>0</v>
      </c>
      <c r="F677" s="3">
        <f>IFERROR(VLOOKUP(B677,'[1]new sheet'!$A$1:$IV$65536,4,FALSE),0)</f>
        <v>0</v>
      </c>
      <c r="G677" s="4">
        <f>IFERROR(VLOOKUP(B677,'[2]new sheet'!$A$1:$IV$65536,2,0),0)</f>
        <v>0</v>
      </c>
      <c r="H677" s="5">
        <f>IFERROR(VLOOKUP(B677,'[3]new sheet'!$A$1:$IV$65536,2,0),0)</f>
        <v>0</v>
      </c>
    </row>
    <row r="678" spans="1:8" ht="24" customHeight="1">
      <c r="A678" s="7">
        <v>198</v>
      </c>
      <c r="B678" s="7">
        <v>2527</v>
      </c>
      <c r="C678" s="8" t="s">
        <v>527</v>
      </c>
      <c r="D678" s="8" t="s">
        <v>1934</v>
      </c>
      <c r="E678" s="2">
        <f>IFERROR(VLOOKUP(B678,'[1]new sheet'!$A$1:$IV$65536,5,FALSE),0)</f>
        <v>0</v>
      </c>
      <c r="F678" s="3">
        <f>IFERROR(VLOOKUP(B678,'[1]new sheet'!$A$1:$IV$65536,4,FALSE),0)</f>
        <v>0</v>
      </c>
      <c r="G678" s="4">
        <f>IFERROR(VLOOKUP(B678,'[2]new sheet'!$A$1:$IV$65536,2,0),0)</f>
        <v>0</v>
      </c>
      <c r="H678" s="5">
        <f>IFERROR(VLOOKUP(B678,'[3]new sheet'!$A$1:$IV$65536,2,0),0)</f>
        <v>0</v>
      </c>
    </row>
    <row r="679" spans="1:8" ht="24" customHeight="1">
      <c r="A679" s="7">
        <v>29886</v>
      </c>
      <c r="B679" s="7">
        <v>3288</v>
      </c>
      <c r="C679" s="8" t="s">
        <v>528</v>
      </c>
      <c r="D679" s="8" t="s">
        <v>1934</v>
      </c>
      <c r="E679" s="2">
        <f>IFERROR(VLOOKUP(B679,'[1]new sheet'!$A$1:$IV$65536,5,FALSE),0)</f>
        <v>0</v>
      </c>
      <c r="F679" s="3">
        <f>IFERROR(VLOOKUP(B679,'[1]new sheet'!$A$1:$IV$65536,4,FALSE),0)</f>
        <v>0</v>
      </c>
      <c r="G679" s="4">
        <f>IFERROR(VLOOKUP(B679,'[2]new sheet'!$A$1:$IV$65536,2,0),0)</f>
        <v>0</v>
      </c>
      <c r="H679" s="5">
        <f>IFERROR(VLOOKUP(B679,'[3]new sheet'!$A$1:$IV$65536,2,0),0)</f>
        <v>0</v>
      </c>
    </row>
    <row r="680" spans="1:8" ht="24" customHeight="1">
      <c r="A680" s="7">
        <v>0</v>
      </c>
      <c r="B680" s="7">
        <v>3996</v>
      </c>
      <c r="C680" s="8" t="s">
        <v>1649</v>
      </c>
      <c r="D680" s="8" t="s">
        <v>1934</v>
      </c>
      <c r="E680" s="2">
        <f>IFERROR(VLOOKUP(B680,'[1]new sheet'!$A$1:$IV$65536,5,FALSE),0)</f>
        <v>0</v>
      </c>
      <c r="F680" s="3">
        <f>IFERROR(VLOOKUP(B680,'[1]new sheet'!$A$1:$IV$65536,4,FALSE),0)</f>
        <v>0</v>
      </c>
      <c r="G680" s="4">
        <f>IFERROR(VLOOKUP(B680,'[2]new sheet'!$A$1:$IV$65536,2,0),0)</f>
        <v>0</v>
      </c>
      <c r="H680" s="5">
        <f>IFERROR(VLOOKUP(B680,'[3]new sheet'!$A$1:$IV$65536,2,0),0)</f>
        <v>0</v>
      </c>
    </row>
    <row r="681" spans="1:8" ht="24" customHeight="1">
      <c r="A681" s="7">
        <v>0</v>
      </c>
      <c r="B681" s="7">
        <v>3804</v>
      </c>
      <c r="C681" s="8" t="s">
        <v>1540</v>
      </c>
      <c r="D681" s="8" t="s">
        <v>1934</v>
      </c>
      <c r="E681" s="2">
        <f>IFERROR(VLOOKUP(B681,'[1]new sheet'!$A$1:$IV$65536,5,FALSE),0)</f>
        <v>0</v>
      </c>
      <c r="F681" s="3">
        <f>IFERROR(VLOOKUP(B681,'[1]new sheet'!$A$1:$IV$65536,4,FALSE),0)</f>
        <v>0</v>
      </c>
      <c r="G681" s="4">
        <f>IFERROR(VLOOKUP(B681,'[2]new sheet'!$A$1:$IV$65536,2,0),0)</f>
        <v>0</v>
      </c>
      <c r="H681" s="5">
        <f>IFERROR(VLOOKUP(B681,'[3]new sheet'!$A$1:$IV$65536,2,0),0)</f>
        <v>0</v>
      </c>
    </row>
    <row r="682" spans="1:8" ht="24" customHeight="1">
      <c r="A682" s="7" t="s">
        <v>529</v>
      </c>
      <c r="B682" s="7">
        <v>2509</v>
      </c>
      <c r="C682" s="8" t="s">
        <v>530</v>
      </c>
      <c r="D682" s="8" t="s">
        <v>1934</v>
      </c>
      <c r="E682" s="2">
        <f>IFERROR(VLOOKUP(B682,'[1]new sheet'!$A$1:$IV$65536,5,FALSE),0)</f>
        <v>0</v>
      </c>
      <c r="F682" s="3">
        <f>IFERROR(VLOOKUP(B682,'[1]new sheet'!$A$1:$IV$65536,4,FALSE),0)</f>
        <v>0</v>
      </c>
      <c r="G682" s="4">
        <f>IFERROR(VLOOKUP(B682,'[2]new sheet'!$A$1:$IV$65536,2,0),0)</f>
        <v>0</v>
      </c>
      <c r="H682" s="5">
        <f>IFERROR(VLOOKUP(B682,'[3]new sheet'!$A$1:$IV$65536,2,0),0)</f>
        <v>0</v>
      </c>
    </row>
    <row r="683" spans="1:8" ht="24" customHeight="1">
      <c r="A683" s="7" t="s">
        <v>531</v>
      </c>
      <c r="B683" s="7">
        <v>2323</v>
      </c>
      <c r="C683" s="8" t="s">
        <v>532</v>
      </c>
      <c r="D683" s="8" t="s">
        <v>1934</v>
      </c>
      <c r="E683" s="2">
        <f>IFERROR(VLOOKUP(B683,'[1]new sheet'!$A$1:$IV$65536,5,FALSE),0)</f>
        <v>0</v>
      </c>
      <c r="F683" s="3">
        <f>IFERROR(VLOOKUP(B683,'[1]new sheet'!$A$1:$IV$65536,4,FALSE),0)</f>
        <v>0</v>
      </c>
      <c r="G683" s="4">
        <f>IFERROR(VLOOKUP(B683,'[2]new sheet'!$A$1:$IV$65536,2,0),0)</f>
        <v>0</v>
      </c>
      <c r="H683" s="5">
        <f>IFERROR(VLOOKUP(B683,'[3]new sheet'!$A$1:$IV$65536,2,0),0)</f>
        <v>0</v>
      </c>
    </row>
    <row r="684" spans="1:8" ht="24" customHeight="1">
      <c r="A684" s="7">
        <v>14619</v>
      </c>
      <c r="B684" s="7">
        <v>4189</v>
      </c>
      <c r="C684" s="8" t="s">
        <v>1836</v>
      </c>
      <c r="D684" s="8" t="s">
        <v>1934</v>
      </c>
      <c r="E684" s="2">
        <f>IFERROR(VLOOKUP(B684,'[1]new sheet'!$A$1:$IV$65536,5,FALSE),0)</f>
        <v>2</v>
      </c>
      <c r="F684" s="3">
        <f>IFERROR(VLOOKUP(B684,'[1]new sheet'!$A$1:$IV$65536,4,FALSE),0)</f>
        <v>0</v>
      </c>
      <c r="G684" s="4">
        <f>IFERROR(VLOOKUP(B684,'[2]new sheet'!$A$1:$IV$65536,2,0),0)</f>
        <v>19</v>
      </c>
      <c r="H684" s="5">
        <f>IFERROR(VLOOKUP(B684,'[3]new sheet'!$A$1:$IV$65536,2,0),0)</f>
        <v>2</v>
      </c>
    </row>
    <row r="685" spans="1:8" ht="24" customHeight="1">
      <c r="A685" s="7">
        <v>995433</v>
      </c>
      <c r="B685" s="7">
        <v>544</v>
      </c>
      <c r="C685" s="8" t="s">
        <v>533</v>
      </c>
      <c r="D685" s="8" t="s">
        <v>1934</v>
      </c>
      <c r="E685" s="2">
        <f>IFERROR(VLOOKUP(B685,'[1]new sheet'!$A$1:$IV$65536,5,FALSE),0)</f>
        <v>25</v>
      </c>
      <c r="F685" s="3">
        <f>IFERROR(VLOOKUP(B685,'[1]new sheet'!$A$1:$IV$65536,4,FALSE),0)</f>
        <v>1</v>
      </c>
      <c r="G685" s="4">
        <f>IFERROR(VLOOKUP(B685,'[2]new sheet'!$A$1:$IV$65536,2,0),0)</f>
        <v>12</v>
      </c>
      <c r="H685" s="5">
        <f>IFERROR(VLOOKUP(B685,'[3]new sheet'!$A$1:$IV$65536,2,0),0)</f>
        <v>4</v>
      </c>
    </row>
    <row r="686" spans="1:8" ht="24" customHeight="1">
      <c r="A686" s="7">
        <v>237729</v>
      </c>
      <c r="B686" s="7">
        <v>806</v>
      </c>
      <c r="C686" s="8" t="s">
        <v>534</v>
      </c>
      <c r="D686" s="8" t="s">
        <v>1934</v>
      </c>
      <c r="E686" s="2">
        <f>IFERROR(VLOOKUP(B686,'[1]new sheet'!$A$1:$IV$65536,5,FALSE),0)</f>
        <v>0</v>
      </c>
      <c r="F686" s="3">
        <f>IFERROR(VLOOKUP(B686,'[1]new sheet'!$A$1:$IV$65536,4,FALSE),0)</f>
        <v>0</v>
      </c>
      <c r="G686" s="4">
        <f>IFERROR(VLOOKUP(B686,'[2]new sheet'!$A$1:$IV$65536,2,0),0)</f>
        <v>0</v>
      </c>
      <c r="H686" s="5">
        <f>IFERROR(VLOOKUP(B686,'[3]new sheet'!$A$1:$IV$65536,2,0),0)</f>
        <v>0</v>
      </c>
    </row>
    <row r="687" spans="1:8" ht="24" customHeight="1">
      <c r="A687" s="7"/>
      <c r="B687" s="7">
        <v>115</v>
      </c>
      <c r="C687" s="8" t="s">
        <v>535</v>
      </c>
      <c r="D687" s="8" t="s">
        <v>1935</v>
      </c>
      <c r="E687" s="2">
        <f>IFERROR(VLOOKUP(B687,'[1]new sheet'!$A$1:$IV$65536,5,FALSE),0)</f>
        <v>0</v>
      </c>
      <c r="F687" s="3">
        <f>IFERROR(VLOOKUP(B687,'[1]new sheet'!$A$1:$IV$65536,4,FALSE),0)</f>
        <v>0</v>
      </c>
      <c r="G687" s="4">
        <f>IFERROR(VLOOKUP(B687,'[2]new sheet'!$A$1:$IV$65536,2,0),0)</f>
        <v>0</v>
      </c>
      <c r="H687" s="5">
        <f>IFERROR(VLOOKUP(B687,'[3]new sheet'!$A$1:$IV$65536,2,0),0)</f>
        <v>0</v>
      </c>
    </row>
    <row r="688" spans="1:8" ht="24" customHeight="1">
      <c r="A688" s="7"/>
      <c r="B688" s="7">
        <v>2842</v>
      </c>
      <c r="C688" s="8" t="s">
        <v>536</v>
      </c>
      <c r="D688" s="8" t="s">
        <v>1934</v>
      </c>
      <c r="E688" s="2">
        <f>IFERROR(VLOOKUP(B688,'[1]new sheet'!$A$1:$IV$65536,5,FALSE),0)</f>
        <v>0</v>
      </c>
      <c r="F688" s="3">
        <f>IFERROR(VLOOKUP(B688,'[1]new sheet'!$A$1:$IV$65536,4,FALSE),0)</f>
        <v>0</v>
      </c>
      <c r="G688" s="4">
        <f>IFERROR(VLOOKUP(B688,'[2]new sheet'!$A$1:$IV$65536,2,0),0)</f>
        <v>0</v>
      </c>
      <c r="H688" s="5">
        <f>IFERROR(VLOOKUP(B688,'[3]new sheet'!$A$1:$IV$65536,2,0),0)</f>
        <v>0</v>
      </c>
    </row>
    <row r="689" spans="1:8" ht="24" customHeight="1">
      <c r="A689" s="7">
        <v>1000118</v>
      </c>
      <c r="B689" s="7">
        <v>888</v>
      </c>
      <c r="C689" s="8" t="s">
        <v>537</v>
      </c>
      <c r="D689" s="8" t="s">
        <v>1934</v>
      </c>
      <c r="E689" s="2">
        <f>IFERROR(VLOOKUP(B689,'[1]new sheet'!$A$1:$IV$65536,5,FALSE),0)</f>
        <v>0</v>
      </c>
      <c r="F689" s="3">
        <f>IFERROR(VLOOKUP(B689,'[1]new sheet'!$A$1:$IV$65536,4,FALSE),0)</f>
        <v>0</v>
      </c>
      <c r="G689" s="4">
        <f>IFERROR(VLOOKUP(B689,'[2]new sheet'!$A$1:$IV$65536,2,0),0)</f>
        <v>0</v>
      </c>
      <c r="H689" s="5">
        <f>IFERROR(VLOOKUP(B689,'[3]new sheet'!$A$1:$IV$65536,2,0),0)</f>
        <v>0</v>
      </c>
    </row>
    <row r="690" spans="1:8" ht="24" customHeight="1">
      <c r="A690" s="7"/>
      <c r="B690" s="7">
        <v>49</v>
      </c>
      <c r="C690" s="8" t="s">
        <v>538</v>
      </c>
      <c r="D690" s="8" t="s">
        <v>1934</v>
      </c>
      <c r="E690" s="2">
        <f>IFERROR(VLOOKUP(B690,'[1]new sheet'!$A$1:$IV$65536,5,FALSE),0)</f>
        <v>0</v>
      </c>
      <c r="F690" s="3">
        <f>IFERROR(VLOOKUP(B690,'[1]new sheet'!$A$1:$IV$65536,4,FALSE),0)</f>
        <v>0</v>
      </c>
      <c r="G690" s="4">
        <f>IFERROR(VLOOKUP(B690,'[2]new sheet'!$A$1:$IV$65536,2,0),0)</f>
        <v>13</v>
      </c>
      <c r="H690" s="5">
        <f>IFERROR(VLOOKUP(B690,'[3]new sheet'!$A$1:$IV$65536,2,0),0)</f>
        <v>0</v>
      </c>
    </row>
    <row r="691" spans="1:8" ht="24" customHeight="1">
      <c r="A691" s="7">
        <v>15849</v>
      </c>
      <c r="B691" s="7">
        <v>546</v>
      </c>
      <c r="C691" s="8" t="s">
        <v>539</v>
      </c>
      <c r="D691" s="8" t="s">
        <v>1934</v>
      </c>
      <c r="E691" s="2">
        <f>IFERROR(VLOOKUP(B691,'[1]new sheet'!$A$1:$IV$65536,5,FALSE),0)</f>
        <v>44</v>
      </c>
      <c r="F691" s="3">
        <f>IFERROR(VLOOKUP(B691,'[1]new sheet'!$A$1:$IV$65536,4,FALSE),0)</f>
        <v>5</v>
      </c>
      <c r="G691" s="4">
        <f>IFERROR(VLOOKUP(B691,'[2]new sheet'!$A$1:$IV$65536,2,0),0)</f>
        <v>42</v>
      </c>
      <c r="H691" s="5">
        <f>IFERROR(VLOOKUP(B691,'[3]new sheet'!$A$1:$IV$65536,2,0),0)</f>
        <v>11</v>
      </c>
    </row>
    <row r="692" spans="1:8" ht="24" customHeight="1">
      <c r="A692" s="7">
        <v>614068</v>
      </c>
      <c r="B692" s="7">
        <v>3351</v>
      </c>
      <c r="C692" s="8" t="s">
        <v>540</v>
      </c>
      <c r="D692" s="8" t="s">
        <v>1934</v>
      </c>
      <c r="E692" s="2">
        <f>IFERROR(VLOOKUP(B692,'[1]new sheet'!$A$1:$IV$65536,5,FALSE),0)</f>
        <v>3</v>
      </c>
      <c r="F692" s="3">
        <f>IFERROR(VLOOKUP(B692,'[1]new sheet'!$A$1:$IV$65536,4,FALSE),0)</f>
        <v>0</v>
      </c>
      <c r="G692" s="4">
        <f>IFERROR(VLOOKUP(B692,'[2]new sheet'!$A$1:$IV$65536,2,0),0)</f>
        <v>13</v>
      </c>
      <c r="H692" s="5">
        <f>IFERROR(VLOOKUP(B692,'[3]new sheet'!$A$1:$IV$65536,2,0),0)</f>
        <v>1</v>
      </c>
    </row>
    <row r="693" spans="1:8" ht="24" customHeight="1">
      <c r="A693" s="7">
        <v>1000100</v>
      </c>
      <c r="B693" s="7">
        <v>2191</v>
      </c>
      <c r="C693" s="8" t="s">
        <v>541</v>
      </c>
      <c r="D693" s="8" t="s">
        <v>1934</v>
      </c>
      <c r="E693" s="2">
        <f>IFERROR(VLOOKUP(B693,'[1]new sheet'!$A$1:$IV$65536,5,FALSE),0)</f>
        <v>0</v>
      </c>
      <c r="F693" s="3">
        <f>IFERROR(VLOOKUP(B693,'[1]new sheet'!$A$1:$IV$65536,4,FALSE),0)</f>
        <v>0</v>
      </c>
      <c r="G693" s="4">
        <f>IFERROR(VLOOKUP(B693,'[2]new sheet'!$A$1:$IV$65536,2,0),0)</f>
        <v>0</v>
      </c>
      <c r="H693" s="5">
        <f>IFERROR(VLOOKUP(B693,'[3]new sheet'!$A$1:$IV$65536,2,0),0)</f>
        <v>0</v>
      </c>
    </row>
    <row r="694" spans="1:8" ht="24" customHeight="1">
      <c r="A694" s="7">
        <v>1026</v>
      </c>
      <c r="B694" s="7">
        <v>1232</v>
      </c>
      <c r="C694" s="8" t="s">
        <v>542</v>
      </c>
      <c r="D694" s="8" t="s">
        <v>1934</v>
      </c>
      <c r="E694" s="2">
        <f>IFERROR(VLOOKUP(B694,'[1]new sheet'!$A$1:$IV$65536,5,FALSE),0)</f>
        <v>0</v>
      </c>
      <c r="F694" s="3">
        <f>IFERROR(VLOOKUP(B694,'[1]new sheet'!$A$1:$IV$65536,4,FALSE),0)</f>
        <v>0</v>
      </c>
      <c r="G694" s="4">
        <f>IFERROR(VLOOKUP(B694,'[2]new sheet'!$A$1:$IV$65536,2,0),0)</f>
        <v>0</v>
      </c>
      <c r="H694" s="5">
        <f>IFERROR(VLOOKUP(B694,'[3]new sheet'!$A$1:$IV$65536,2,0),0)</f>
        <v>0</v>
      </c>
    </row>
    <row r="695" spans="1:8" ht="24" customHeight="1">
      <c r="A695" s="7">
        <v>989775</v>
      </c>
      <c r="B695" s="7">
        <v>4299</v>
      </c>
      <c r="C695" s="8" t="s">
        <v>1932</v>
      </c>
      <c r="D695" s="8" t="s">
        <v>1934</v>
      </c>
      <c r="E695" s="2">
        <f>IFERROR(VLOOKUP(B695,'[1]new sheet'!$A$1:$IV$65536,5,FALSE),0)</f>
        <v>1</v>
      </c>
      <c r="F695" s="3">
        <f>IFERROR(VLOOKUP(B695,'[1]new sheet'!$A$1:$IV$65536,4,FALSE),0)</f>
        <v>0</v>
      </c>
      <c r="G695" s="4">
        <f>IFERROR(VLOOKUP(B695,'[2]new sheet'!$A$1:$IV$65536,2,0),0)</f>
        <v>4</v>
      </c>
      <c r="H695" s="5">
        <f>IFERROR(VLOOKUP(B695,'[3]new sheet'!$A$1:$IV$65536,2,0),0)</f>
        <v>2</v>
      </c>
    </row>
    <row r="696" spans="1:8" ht="24" customHeight="1">
      <c r="A696" s="7">
        <v>555</v>
      </c>
      <c r="B696" s="7">
        <v>50</v>
      </c>
      <c r="C696" s="8" t="s">
        <v>543</v>
      </c>
      <c r="D696" s="8" t="s">
        <v>1934</v>
      </c>
      <c r="E696" s="2">
        <f>IFERROR(VLOOKUP(B696,'[1]new sheet'!$A$1:$IV$65536,5,FALSE),0)</f>
        <v>67</v>
      </c>
      <c r="F696" s="3">
        <f>IFERROR(VLOOKUP(B696,'[1]new sheet'!$A$1:$IV$65536,4,FALSE),0)</f>
        <v>13</v>
      </c>
      <c r="G696" s="4">
        <f>IFERROR(VLOOKUP(B696,'[2]new sheet'!$A$1:$IV$65536,2,0),0)</f>
        <v>482</v>
      </c>
      <c r="H696" s="5">
        <f>IFERROR(VLOOKUP(B696,'[3]new sheet'!$A$1:$IV$65536,2,0),0)</f>
        <v>144</v>
      </c>
    </row>
    <row r="697" spans="1:8" ht="24" customHeight="1">
      <c r="A697" s="7" t="s">
        <v>544</v>
      </c>
      <c r="B697" s="7">
        <v>1996</v>
      </c>
      <c r="C697" s="8" t="s">
        <v>545</v>
      </c>
      <c r="D697" s="8" t="s">
        <v>1934</v>
      </c>
      <c r="E697" s="2">
        <f>IFERROR(VLOOKUP(B697,'[1]new sheet'!$A$1:$IV$65536,5,FALSE),0)</f>
        <v>0</v>
      </c>
      <c r="F697" s="3">
        <f>IFERROR(VLOOKUP(B697,'[1]new sheet'!$A$1:$IV$65536,4,FALSE),0)</f>
        <v>0</v>
      </c>
      <c r="G697" s="4">
        <f>IFERROR(VLOOKUP(B697,'[2]new sheet'!$A$1:$IV$65536,2,0),0)</f>
        <v>0</v>
      </c>
      <c r="H697" s="5">
        <f>IFERROR(VLOOKUP(B697,'[3]new sheet'!$A$1:$IV$65536,2,0),0)</f>
        <v>0</v>
      </c>
    </row>
    <row r="698" spans="1:8" ht="24" customHeight="1">
      <c r="A698" s="7">
        <v>672</v>
      </c>
      <c r="B698" s="7">
        <v>2276</v>
      </c>
      <c r="C698" s="8" t="s">
        <v>546</v>
      </c>
      <c r="D698" s="8" t="s">
        <v>1934</v>
      </c>
      <c r="E698" s="2">
        <f>IFERROR(VLOOKUP(B698,'[1]new sheet'!$A$1:$IV$65536,5,FALSE),0)</f>
        <v>0</v>
      </c>
      <c r="F698" s="3">
        <f>IFERROR(VLOOKUP(B698,'[1]new sheet'!$A$1:$IV$65536,4,FALSE),0)</f>
        <v>0</v>
      </c>
      <c r="G698" s="4">
        <f>IFERROR(VLOOKUP(B698,'[2]new sheet'!$A$1:$IV$65536,2,0),0)</f>
        <v>0</v>
      </c>
      <c r="H698" s="5">
        <f>IFERROR(VLOOKUP(B698,'[3]new sheet'!$A$1:$IV$65536,2,0),0)</f>
        <v>0</v>
      </c>
    </row>
    <row r="699" spans="1:8" ht="24" customHeight="1">
      <c r="A699" s="7"/>
      <c r="B699" s="7">
        <v>48</v>
      </c>
      <c r="C699" s="8" t="s">
        <v>547</v>
      </c>
      <c r="D699" s="8" t="s">
        <v>1934</v>
      </c>
      <c r="E699" s="2">
        <f>IFERROR(VLOOKUP(B699,'[1]new sheet'!$A$1:$IV$65536,5,FALSE),0)</f>
        <v>352</v>
      </c>
      <c r="F699" s="3">
        <f>IFERROR(VLOOKUP(B699,'[1]new sheet'!$A$1:$IV$65536,4,FALSE),0)</f>
        <v>8</v>
      </c>
      <c r="G699" s="4">
        <f>IFERROR(VLOOKUP(B699,'[2]new sheet'!$A$1:$IV$65536,2,0),0)</f>
        <v>398</v>
      </c>
      <c r="H699" s="5">
        <f>IFERROR(VLOOKUP(B699,'[3]new sheet'!$A$1:$IV$65536,2,0),0)</f>
        <v>142</v>
      </c>
    </row>
    <row r="700" spans="1:8" ht="24" customHeight="1">
      <c r="A700" s="7">
        <v>993446</v>
      </c>
      <c r="B700" s="7">
        <v>2588</v>
      </c>
      <c r="C700" s="8" t="s">
        <v>548</v>
      </c>
      <c r="D700" s="8" t="s">
        <v>1934</v>
      </c>
      <c r="E700" s="2">
        <f>IFERROR(VLOOKUP(B700,'[1]new sheet'!$A$1:$IV$65536,5,FALSE),0)</f>
        <v>0</v>
      </c>
      <c r="F700" s="3">
        <f>IFERROR(VLOOKUP(B700,'[1]new sheet'!$A$1:$IV$65536,4,FALSE),0)</f>
        <v>0</v>
      </c>
      <c r="G700" s="4">
        <f>IFERROR(VLOOKUP(B700,'[2]new sheet'!$A$1:$IV$65536,2,0),0)</f>
        <v>0</v>
      </c>
      <c r="H700" s="5">
        <f>IFERROR(VLOOKUP(B700,'[3]new sheet'!$A$1:$IV$65536,2,0),0)</f>
        <v>0</v>
      </c>
    </row>
    <row r="701" spans="1:8" ht="24" customHeight="1">
      <c r="A701" s="7">
        <v>197734</v>
      </c>
      <c r="B701" s="7">
        <v>1648</v>
      </c>
      <c r="C701" s="8" t="s">
        <v>549</v>
      </c>
      <c r="D701" s="8" t="s">
        <v>1934</v>
      </c>
      <c r="E701" s="2">
        <f>IFERROR(VLOOKUP(B701,'[1]new sheet'!$A$1:$IV$65536,5,FALSE),0)</f>
        <v>71</v>
      </c>
      <c r="F701" s="3">
        <f>IFERROR(VLOOKUP(B701,'[1]new sheet'!$A$1:$IV$65536,4,FALSE),0)</f>
        <v>0</v>
      </c>
      <c r="G701" s="4">
        <f>IFERROR(VLOOKUP(B701,'[2]new sheet'!$A$1:$IV$65536,2,0),0)</f>
        <v>32</v>
      </c>
      <c r="H701" s="5">
        <f>IFERROR(VLOOKUP(B701,'[3]new sheet'!$A$1:$IV$65536,2,0),0)</f>
        <v>8</v>
      </c>
    </row>
    <row r="702" spans="1:8" ht="24" customHeight="1">
      <c r="A702" s="7">
        <v>14450</v>
      </c>
      <c r="B702" s="7">
        <v>3679</v>
      </c>
      <c r="C702" s="8" t="s">
        <v>1739</v>
      </c>
      <c r="D702" s="8" t="s">
        <v>1934</v>
      </c>
      <c r="E702" s="2">
        <f>IFERROR(VLOOKUP(B702,'[1]new sheet'!$A$1:$IV$65536,5,FALSE),0)</f>
        <v>0</v>
      </c>
      <c r="F702" s="3">
        <f>IFERROR(VLOOKUP(B702,'[1]new sheet'!$A$1:$IV$65536,4,FALSE),0)</f>
        <v>0</v>
      </c>
      <c r="G702" s="4">
        <f>IFERROR(VLOOKUP(B702,'[2]new sheet'!$A$1:$IV$65536,2,0),0)</f>
        <v>0</v>
      </c>
      <c r="H702" s="5">
        <f>IFERROR(VLOOKUP(B702,'[3]new sheet'!$A$1:$IV$65536,2,0),0)</f>
        <v>0</v>
      </c>
    </row>
    <row r="703" spans="1:8" ht="24" customHeight="1">
      <c r="A703" s="7">
        <v>3005570</v>
      </c>
      <c r="B703" s="7">
        <v>4163</v>
      </c>
      <c r="C703" s="8" t="s">
        <v>1777</v>
      </c>
      <c r="D703" s="8" t="s">
        <v>1934</v>
      </c>
      <c r="E703" s="2">
        <f>IFERROR(VLOOKUP(B703,'[1]new sheet'!$A$1:$IV$65536,5,FALSE),0)</f>
        <v>43</v>
      </c>
      <c r="F703" s="3">
        <f>IFERROR(VLOOKUP(B703,'[1]new sheet'!$A$1:$IV$65536,4,FALSE),0)</f>
        <v>0</v>
      </c>
      <c r="G703" s="4">
        <f>IFERROR(VLOOKUP(B703,'[2]new sheet'!$A$1:$IV$65536,2,0),0)</f>
        <v>2</v>
      </c>
      <c r="H703" s="5">
        <f>IFERROR(VLOOKUP(B703,'[3]new sheet'!$A$1:$IV$65536,2,0),0)</f>
        <v>2</v>
      </c>
    </row>
    <row r="704" spans="1:8" ht="24" customHeight="1">
      <c r="A704" s="7">
        <v>33104</v>
      </c>
      <c r="B704" s="7">
        <v>2603</v>
      </c>
      <c r="C704" s="8" t="s">
        <v>550</v>
      </c>
      <c r="D704" s="8" t="s">
        <v>1935</v>
      </c>
      <c r="E704" s="2">
        <f>IFERROR(VLOOKUP(B704,'[1]new sheet'!$A$1:$IV$65536,5,FALSE),0)</f>
        <v>0</v>
      </c>
      <c r="F704" s="3">
        <f>IFERROR(VLOOKUP(B704,'[1]new sheet'!$A$1:$IV$65536,4,FALSE),0)</f>
        <v>0</v>
      </c>
      <c r="G704" s="4">
        <f>IFERROR(VLOOKUP(B704,'[2]new sheet'!$A$1:$IV$65536,2,0),0)</f>
        <v>0</v>
      </c>
      <c r="H704" s="5">
        <f>IFERROR(VLOOKUP(B704,'[3]new sheet'!$A$1:$IV$65536,2,0),0)</f>
        <v>0</v>
      </c>
    </row>
    <row r="705" spans="1:8" ht="24" customHeight="1">
      <c r="A705" s="7">
        <v>33</v>
      </c>
      <c r="B705" s="7">
        <v>548</v>
      </c>
      <c r="C705" s="8" t="s">
        <v>551</v>
      </c>
      <c r="D705" s="8" t="s">
        <v>1935</v>
      </c>
      <c r="E705" s="2">
        <f>IFERROR(VLOOKUP(B705,'[1]new sheet'!$A$1:$IV$65536,5,FALSE),0)</f>
        <v>0</v>
      </c>
      <c r="F705" s="3">
        <f>IFERROR(VLOOKUP(B705,'[1]new sheet'!$A$1:$IV$65536,4,FALSE),0)</f>
        <v>0</v>
      </c>
      <c r="G705" s="4">
        <f>IFERROR(VLOOKUP(B705,'[2]new sheet'!$A$1:$IV$65536,2,0),0)</f>
        <v>0</v>
      </c>
      <c r="H705" s="5">
        <f>IFERROR(VLOOKUP(B705,'[3]new sheet'!$A$1:$IV$65536,2,0),0)</f>
        <v>0</v>
      </c>
    </row>
    <row r="706" spans="1:8" ht="24" customHeight="1">
      <c r="A706" s="7">
        <v>4170</v>
      </c>
      <c r="B706" s="7">
        <v>3195</v>
      </c>
      <c r="C706" s="8" t="s">
        <v>552</v>
      </c>
      <c r="D706" s="8" t="s">
        <v>1934</v>
      </c>
      <c r="E706" s="2">
        <f>IFERROR(VLOOKUP(B706,'[1]new sheet'!$A$1:$IV$65536,5,FALSE),0)</f>
        <v>22</v>
      </c>
      <c r="F706" s="3">
        <f>IFERROR(VLOOKUP(B706,'[1]new sheet'!$A$1:$IV$65536,4,FALSE),0)</f>
        <v>1</v>
      </c>
      <c r="G706" s="4">
        <f>IFERROR(VLOOKUP(B706,'[2]new sheet'!$A$1:$IV$65536,2,0),0)</f>
        <v>35</v>
      </c>
      <c r="H706" s="5">
        <f>IFERROR(VLOOKUP(B706,'[3]new sheet'!$A$1:$IV$65536,2,0),0)</f>
        <v>9</v>
      </c>
    </row>
    <row r="707" spans="1:8" ht="24" customHeight="1">
      <c r="A707" s="7">
        <v>664</v>
      </c>
      <c r="B707" s="7">
        <v>3363</v>
      </c>
      <c r="C707" s="8" t="s">
        <v>553</v>
      </c>
      <c r="D707" s="8" t="s">
        <v>1935</v>
      </c>
      <c r="E707" s="26"/>
      <c r="F707" s="26"/>
      <c r="G707" s="26"/>
      <c r="H707" s="26"/>
    </row>
    <row r="708" spans="1:8" ht="24" customHeight="1">
      <c r="A708" s="7"/>
      <c r="B708" s="7">
        <v>807</v>
      </c>
      <c r="C708" s="8" t="s">
        <v>554</v>
      </c>
      <c r="D708" s="8" t="s">
        <v>1935</v>
      </c>
      <c r="E708" s="2">
        <f>IFERROR(VLOOKUP(B708,'[1]new sheet'!$A$1:$IV$65536,5,FALSE),0)</f>
        <v>0</v>
      </c>
      <c r="F708" s="3">
        <f>IFERROR(VLOOKUP(B708,'[1]new sheet'!$A$1:$IV$65536,4,FALSE),0)</f>
        <v>0</v>
      </c>
      <c r="G708" s="4">
        <f>IFERROR(VLOOKUP(B708,'[2]new sheet'!$A$1:$IV$65536,2,0),0)</f>
        <v>0</v>
      </c>
      <c r="H708" s="5">
        <f>IFERROR(VLOOKUP(B708,'[3]new sheet'!$A$1:$IV$65536,2,0),0)</f>
        <v>0</v>
      </c>
    </row>
    <row r="709" spans="1:8" ht="24" customHeight="1">
      <c r="A709" s="7" t="s">
        <v>555</v>
      </c>
      <c r="B709" s="7">
        <v>1068</v>
      </c>
      <c r="C709" s="8" t="s">
        <v>556</v>
      </c>
      <c r="D709" s="8" t="s">
        <v>1935</v>
      </c>
      <c r="E709" s="2">
        <f>IFERROR(VLOOKUP(B709,'[1]new sheet'!$A$1:$IV$65536,5,FALSE),0)</f>
        <v>0</v>
      </c>
      <c r="F709" s="3">
        <f>IFERROR(VLOOKUP(B709,'[1]new sheet'!$A$1:$IV$65536,4,FALSE),0)</f>
        <v>0</v>
      </c>
      <c r="G709" s="4">
        <f>IFERROR(VLOOKUP(B709,'[2]new sheet'!$A$1:$IV$65536,2,0),0)</f>
        <v>0</v>
      </c>
      <c r="H709" s="5">
        <f>IFERROR(VLOOKUP(B709,'[3]new sheet'!$A$1:$IV$65536,2,0),0)</f>
        <v>0</v>
      </c>
    </row>
    <row r="710" spans="1:8" ht="24" customHeight="1">
      <c r="A710" s="7"/>
      <c r="B710" s="7">
        <v>116</v>
      </c>
      <c r="C710" s="8" t="s">
        <v>557</v>
      </c>
      <c r="D710" s="8" t="s">
        <v>1934</v>
      </c>
      <c r="E710" s="2">
        <f>IFERROR(VLOOKUP(B710,'[1]new sheet'!$A$1:$IV$65536,5,FALSE),0)</f>
        <v>0</v>
      </c>
      <c r="F710" s="3">
        <f>IFERROR(VLOOKUP(B710,'[1]new sheet'!$A$1:$IV$65536,4,FALSE),0)</f>
        <v>0</v>
      </c>
      <c r="G710" s="4">
        <f>IFERROR(VLOOKUP(B710,'[2]new sheet'!$A$1:$IV$65536,2,0),0)</f>
        <v>0</v>
      </c>
      <c r="H710" s="5">
        <f>IFERROR(VLOOKUP(B710,'[3]new sheet'!$A$1:$IV$65536,2,0),0)</f>
        <v>0</v>
      </c>
    </row>
    <row r="711" spans="1:8" ht="24" customHeight="1">
      <c r="A711" s="7">
        <v>5789</v>
      </c>
      <c r="B711" s="7">
        <v>294</v>
      </c>
      <c r="C711" s="8" t="s">
        <v>558</v>
      </c>
      <c r="D711" s="8" t="s">
        <v>1934</v>
      </c>
      <c r="E711" s="2">
        <f>IFERROR(VLOOKUP(B711,'[1]new sheet'!$A$1:$IV$65536,5,FALSE),0)</f>
        <v>0</v>
      </c>
      <c r="F711" s="3">
        <f>IFERROR(VLOOKUP(B711,'[1]new sheet'!$A$1:$IV$65536,4,FALSE),0)</f>
        <v>0</v>
      </c>
      <c r="G711" s="4">
        <f>IFERROR(VLOOKUP(B711,'[2]new sheet'!$A$1:$IV$65536,2,0),0)</f>
        <v>0</v>
      </c>
      <c r="H711" s="5">
        <f>IFERROR(VLOOKUP(B711,'[3]new sheet'!$A$1:$IV$65536,2,0),0)</f>
        <v>0</v>
      </c>
    </row>
    <row r="712" spans="1:8" ht="24" customHeight="1">
      <c r="A712" s="7">
        <v>30822</v>
      </c>
      <c r="B712" s="7">
        <v>549</v>
      </c>
      <c r="C712" s="8" t="s">
        <v>559</v>
      </c>
      <c r="D712" s="8" t="s">
        <v>1934</v>
      </c>
      <c r="E712" s="2">
        <f>IFERROR(VLOOKUP(B712,'[1]new sheet'!$A$1:$IV$65536,5,FALSE),0)</f>
        <v>24</v>
      </c>
      <c r="F712" s="3">
        <f>IFERROR(VLOOKUP(B712,'[1]new sheet'!$A$1:$IV$65536,4,FALSE),0)</f>
        <v>0</v>
      </c>
      <c r="G712" s="4">
        <f>IFERROR(VLOOKUP(B712,'[2]new sheet'!$A$1:$IV$65536,2,0),0)</f>
        <v>20</v>
      </c>
      <c r="H712" s="5">
        <f>IFERROR(VLOOKUP(B712,'[3]new sheet'!$A$1:$IV$65536,2,0),0)</f>
        <v>9</v>
      </c>
    </row>
    <row r="713" spans="1:8" ht="24" customHeight="1">
      <c r="A713" s="7">
        <v>229848</v>
      </c>
      <c r="B713" s="7">
        <v>550</v>
      </c>
      <c r="C713" s="8" t="s">
        <v>560</v>
      </c>
      <c r="D713" s="8" t="s">
        <v>1934</v>
      </c>
      <c r="E713" s="2">
        <f>IFERROR(VLOOKUP(B713,'[1]new sheet'!$A$1:$IV$65536,5,FALSE),0)</f>
        <v>88</v>
      </c>
      <c r="F713" s="3">
        <f>IFERROR(VLOOKUP(B713,'[1]new sheet'!$A$1:$IV$65536,4,FALSE),0)</f>
        <v>0</v>
      </c>
      <c r="G713" s="4">
        <f>IFERROR(VLOOKUP(B713,'[2]new sheet'!$A$1:$IV$65536,2,0),0)</f>
        <v>41</v>
      </c>
      <c r="H713" s="5">
        <f>IFERROR(VLOOKUP(B713,'[3]new sheet'!$A$1:$IV$65536,2,0),0)</f>
        <v>13</v>
      </c>
    </row>
    <row r="714" spans="1:8" ht="24" customHeight="1">
      <c r="A714" s="7">
        <v>110496</v>
      </c>
      <c r="B714" s="7">
        <v>3315</v>
      </c>
      <c r="C714" s="8" t="s">
        <v>561</v>
      </c>
      <c r="D714" s="8" t="s">
        <v>1934</v>
      </c>
      <c r="E714" s="2">
        <f>IFERROR(VLOOKUP(B714,'[1]new sheet'!$A$1:$IV$65536,5,FALSE),0)</f>
        <v>1274</v>
      </c>
      <c r="F714" s="3">
        <f>IFERROR(VLOOKUP(B714,'[1]new sheet'!$A$1:$IV$65536,4,FALSE),0)</f>
        <v>98</v>
      </c>
      <c r="G714" s="4">
        <f>IFERROR(VLOOKUP(B714,'[2]new sheet'!$A$1:$IV$65536,2,0),0)</f>
        <v>308</v>
      </c>
      <c r="H714" s="5">
        <f>IFERROR(VLOOKUP(B714,'[3]new sheet'!$A$1:$IV$65536,2,0),0)</f>
        <v>1050</v>
      </c>
    </row>
    <row r="715" spans="1:8" ht="24" customHeight="1">
      <c r="A715" s="7">
        <v>985996</v>
      </c>
      <c r="B715" s="7">
        <v>882</v>
      </c>
      <c r="C715" s="8" t="s">
        <v>562</v>
      </c>
      <c r="D715" s="8" t="s">
        <v>1934</v>
      </c>
      <c r="E715" s="2">
        <f>IFERROR(VLOOKUP(B715,'[1]new sheet'!$A$1:$IV$65536,5,FALSE),0)</f>
        <v>0</v>
      </c>
      <c r="F715" s="3">
        <f>IFERROR(VLOOKUP(B715,'[1]new sheet'!$A$1:$IV$65536,4,FALSE),0)</f>
        <v>0</v>
      </c>
      <c r="G715" s="4">
        <f>IFERROR(VLOOKUP(B715,'[2]new sheet'!$A$1:$IV$65536,2,0),0)</f>
        <v>0</v>
      </c>
      <c r="H715" s="5">
        <f>IFERROR(VLOOKUP(B715,'[3]new sheet'!$A$1:$IV$65536,2,0),0)</f>
        <v>0</v>
      </c>
    </row>
    <row r="716" spans="1:8" ht="24" customHeight="1">
      <c r="A716" s="7">
        <v>56</v>
      </c>
      <c r="B716" s="7">
        <v>551</v>
      </c>
      <c r="C716" s="8" t="s">
        <v>563</v>
      </c>
      <c r="D716" s="8" t="s">
        <v>1934</v>
      </c>
      <c r="E716" s="2">
        <f>IFERROR(VLOOKUP(B716,'[1]new sheet'!$A$1:$IV$65536,5,FALSE),0)</f>
        <v>1577</v>
      </c>
      <c r="F716" s="3">
        <f>IFERROR(VLOOKUP(B716,'[1]new sheet'!$A$1:$IV$65536,4,FALSE),0)</f>
        <v>37</v>
      </c>
      <c r="G716" s="4">
        <f>IFERROR(VLOOKUP(B716,'[2]new sheet'!$A$1:$IV$65536,2,0),0)</f>
        <v>1550</v>
      </c>
      <c r="H716" s="5">
        <f>IFERROR(VLOOKUP(B716,'[3]new sheet'!$A$1:$IV$65536,2,0),0)</f>
        <v>1876</v>
      </c>
    </row>
    <row r="717" spans="1:8" ht="24" customHeight="1">
      <c r="A717" s="7"/>
      <c r="B717" s="7">
        <v>552</v>
      </c>
      <c r="C717" s="8" t="s">
        <v>564</v>
      </c>
      <c r="D717" s="8" t="s">
        <v>1934</v>
      </c>
      <c r="E717" s="2">
        <f>IFERROR(VLOOKUP(B717,'[1]new sheet'!$A$1:$IV$65536,5,FALSE),0)</f>
        <v>0</v>
      </c>
      <c r="F717" s="3">
        <f>IFERROR(VLOOKUP(B717,'[1]new sheet'!$A$1:$IV$65536,4,FALSE),0)</f>
        <v>0</v>
      </c>
      <c r="G717" s="4">
        <f>IFERROR(VLOOKUP(B717,'[2]new sheet'!$A$1:$IV$65536,2,0),0)</f>
        <v>0</v>
      </c>
      <c r="H717" s="5">
        <f>IFERROR(VLOOKUP(B717,'[3]new sheet'!$A$1:$IV$65536,2,0),0)</f>
        <v>0</v>
      </c>
    </row>
    <row r="718" spans="1:8" ht="24" customHeight="1">
      <c r="A718" s="7">
        <v>89462</v>
      </c>
      <c r="B718" s="7">
        <v>553</v>
      </c>
      <c r="C718" s="8" t="s">
        <v>565</v>
      </c>
      <c r="D718" s="8" t="s">
        <v>1934</v>
      </c>
      <c r="E718" s="2">
        <f>IFERROR(VLOOKUP(B718,'[1]new sheet'!$A$1:$IV$65536,5,FALSE),0)</f>
        <v>0</v>
      </c>
      <c r="F718" s="3">
        <f>IFERROR(VLOOKUP(B718,'[1]new sheet'!$A$1:$IV$65536,4,FALSE),0)</f>
        <v>0</v>
      </c>
      <c r="G718" s="4">
        <f>IFERROR(VLOOKUP(B718,'[2]new sheet'!$A$1:$IV$65536,2,0),0)</f>
        <v>1497</v>
      </c>
      <c r="H718" s="5">
        <f>IFERROR(VLOOKUP(B718,'[3]new sheet'!$A$1:$IV$65536,2,0),0)</f>
        <v>0</v>
      </c>
    </row>
    <row r="719" spans="1:8" ht="24" customHeight="1">
      <c r="A719" s="7">
        <v>43</v>
      </c>
      <c r="B719" s="7">
        <v>51</v>
      </c>
      <c r="C719" s="8" t="s">
        <v>566</v>
      </c>
      <c r="D719" s="8" t="s">
        <v>1934</v>
      </c>
      <c r="E719" s="2">
        <f>IFERROR(VLOOKUP(B719,'[1]new sheet'!$A$1:$IV$65536,5,FALSE),0)</f>
        <v>0</v>
      </c>
      <c r="F719" s="3">
        <f>IFERROR(VLOOKUP(B719,'[1]new sheet'!$A$1:$IV$65536,4,FALSE),0)</f>
        <v>45</v>
      </c>
      <c r="G719" s="4">
        <f>IFERROR(VLOOKUP(B719,'[2]new sheet'!$A$1:$IV$65536,2,0),0)</f>
        <v>6982</v>
      </c>
      <c r="H719" s="5">
        <f>IFERROR(VLOOKUP(B719,'[3]new sheet'!$A$1:$IV$65536,2,0),0)</f>
        <v>1360</v>
      </c>
    </row>
    <row r="720" spans="1:8" ht="24" customHeight="1">
      <c r="A720" s="7">
        <v>101</v>
      </c>
      <c r="B720" s="7">
        <v>1561</v>
      </c>
      <c r="C720" s="8" t="s">
        <v>567</v>
      </c>
      <c r="D720" s="8" t="s">
        <v>1934</v>
      </c>
      <c r="E720" s="2">
        <f>IFERROR(VLOOKUP(B720,'[1]new sheet'!$A$1:$IV$65536,5,FALSE),0)</f>
        <v>2</v>
      </c>
      <c r="F720" s="3">
        <f>IFERROR(VLOOKUP(B720,'[1]new sheet'!$A$1:$IV$65536,4,FALSE),0)</f>
        <v>0</v>
      </c>
      <c r="G720" s="4">
        <f>IFERROR(VLOOKUP(B720,'[2]new sheet'!$A$1:$IV$65536,2,0),0)</f>
        <v>714</v>
      </c>
      <c r="H720" s="5">
        <f>IFERROR(VLOOKUP(B720,'[3]new sheet'!$A$1:$IV$65536,2,0),0)</f>
        <v>4</v>
      </c>
    </row>
    <row r="721" spans="1:8" ht="24" customHeight="1">
      <c r="A721" s="7">
        <v>70267</v>
      </c>
      <c r="B721" s="7">
        <v>52</v>
      </c>
      <c r="C721" s="8" t="s">
        <v>568</v>
      </c>
      <c r="D721" s="8" t="s">
        <v>1934</v>
      </c>
      <c r="E721" s="2">
        <f>IFERROR(VLOOKUP(B721,'[1]new sheet'!$A$1:$IV$65536,5,FALSE),0)</f>
        <v>1694</v>
      </c>
      <c r="F721" s="3">
        <f>IFERROR(VLOOKUP(B721,'[1]new sheet'!$A$1:$IV$65536,4,FALSE),0)</f>
        <v>24</v>
      </c>
      <c r="G721" s="4">
        <f>IFERROR(VLOOKUP(B721,'[2]new sheet'!$A$1:$IV$65536,2,0),0)</f>
        <v>765</v>
      </c>
      <c r="H721" s="5">
        <f>IFERROR(VLOOKUP(B721,'[3]new sheet'!$A$1:$IV$65536,2,0),0)</f>
        <v>282</v>
      </c>
    </row>
    <row r="722" spans="1:8" ht="24" customHeight="1">
      <c r="A722" s="7"/>
      <c r="B722" s="7">
        <v>390</v>
      </c>
      <c r="C722" s="8" t="s">
        <v>569</v>
      </c>
      <c r="D722" s="8" t="s">
        <v>1934</v>
      </c>
      <c r="E722" s="2">
        <f>IFERROR(VLOOKUP(B722,'[1]new sheet'!$A$1:$IV$65536,5,FALSE),0)</f>
        <v>0</v>
      </c>
      <c r="F722" s="3">
        <f>IFERROR(VLOOKUP(B722,'[1]new sheet'!$A$1:$IV$65536,4,FALSE),0)</f>
        <v>0</v>
      </c>
      <c r="G722" s="4">
        <f>IFERROR(VLOOKUP(B722,'[2]new sheet'!$A$1:$IV$65536,2,0),0)</f>
        <v>0</v>
      </c>
      <c r="H722" s="5">
        <f>IFERROR(VLOOKUP(B722,'[3]new sheet'!$A$1:$IV$65536,2,0),0)</f>
        <v>0</v>
      </c>
    </row>
    <row r="723" spans="1:8" ht="24" customHeight="1">
      <c r="A723" s="7">
        <v>928313</v>
      </c>
      <c r="B723" s="7">
        <v>1628</v>
      </c>
      <c r="C723" s="8" t="s">
        <v>570</v>
      </c>
      <c r="D723" s="8" t="s">
        <v>1935</v>
      </c>
      <c r="E723" s="2">
        <f>IFERROR(VLOOKUP(B723,'[1]new sheet'!$A$1:$IV$65536,5,FALSE),0)</f>
        <v>0</v>
      </c>
      <c r="F723" s="3">
        <f>IFERROR(VLOOKUP(B723,'[1]new sheet'!$A$1:$IV$65536,4,FALSE),0)</f>
        <v>0</v>
      </c>
      <c r="G723" s="4">
        <f>IFERROR(VLOOKUP(B723,'[2]new sheet'!$A$1:$IV$65536,2,0),0)</f>
        <v>2497.42</v>
      </c>
      <c r="H723" s="5">
        <f>IFERROR(VLOOKUP(B723,'[3]new sheet'!$A$1:$IV$65536,2,0),0)</f>
        <v>57.26</v>
      </c>
    </row>
    <row r="724" spans="1:8" ht="24" customHeight="1">
      <c r="A724" s="7">
        <v>797901</v>
      </c>
      <c r="B724" s="7">
        <v>53</v>
      </c>
      <c r="C724" s="8" t="s">
        <v>571</v>
      </c>
      <c r="D724" s="8" t="s">
        <v>1934</v>
      </c>
      <c r="E724" s="2">
        <f>IFERROR(VLOOKUP(B724,'[1]new sheet'!$A$1:$IV$65536,5,FALSE),0)</f>
        <v>85</v>
      </c>
      <c r="F724" s="3">
        <f>IFERROR(VLOOKUP(B724,'[1]new sheet'!$A$1:$IV$65536,4,FALSE),0)</f>
        <v>22</v>
      </c>
      <c r="G724" s="4">
        <f>IFERROR(VLOOKUP(B724,'[2]new sheet'!$A$1:$IV$65536,2,0),0)</f>
        <v>1017</v>
      </c>
      <c r="H724" s="5">
        <f>IFERROR(VLOOKUP(B724,'[3]new sheet'!$A$1:$IV$65536,2,0),0)</f>
        <v>315</v>
      </c>
    </row>
    <row r="725" spans="1:8" ht="24" customHeight="1">
      <c r="A725" s="7">
        <v>31250</v>
      </c>
      <c r="B725" s="7">
        <v>1890</v>
      </c>
      <c r="C725" s="8" t="s">
        <v>572</v>
      </c>
      <c r="D725" s="8" t="s">
        <v>1935</v>
      </c>
      <c r="E725" s="2">
        <f>IFERROR(VLOOKUP(B725,'[1]new sheet'!$A$1:$IV$65536,5,FALSE),0)</f>
        <v>0</v>
      </c>
      <c r="F725" s="3">
        <f>IFERROR(VLOOKUP(B725,'[1]new sheet'!$A$1:$IV$65536,4,FALSE),0)</f>
        <v>0</v>
      </c>
      <c r="G725" s="4">
        <f>IFERROR(VLOOKUP(B725,'[2]new sheet'!$A$1:$IV$65536,2,0),0)</f>
        <v>0</v>
      </c>
      <c r="H725" s="5">
        <f>IFERROR(VLOOKUP(B725,'[3]new sheet'!$A$1:$IV$65536,2,0),0)</f>
        <v>0</v>
      </c>
    </row>
    <row r="726" spans="1:8" ht="24" customHeight="1">
      <c r="A726" s="7">
        <v>58141</v>
      </c>
      <c r="B726" s="7">
        <v>937</v>
      </c>
      <c r="C726" s="8" t="s">
        <v>573</v>
      </c>
      <c r="D726" s="8" t="s">
        <v>1934</v>
      </c>
      <c r="E726" s="2">
        <f>IFERROR(VLOOKUP(B726,'[1]new sheet'!$A$1:$IV$65536,5,FALSE),0)</f>
        <v>75</v>
      </c>
      <c r="F726" s="3">
        <f>IFERROR(VLOOKUP(B726,'[1]new sheet'!$A$1:$IV$65536,4,FALSE),0)</f>
        <v>0</v>
      </c>
      <c r="G726" s="4">
        <f>IFERROR(VLOOKUP(B726,'[2]new sheet'!$A$1:$IV$65536,2,0),0)</f>
        <v>11</v>
      </c>
      <c r="H726" s="5">
        <f>IFERROR(VLOOKUP(B726,'[3]new sheet'!$A$1:$IV$65536,2,0),0)</f>
        <v>3</v>
      </c>
    </row>
    <row r="727" spans="1:8" ht="24" customHeight="1">
      <c r="A727" s="7" t="s">
        <v>574</v>
      </c>
      <c r="B727" s="7">
        <v>555</v>
      </c>
      <c r="C727" s="8" t="s">
        <v>575</v>
      </c>
      <c r="D727" s="8" t="s">
        <v>1934</v>
      </c>
      <c r="E727" s="2">
        <f>IFERROR(VLOOKUP(B727,'[1]new sheet'!$A$1:$IV$65536,5,FALSE),0)</f>
        <v>0</v>
      </c>
      <c r="F727" s="3">
        <f>IFERROR(VLOOKUP(B727,'[1]new sheet'!$A$1:$IV$65536,4,FALSE),0)</f>
        <v>0</v>
      </c>
      <c r="G727" s="4">
        <f>IFERROR(VLOOKUP(B727,'[2]new sheet'!$A$1:$IV$65536,2,0),0)</f>
        <v>0</v>
      </c>
      <c r="H727" s="5">
        <f>IFERROR(VLOOKUP(B727,'[3]new sheet'!$A$1:$IV$65536,2,0),0)</f>
        <v>0</v>
      </c>
    </row>
    <row r="728" spans="1:8" ht="24" customHeight="1">
      <c r="A728" s="7">
        <v>3004660</v>
      </c>
      <c r="B728" s="7">
        <v>3183</v>
      </c>
      <c r="C728" s="8" t="s">
        <v>576</v>
      </c>
      <c r="D728" s="8" t="s">
        <v>1934</v>
      </c>
      <c r="E728" s="2">
        <f>IFERROR(VLOOKUP(B728,'[1]new sheet'!$A$1:$IV$65536,5,FALSE),0)</f>
        <v>0</v>
      </c>
      <c r="F728" s="3">
        <f>IFERROR(VLOOKUP(B728,'[1]new sheet'!$A$1:$IV$65536,4,FALSE),0)</f>
        <v>0</v>
      </c>
      <c r="G728" s="4">
        <f>IFERROR(VLOOKUP(B728,'[2]new sheet'!$A$1:$IV$65536,2,0),0)</f>
        <v>0</v>
      </c>
      <c r="H728" s="5">
        <f>IFERROR(VLOOKUP(B728,'[3]new sheet'!$A$1:$IV$65536,2,0),0)</f>
        <v>0</v>
      </c>
    </row>
    <row r="729" spans="1:8" ht="24" customHeight="1">
      <c r="A729" s="7">
        <v>769886</v>
      </c>
      <c r="B729" s="7">
        <v>808</v>
      </c>
      <c r="C729" s="8" t="s">
        <v>1669</v>
      </c>
      <c r="D729" s="8" t="s">
        <v>1934</v>
      </c>
      <c r="E729" s="2">
        <f>IFERROR(VLOOKUP(B729,'[1]new sheet'!$A$1:$IV$65536,5,FALSE),0)</f>
        <v>141</v>
      </c>
      <c r="F729" s="3">
        <f>IFERROR(VLOOKUP(B729,'[1]new sheet'!$A$1:$IV$65536,4,FALSE),0)</f>
        <v>0</v>
      </c>
      <c r="G729" s="4">
        <f>IFERROR(VLOOKUP(B729,'[2]new sheet'!$A$1:$IV$65536,2,0),0)</f>
        <v>28</v>
      </c>
      <c r="H729" s="5">
        <f>IFERROR(VLOOKUP(B729,'[3]new sheet'!$A$1:$IV$65536,2,0),0)</f>
        <v>37</v>
      </c>
    </row>
    <row r="730" spans="1:8" s="6" customFormat="1" ht="24" customHeight="1">
      <c r="A730" s="7">
        <v>1055</v>
      </c>
      <c r="B730" s="7">
        <v>43</v>
      </c>
      <c r="C730" s="8" t="s">
        <v>577</v>
      </c>
      <c r="D730" s="8" t="s">
        <v>1934</v>
      </c>
      <c r="E730" s="2">
        <f>IFERROR(VLOOKUP(B730,'[1]new sheet'!$A$1:$IV$65536,5,FALSE),0)</f>
        <v>0</v>
      </c>
      <c r="F730" s="3">
        <f>IFERROR(VLOOKUP(B730,'[1]new sheet'!$A$1:$IV$65536,4,FALSE),0)</f>
        <v>0</v>
      </c>
      <c r="G730" s="4">
        <f>IFERROR(VLOOKUP(B730,'[2]new sheet'!$A$1:$IV$65536,2,0),0)</f>
        <v>0</v>
      </c>
      <c r="H730" s="5">
        <f>IFERROR(VLOOKUP(B730,'[3]new sheet'!$A$1:$IV$65536,2,0),0)</f>
        <v>0</v>
      </c>
    </row>
    <row r="731" spans="1:8" ht="24" customHeight="1">
      <c r="A731" s="7">
        <v>962147</v>
      </c>
      <c r="B731" s="7">
        <v>554</v>
      </c>
      <c r="C731" s="8" t="s">
        <v>1556</v>
      </c>
      <c r="D731" s="8" t="s">
        <v>1934</v>
      </c>
      <c r="E731" s="2">
        <f>IFERROR(VLOOKUP(B731,'[1]new sheet'!$A$1:$IV$65536,5,FALSE),0)</f>
        <v>0</v>
      </c>
      <c r="F731" s="3">
        <f>IFERROR(VLOOKUP(B731,'[1]new sheet'!$A$1:$IV$65536,4,FALSE),0)</f>
        <v>0</v>
      </c>
      <c r="G731" s="4">
        <f>IFERROR(VLOOKUP(B731,'[2]new sheet'!$A$1:$IV$65536,2,0),0)</f>
        <v>0</v>
      </c>
      <c r="H731" s="5">
        <f>IFERROR(VLOOKUP(B731,'[3]new sheet'!$A$1:$IV$65536,2,0),0)</f>
        <v>0</v>
      </c>
    </row>
    <row r="732" spans="1:8" ht="24" customHeight="1">
      <c r="A732" s="7">
        <v>1589</v>
      </c>
      <c r="B732" s="7">
        <v>556</v>
      </c>
      <c r="C732" s="8" t="s">
        <v>578</v>
      </c>
      <c r="D732" s="8" t="s">
        <v>1934</v>
      </c>
      <c r="E732" s="2">
        <f>IFERROR(VLOOKUP(B732,'[1]new sheet'!$A$1:$IV$65536,5,FALSE),0)</f>
        <v>0</v>
      </c>
      <c r="F732" s="3">
        <f>IFERROR(VLOOKUP(B732,'[1]new sheet'!$A$1:$IV$65536,4,FALSE),0)</f>
        <v>0</v>
      </c>
      <c r="G732" s="4">
        <f>IFERROR(VLOOKUP(B732,'[2]new sheet'!$A$1:$IV$65536,2,0),0)</f>
        <v>0</v>
      </c>
      <c r="H732" s="5">
        <f>IFERROR(VLOOKUP(B732,'[3]new sheet'!$A$1:$IV$65536,2,0),0)</f>
        <v>0</v>
      </c>
    </row>
    <row r="733" spans="1:8" ht="24" customHeight="1">
      <c r="A733" s="7">
        <v>1000107</v>
      </c>
      <c r="B733" s="7">
        <v>44</v>
      </c>
      <c r="C733" s="8" t="s">
        <v>579</v>
      </c>
      <c r="D733" s="8" t="s">
        <v>1934</v>
      </c>
      <c r="E733" s="2">
        <f>IFERROR(VLOOKUP(B733,'[1]new sheet'!$A$1:$IV$65536,5,FALSE),0)</f>
        <v>1</v>
      </c>
      <c r="F733" s="3">
        <f>IFERROR(VLOOKUP(B733,'[1]new sheet'!$A$1:$IV$65536,4,FALSE),0)</f>
        <v>0</v>
      </c>
      <c r="G733" s="4">
        <f>IFERROR(VLOOKUP(B733,'[2]new sheet'!$A$1:$IV$65536,2,0),0)</f>
        <v>194</v>
      </c>
      <c r="H733" s="5">
        <f>IFERROR(VLOOKUP(B733,'[3]new sheet'!$A$1:$IV$65536,2,0),0)</f>
        <v>58</v>
      </c>
    </row>
    <row r="734" spans="1:8" ht="24" customHeight="1">
      <c r="A734" s="7">
        <v>64</v>
      </c>
      <c r="B734" s="7">
        <v>1749</v>
      </c>
      <c r="C734" s="8" t="s">
        <v>580</v>
      </c>
      <c r="D734" s="8" t="s">
        <v>1934</v>
      </c>
      <c r="E734" s="2">
        <f>IFERROR(VLOOKUP(B734,'[1]new sheet'!$A$1:$IV$65536,5,FALSE),0)</f>
        <v>0</v>
      </c>
      <c r="F734" s="3">
        <f>IFERROR(VLOOKUP(B734,'[1]new sheet'!$A$1:$IV$65536,4,FALSE),0)</f>
        <v>0</v>
      </c>
      <c r="G734" s="4">
        <f>IFERROR(VLOOKUP(B734,'[2]new sheet'!$A$1:$IV$65536,2,0),0)</f>
        <v>0</v>
      </c>
      <c r="H734" s="5">
        <f>IFERROR(VLOOKUP(B734,'[3]new sheet'!$A$1:$IV$65536,2,0),0)</f>
        <v>0</v>
      </c>
    </row>
    <row r="735" spans="1:8" ht="24" customHeight="1">
      <c r="A735" s="7">
        <v>620709</v>
      </c>
      <c r="B735" s="7">
        <v>2142</v>
      </c>
      <c r="C735" s="8" t="s">
        <v>581</v>
      </c>
      <c r="D735" s="8" t="s">
        <v>1934</v>
      </c>
      <c r="E735" s="2">
        <f>IFERROR(VLOOKUP(B735,'[1]new sheet'!$A$1:$IV$65536,5,FALSE),0)</f>
        <v>0</v>
      </c>
      <c r="F735" s="3">
        <f>IFERROR(VLOOKUP(B735,'[1]new sheet'!$A$1:$IV$65536,4,FALSE),0)</f>
        <v>0</v>
      </c>
      <c r="G735" s="4">
        <f>IFERROR(VLOOKUP(B735,'[2]new sheet'!$A$1:$IV$65536,2,0),0)</f>
        <v>0</v>
      </c>
      <c r="H735" s="5">
        <f>IFERROR(VLOOKUP(B735,'[3]new sheet'!$A$1:$IV$65536,2,0),0)</f>
        <v>0</v>
      </c>
    </row>
    <row r="736" spans="1:8" ht="24" customHeight="1">
      <c r="A736" s="7">
        <v>48366</v>
      </c>
      <c r="B736" s="7">
        <v>557</v>
      </c>
      <c r="C736" s="8" t="s">
        <v>582</v>
      </c>
      <c r="D736" s="8" t="s">
        <v>1934</v>
      </c>
      <c r="E736" s="2">
        <f>IFERROR(VLOOKUP(B736,'[1]new sheet'!$A$1:$IV$65536,5,FALSE),0)</f>
        <v>12</v>
      </c>
      <c r="F736" s="3">
        <f>IFERROR(VLOOKUP(B736,'[1]new sheet'!$A$1:$IV$65536,4,FALSE),0)</f>
        <v>0</v>
      </c>
      <c r="G736" s="4">
        <f>IFERROR(VLOOKUP(B736,'[2]new sheet'!$A$1:$IV$65536,2,0),0)</f>
        <v>7</v>
      </c>
      <c r="H736" s="5">
        <f>IFERROR(VLOOKUP(B736,'[3]new sheet'!$A$1:$IV$65536,2,0),0)</f>
        <v>1</v>
      </c>
    </row>
    <row r="737" spans="1:8" ht="24" customHeight="1">
      <c r="A737" s="7">
        <v>49709</v>
      </c>
      <c r="B737" s="7">
        <v>224</v>
      </c>
      <c r="C737" s="8" t="s">
        <v>583</v>
      </c>
      <c r="D737" s="8" t="s">
        <v>1934</v>
      </c>
      <c r="E737" s="2">
        <f>IFERROR(VLOOKUP(B737,'[1]new sheet'!$A$1:$IV$65536,5,FALSE),0)</f>
        <v>0</v>
      </c>
      <c r="F737" s="3">
        <f>IFERROR(VLOOKUP(B737,'[1]new sheet'!$A$1:$IV$65536,4,FALSE),0)</f>
        <v>0</v>
      </c>
      <c r="G737" s="4">
        <f>IFERROR(VLOOKUP(B737,'[2]new sheet'!$A$1:$IV$65536,2,0),0)</f>
        <v>0</v>
      </c>
      <c r="H737" s="5">
        <f>IFERROR(VLOOKUP(B737,'[3]new sheet'!$A$1:$IV$65536,2,0),0)</f>
        <v>0</v>
      </c>
    </row>
    <row r="738" spans="1:8" ht="24" customHeight="1">
      <c r="A738" s="7">
        <v>44298</v>
      </c>
      <c r="B738" s="7">
        <v>1976</v>
      </c>
      <c r="C738" s="8" t="s">
        <v>584</v>
      </c>
      <c r="D738" s="8" t="s">
        <v>1934</v>
      </c>
      <c r="E738" s="2">
        <f>IFERROR(VLOOKUP(B738,'[1]new sheet'!$A$1:$IV$65536,5,FALSE),0)</f>
        <v>0</v>
      </c>
      <c r="F738" s="3">
        <f>IFERROR(VLOOKUP(B738,'[1]new sheet'!$A$1:$IV$65536,4,FALSE),0)</f>
        <v>0</v>
      </c>
      <c r="G738" s="4">
        <f>IFERROR(VLOOKUP(B738,'[2]new sheet'!$A$1:$IV$65536,2,0),0)</f>
        <v>0</v>
      </c>
      <c r="H738" s="5">
        <f>IFERROR(VLOOKUP(B738,'[3]new sheet'!$A$1:$IV$65536,2,0),0)</f>
        <v>0</v>
      </c>
    </row>
    <row r="739" spans="1:8" ht="24" customHeight="1">
      <c r="A739" s="7">
        <v>2</v>
      </c>
      <c r="B739" s="7">
        <v>558</v>
      </c>
      <c r="C739" s="8" t="s">
        <v>585</v>
      </c>
      <c r="D739" s="8" t="s">
        <v>1934</v>
      </c>
      <c r="E739" s="2">
        <f>IFERROR(VLOOKUP(B739,'[1]new sheet'!$A$1:$IV$65536,5,FALSE),0)</f>
        <v>0</v>
      </c>
      <c r="F739" s="3">
        <f>IFERROR(VLOOKUP(B739,'[1]new sheet'!$A$1:$IV$65536,4,FALSE),0)</f>
        <v>0</v>
      </c>
      <c r="G739" s="4">
        <f>IFERROR(VLOOKUP(B739,'[2]new sheet'!$A$1:$IV$65536,2,0),0)</f>
        <v>0</v>
      </c>
      <c r="H739" s="5">
        <f>IFERROR(VLOOKUP(B739,'[3]new sheet'!$A$1:$IV$65536,2,0),0)</f>
        <v>0</v>
      </c>
    </row>
    <row r="740" spans="1:8" ht="24" customHeight="1">
      <c r="A740" s="7">
        <v>1</v>
      </c>
      <c r="B740" s="7">
        <v>1035</v>
      </c>
      <c r="C740" s="8" t="s">
        <v>586</v>
      </c>
      <c r="D740" s="8" t="s">
        <v>1934</v>
      </c>
      <c r="E740" s="2">
        <f>IFERROR(VLOOKUP(B740,'[1]new sheet'!$A$1:$IV$65536,5,FALSE),0)</f>
        <v>0</v>
      </c>
      <c r="F740" s="3">
        <f>IFERROR(VLOOKUP(B740,'[1]new sheet'!$A$1:$IV$65536,4,FALSE),0)</f>
        <v>0</v>
      </c>
      <c r="G740" s="4">
        <f>IFERROR(VLOOKUP(B740,'[2]new sheet'!$A$1:$IV$65536,2,0),0)</f>
        <v>46</v>
      </c>
      <c r="H740" s="5">
        <f>IFERROR(VLOOKUP(B740,'[3]new sheet'!$A$1:$IV$65536,2,0),0)</f>
        <v>0</v>
      </c>
    </row>
    <row r="741" spans="1:8" ht="24" customHeight="1">
      <c r="A741" s="7">
        <v>40</v>
      </c>
      <c r="B741" s="7">
        <v>3829</v>
      </c>
      <c r="C741" s="8" t="s">
        <v>1557</v>
      </c>
      <c r="D741" s="8" t="s">
        <v>1934</v>
      </c>
      <c r="E741" s="2">
        <f>IFERROR(VLOOKUP(B741,'[1]new sheet'!$A$1:$IV$65536,5,FALSE),0)</f>
        <v>0</v>
      </c>
      <c r="F741" s="3">
        <f>IFERROR(VLOOKUP(B741,'[1]new sheet'!$A$1:$IV$65536,4,FALSE),0)</f>
        <v>0</v>
      </c>
      <c r="G741" s="4">
        <f>IFERROR(VLOOKUP(B741,'[2]new sheet'!$A$1:$IV$65536,2,0),0)</f>
        <v>0</v>
      </c>
      <c r="H741" s="5">
        <f>IFERROR(VLOOKUP(B741,'[3]new sheet'!$A$1:$IV$65536,2,0),0)</f>
        <v>0</v>
      </c>
    </row>
    <row r="742" spans="1:8" ht="24" customHeight="1">
      <c r="A742" s="7">
        <v>45</v>
      </c>
      <c r="B742" s="7">
        <v>3085</v>
      </c>
      <c r="C742" s="8" t="s">
        <v>587</v>
      </c>
      <c r="D742" s="8" t="s">
        <v>1934</v>
      </c>
      <c r="E742" s="2">
        <f>IFERROR(VLOOKUP(B742,'[1]new sheet'!$A$1:$IV$65536,5,FALSE),0)</f>
        <v>0</v>
      </c>
      <c r="F742" s="3">
        <f>IFERROR(VLOOKUP(B742,'[1]new sheet'!$A$1:$IV$65536,4,FALSE),0)</f>
        <v>0</v>
      </c>
      <c r="G742" s="4">
        <f>IFERROR(VLOOKUP(B742,'[2]new sheet'!$A$1:$IV$65536,2,0),0)</f>
        <v>0</v>
      </c>
      <c r="H742" s="5">
        <f>IFERROR(VLOOKUP(B742,'[3]new sheet'!$A$1:$IV$65536,2,0),0)</f>
        <v>0</v>
      </c>
    </row>
    <row r="743" spans="1:8" ht="24" customHeight="1">
      <c r="A743" s="7">
        <v>54</v>
      </c>
      <c r="B743" s="7">
        <v>1604</v>
      </c>
      <c r="C743" s="8" t="s">
        <v>588</v>
      </c>
      <c r="D743" s="8" t="s">
        <v>1934</v>
      </c>
      <c r="E743" s="2">
        <f>IFERROR(VLOOKUP(B743,'[1]new sheet'!$A$1:$IV$65536,5,FALSE),0)</f>
        <v>42</v>
      </c>
      <c r="F743" s="3">
        <f>IFERROR(VLOOKUP(B743,'[1]new sheet'!$A$1:$IV$65536,4,FALSE),0)</f>
        <v>1</v>
      </c>
      <c r="G743" s="4">
        <f>IFERROR(VLOOKUP(B743,'[2]new sheet'!$A$1:$IV$65536,2,0),0)</f>
        <v>213</v>
      </c>
      <c r="H743" s="5">
        <f>IFERROR(VLOOKUP(B743,'[3]new sheet'!$A$1:$IV$65536,2,0),0)</f>
        <v>87</v>
      </c>
    </row>
    <row r="744" spans="1:8" ht="24" customHeight="1">
      <c r="A744" s="7">
        <v>64</v>
      </c>
      <c r="B744" s="7">
        <v>4261</v>
      </c>
      <c r="C744" s="8" t="s">
        <v>1889</v>
      </c>
      <c r="D744" s="8" t="s">
        <v>1934</v>
      </c>
      <c r="E744" s="2">
        <f>IFERROR(VLOOKUP(B744,'[1]new sheet'!$A$1:$IV$65536,5,FALSE),0)</f>
        <v>346</v>
      </c>
      <c r="F744" s="3">
        <f>IFERROR(VLOOKUP(B744,'[1]new sheet'!$A$1:$IV$65536,4,FALSE),0)</f>
        <v>3</v>
      </c>
      <c r="G744" s="4">
        <f>IFERROR(VLOOKUP(B744,'[2]new sheet'!$A$1:$IV$65536,2,0),0)</f>
        <v>28</v>
      </c>
      <c r="H744" s="5">
        <f>IFERROR(VLOOKUP(B744,'[3]new sheet'!$A$1:$IV$65536,2,0),0)</f>
        <v>22</v>
      </c>
    </row>
    <row r="745" spans="1:8" ht="24" customHeight="1">
      <c r="A745" s="7"/>
      <c r="B745" s="7">
        <v>873</v>
      </c>
      <c r="C745" s="8" t="s">
        <v>589</v>
      </c>
      <c r="D745" s="8" t="s">
        <v>1934</v>
      </c>
      <c r="E745" s="2">
        <f>IFERROR(VLOOKUP(B745,'[1]new sheet'!$A$1:$IV$65536,5,FALSE),0)</f>
        <v>0</v>
      </c>
      <c r="F745" s="3">
        <f>IFERROR(VLOOKUP(B745,'[1]new sheet'!$A$1:$IV$65536,4,FALSE),0)</f>
        <v>0</v>
      </c>
      <c r="G745" s="4">
        <f>IFERROR(VLOOKUP(B745,'[2]new sheet'!$A$1:$IV$65536,2,0),0)</f>
        <v>0</v>
      </c>
      <c r="H745" s="5">
        <f>IFERROR(VLOOKUP(B745,'[3]new sheet'!$A$1:$IV$65536,2,0),0)</f>
        <v>0</v>
      </c>
    </row>
    <row r="746" spans="1:8" ht="24" customHeight="1">
      <c r="A746" s="7"/>
      <c r="B746" s="7">
        <v>2143</v>
      </c>
      <c r="C746" s="8" t="s">
        <v>590</v>
      </c>
      <c r="D746" s="8" t="s">
        <v>1934</v>
      </c>
      <c r="E746" s="2">
        <f>IFERROR(VLOOKUP(B746,'[1]new sheet'!$A$1:$IV$65536,5,FALSE),0)</f>
        <v>0</v>
      </c>
      <c r="F746" s="3">
        <f>IFERROR(VLOOKUP(B746,'[1]new sheet'!$A$1:$IV$65536,4,FALSE),0)</f>
        <v>0</v>
      </c>
      <c r="G746" s="4">
        <f>IFERROR(VLOOKUP(B746,'[2]new sheet'!$A$1:$IV$65536,2,0),0)</f>
        <v>0</v>
      </c>
      <c r="H746" s="5">
        <f>IFERROR(VLOOKUP(B746,'[3]new sheet'!$A$1:$IV$65536,2,0),0)</f>
        <v>0</v>
      </c>
    </row>
    <row r="747" spans="1:8" ht="24" customHeight="1">
      <c r="A747" s="7">
        <v>1</v>
      </c>
      <c r="B747" s="7">
        <v>559</v>
      </c>
      <c r="C747" s="8" t="s">
        <v>591</v>
      </c>
      <c r="D747" s="8" t="s">
        <v>1934</v>
      </c>
      <c r="E747" s="2">
        <f>IFERROR(VLOOKUP(B747,'[1]new sheet'!$A$1:$IV$65536,5,FALSE),0)</f>
        <v>1498</v>
      </c>
      <c r="F747" s="3">
        <f>IFERROR(VLOOKUP(B747,'[1]new sheet'!$A$1:$IV$65536,4,FALSE),0)</f>
        <v>28</v>
      </c>
      <c r="G747" s="4">
        <f>IFERROR(VLOOKUP(B747,'[2]new sheet'!$A$1:$IV$65536,2,0),0)</f>
        <v>942</v>
      </c>
      <c r="H747" s="5">
        <f>IFERROR(VLOOKUP(B747,'[3]new sheet'!$A$1:$IV$65536,2,0),0)</f>
        <v>403</v>
      </c>
    </row>
    <row r="748" spans="1:8" ht="24" customHeight="1">
      <c r="A748" s="7"/>
      <c r="B748" s="7">
        <v>1812</v>
      </c>
      <c r="C748" s="8" t="s">
        <v>592</v>
      </c>
      <c r="D748" s="8" t="s">
        <v>1934</v>
      </c>
      <c r="E748" s="2">
        <f>IFERROR(VLOOKUP(B748,'[1]new sheet'!$A$1:$IV$65536,5,FALSE),0)</f>
        <v>0</v>
      </c>
      <c r="F748" s="3">
        <f>IFERROR(VLOOKUP(B748,'[1]new sheet'!$A$1:$IV$65536,4,FALSE),0)</f>
        <v>0</v>
      </c>
      <c r="G748" s="4">
        <f>IFERROR(VLOOKUP(B748,'[2]new sheet'!$A$1:$IV$65536,2,0),0)</f>
        <v>0</v>
      </c>
      <c r="H748" s="5">
        <f>IFERROR(VLOOKUP(B748,'[3]new sheet'!$A$1:$IV$65536,2,0),0)</f>
        <v>0</v>
      </c>
    </row>
    <row r="749" spans="1:8" ht="24" customHeight="1">
      <c r="A749" s="7">
        <v>59</v>
      </c>
      <c r="B749" s="7">
        <v>3997</v>
      </c>
      <c r="C749" s="8" t="s">
        <v>1650</v>
      </c>
      <c r="D749" s="8" t="s">
        <v>1934</v>
      </c>
      <c r="E749" s="2">
        <f>IFERROR(VLOOKUP(B749,'[1]new sheet'!$A$1:$IV$65536,5,FALSE),0)</f>
        <v>106</v>
      </c>
      <c r="F749" s="3">
        <f>IFERROR(VLOOKUP(B749,'[1]new sheet'!$A$1:$IV$65536,4,FALSE),0)</f>
        <v>0</v>
      </c>
      <c r="G749" s="4">
        <f>IFERROR(VLOOKUP(B749,'[2]new sheet'!$A$1:$IV$65536,2,0),0)</f>
        <v>13</v>
      </c>
      <c r="H749" s="5">
        <f>IFERROR(VLOOKUP(B749,'[3]new sheet'!$A$1:$IV$65536,2,0),0)</f>
        <v>5</v>
      </c>
    </row>
    <row r="750" spans="1:8" ht="24" customHeight="1">
      <c r="A750" s="7">
        <v>39968</v>
      </c>
      <c r="B750" s="7">
        <v>809</v>
      </c>
      <c r="C750" s="8" t="s">
        <v>593</v>
      </c>
      <c r="D750" s="8" t="s">
        <v>1934</v>
      </c>
      <c r="E750" s="2">
        <f>IFERROR(VLOOKUP(B750,'[1]new sheet'!$A$1:$IV$65536,5,FALSE),0)</f>
        <v>0</v>
      </c>
      <c r="F750" s="3">
        <f>IFERROR(VLOOKUP(B750,'[1]new sheet'!$A$1:$IV$65536,4,FALSE),0)</f>
        <v>0</v>
      </c>
      <c r="G750" s="4">
        <f>IFERROR(VLOOKUP(B750,'[2]new sheet'!$A$1:$IV$65536,2,0),0)</f>
        <v>0</v>
      </c>
      <c r="H750" s="5">
        <f>IFERROR(VLOOKUP(B750,'[3]new sheet'!$A$1:$IV$65536,2,0),0)</f>
        <v>0</v>
      </c>
    </row>
    <row r="751" spans="1:8" ht="24" customHeight="1">
      <c r="A751" s="7">
        <v>238379</v>
      </c>
      <c r="B751" s="7">
        <v>810</v>
      </c>
      <c r="C751" s="8" t="s">
        <v>594</v>
      </c>
      <c r="D751" s="8" t="s">
        <v>1934</v>
      </c>
      <c r="E751" s="2">
        <f>IFERROR(VLOOKUP(B751,'[1]new sheet'!$A$1:$IV$65536,5,FALSE),0)</f>
        <v>0</v>
      </c>
      <c r="F751" s="3">
        <f>IFERROR(VLOOKUP(B751,'[1]new sheet'!$A$1:$IV$65536,4,FALSE),0)</f>
        <v>0</v>
      </c>
      <c r="G751" s="4">
        <f>IFERROR(VLOOKUP(B751,'[2]new sheet'!$A$1:$IV$65536,2,0),0)</f>
        <v>0</v>
      </c>
      <c r="H751" s="5">
        <f>IFERROR(VLOOKUP(B751,'[3]new sheet'!$A$1:$IV$65536,2,0),0)</f>
        <v>0</v>
      </c>
    </row>
    <row r="752" spans="1:8" ht="24" customHeight="1">
      <c r="A752" s="7">
        <v>14</v>
      </c>
      <c r="B752" s="7">
        <v>560</v>
      </c>
      <c r="C752" s="8" t="s">
        <v>595</v>
      </c>
      <c r="D752" s="8" t="s">
        <v>1934</v>
      </c>
      <c r="E752" s="2">
        <f>IFERROR(VLOOKUP(B752,'[1]new sheet'!$A$1:$IV$65536,5,FALSE),0)</f>
        <v>0</v>
      </c>
      <c r="F752" s="3">
        <f>IFERROR(VLOOKUP(B752,'[1]new sheet'!$A$1:$IV$65536,4,FALSE),0)</f>
        <v>0</v>
      </c>
      <c r="G752" s="4">
        <f>IFERROR(VLOOKUP(B752,'[2]new sheet'!$A$1:$IV$65536,2,0),0)</f>
        <v>17</v>
      </c>
      <c r="H752" s="5">
        <f>IFERROR(VLOOKUP(B752,'[3]new sheet'!$A$1:$IV$65536,2,0),0)</f>
        <v>0</v>
      </c>
    </row>
    <row r="753" spans="1:8" ht="24" customHeight="1">
      <c r="A753" s="7">
        <v>15</v>
      </c>
      <c r="B753" s="7">
        <v>1036</v>
      </c>
      <c r="C753" s="8" t="s">
        <v>596</v>
      </c>
      <c r="D753" s="8" t="s">
        <v>1934</v>
      </c>
      <c r="E753" s="2">
        <f>IFERROR(VLOOKUP(B753,'[1]new sheet'!$A$1:$IV$65536,5,FALSE),0)</f>
        <v>0</v>
      </c>
      <c r="F753" s="3">
        <f>IFERROR(VLOOKUP(B753,'[1]new sheet'!$A$1:$IV$65536,4,FALSE),0)</f>
        <v>0</v>
      </c>
      <c r="G753" s="4">
        <f>IFERROR(VLOOKUP(B753,'[2]new sheet'!$A$1:$IV$65536,2,0),0)</f>
        <v>0</v>
      </c>
      <c r="H753" s="5">
        <f>IFERROR(VLOOKUP(B753,'[3]new sheet'!$A$1:$IV$65536,2,0),0)</f>
        <v>0</v>
      </c>
    </row>
    <row r="754" spans="1:8" ht="24" customHeight="1">
      <c r="A754" s="7">
        <v>238379</v>
      </c>
      <c r="B754" s="7">
        <v>1606</v>
      </c>
      <c r="C754" s="8" t="s">
        <v>597</v>
      </c>
      <c r="D754" s="8" t="s">
        <v>1934</v>
      </c>
      <c r="E754" s="2">
        <f>IFERROR(VLOOKUP(B754,'[1]new sheet'!$A$1:$IV$65536,5,FALSE),0)</f>
        <v>226</v>
      </c>
      <c r="F754" s="3">
        <f>IFERROR(VLOOKUP(B754,'[1]new sheet'!$A$1:$IV$65536,4,FALSE),0)</f>
        <v>1</v>
      </c>
      <c r="G754" s="4">
        <f>IFERROR(VLOOKUP(B754,'[2]new sheet'!$A$1:$IV$65536,2,0),0)</f>
        <v>19</v>
      </c>
      <c r="H754" s="5">
        <f>IFERROR(VLOOKUP(B754,'[3]new sheet'!$A$1:$IV$65536,2,0),0)</f>
        <v>48</v>
      </c>
    </row>
    <row r="755" spans="1:8" ht="24" customHeight="1">
      <c r="A755" s="7">
        <v>55</v>
      </c>
      <c r="B755" s="7">
        <v>3316</v>
      </c>
      <c r="C755" s="8" t="s">
        <v>598</v>
      </c>
      <c r="D755" s="8" t="s">
        <v>1934</v>
      </c>
      <c r="E755" s="2">
        <f>IFERROR(VLOOKUP(B755,'[1]new sheet'!$A$1:$IV$65536,5,FALSE),0)</f>
        <v>0</v>
      </c>
      <c r="F755" s="3">
        <f>IFERROR(VLOOKUP(B755,'[1]new sheet'!$A$1:$IV$65536,4,FALSE),0)</f>
        <v>0</v>
      </c>
      <c r="G755" s="4">
        <f>IFERROR(VLOOKUP(B755,'[2]new sheet'!$A$1:$IV$65536,2,0),0)</f>
        <v>0</v>
      </c>
      <c r="H755" s="5">
        <f>IFERROR(VLOOKUP(B755,'[3]new sheet'!$A$1:$IV$65536,2,0),0)</f>
        <v>0</v>
      </c>
    </row>
    <row r="756" spans="1:8" ht="24" customHeight="1">
      <c r="A756" s="7">
        <v>238379</v>
      </c>
      <c r="B756" s="7">
        <v>1605</v>
      </c>
      <c r="C756" s="8" t="s">
        <v>599</v>
      </c>
      <c r="D756" s="8" t="s">
        <v>1934</v>
      </c>
      <c r="E756" s="2">
        <f>IFERROR(VLOOKUP(B756,'[1]new sheet'!$A$1:$IV$65536,5,FALSE),0)</f>
        <v>503</v>
      </c>
      <c r="F756" s="3">
        <f>IFERROR(VLOOKUP(B756,'[1]new sheet'!$A$1:$IV$65536,4,FALSE),0)</f>
        <v>4</v>
      </c>
      <c r="G756" s="4">
        <f>IFERROR(VLOOKUP(B756,'[2]new sheet'!$A$1:$IV$65536,2,0),0)</f>
        <v>260</v>
      </c>
      <c r="H756" s="5">
        <f>IFERROR(VLOOKUP(B756,'[3]new sheet'!$A$1:$IV$65536,2,0),0)</f>
        <v>78</v>
      </c>
    </row>
    <row r="757" spans="1:8" ht="24" customHeight="1">
      <c r="A757" s="7">
        <v>249</v>
      </c>
      <c r="B757" s="7">
        <v>4262</v>
      </c>
      <c r="C757" s="8" t="s">
        <v>1890</v>
      </c>
      <c r="D757" s="8" t="s">
        <v>1934</v>
      </c>
      <c r="E757" s="2">
        <f>IFERROR(VLOOKUP(B757,'[1]new sheet'!$A$1:$IV$65536,5,FALSE),0)</f>
        <v>111</v>
      </c>
      <c r="F757" s="3">
        <f>IFERROR(VLOOKUP(B757,'[1]new sheet'!$A$1:$IV$65536,4,FALSE),0)</f>
        <v>0</v>
      </c>
      <c r="G757" s="4">
        <f>IFERROR(VLOOKUP(B757,'[2]new sheet'!$A$1:$IV$65536,2,0),0)</f>
        <v>7</v>
      </c>
      <c r="H757" s="5">
        <f>IFERROR(VLOOKUP(B757,'[3]new sheet'!$A$1:$IV$65536,2,0),0)</f>
        <v>7</v>
      </c>
    </row>
    <row r="758" spans="1:8" ht="24" customHeight="1">
      <c r="A758" s="7">
        <v>260</v>
      </c>
      <c r="B758" s="7">
        <v>4263</v>
      </c>
      <c r="C758" s="8" t="s">
        <v>1891</v>
      </c>
      <c r="D758" s="8" t="s">
        <v>1934</v>
      </c>
      <c r="E758" s="2">
        <f>IFERROR(VLOOKUP(B758,'[1]new sheet'!$A$1:$IV$65536,5,FALSE),0)</f>
        <v>124</v>
      </c>
      <c r="F758" s="3">
        <f>IFERROR(VLOOKUP(B758,'[1]new sheet'!$A$1:$IV$65536,4,FALSE),0)</f>
        <v>0</v>
      </c>
      <c r="G758" s="4">
        <f>IFERROR(VLOOKUP(B758,'[2]new sheet'!$A$1:$IV$65536,2,0),0)</f>
        <v>1</v>
      </c>
      <c r="H758" s="5">
        <f>IFERROR(VLOOKUP(B758,'[3]new sheet'!$A$1:$IV$65536,2,0),0)</f>
        <v>0</v>
      </c>
    </row>
    <row r="759" spans="1:8" ht="24" customHeight="1">
      <c r="A759" s="7"/>
      <c r="B759" s="7">
        <v>145</v>
      </c>
      <c r="C759" s="8" t="s">
        <v>600</v>
      </c>
      <c r="D759" s="8" t="s">
        <v>1934</v>
      </c>
      <c r="E759" s="2">
        <f>IFERROR(VLOOKUP(B759,'[1]new sheet'!$A$1:$IV$65536,5,FALSE),0)</f>
        <v>92</v>
      </c>
      <c r="F759" s="3">
        <f>IFERROR(VLOOKUP(B759,'[1]new sheet'!$A$1:$IV$65536,4,FALSE),0)</f>
        <v>1</v>
      </c>
      <c r="G759" s="4">
        <f>IFERROR(VLOOKUP(B759,'[2]new sheet'!$A$1:$IV$65536,2,0),0)</f>
        <v>14</v>
      </c>
      <c r="H759" s="5">
        <f>IFERROR(VLOOKUP(B759,'[3]new sheet'!$A$1:$IV$65536,2,0),0)</f>
        <v>4</v>
      </c>
    </row>
    <row r="760" spans="1:8" ht="24" customHeight="1">
      <c r="A760" s="7">
        <v>725</v>
      </c>
      <c r="B760" s="7">
        <v>220</v>
      </c>
      <c r="C760" s="8" t="s">
        <v>601</v>
      </c>
      <c r="D760" s="8" t="s">
        <v>1934</v>
      </c>
      <c r="E760" s="2">
        <f>IFERROR(VLOOKUP(B760,'[1]new sheet'!$A$1:$IV$65536,5,FALSE),0)</f>
        <v>172</v>
      </c>
      <c r="F760" s="3">
        <f>IFERROR(VLOOKUP(B760,'[1]new sheet'!$A$1:$IV$65536,4,FALSE),0)</f>
        <v>2</v>
      </c>
      <c r="G760" s="4">
        <f>IFERROR(VLOOKUP(B760,'[2]new sheet'!$A$1:$IV$65536,2,0),0)</f>
        <v>40</v>
      </c>
      <c r="H760" s="5">
        <f>IFERROR(VLOOKUP(B760,'[3]new sheet'!$A$1:$IV$65536,2,0),0)</f>
        <v>12</v>
      </c>
    </row>
    <row r="761" spans="1:8" ht="24" customHeight="1">
      <c r="A761" s="7">
        <v>556</v>
      </c>
      <c r="B761" s="7">
        <v>561</v>
      </c>
      <c r="C761" s="8" t="s">
        <v>602</v>
      </c>
      <c r="D761" s="8" t="s">
        <v>1934</v>
      </c>
      <c r="E761" s="2">
        <f>IFERROR(VLOOKUP(B761,'[1]new sheet'!$A$1:$IV$65536,5,FALSE),0)</f>
        <v>162</v>
      </c>
      <c r="F761" s="3">
        <f>IFERROR(VLOOKUP(B761,'[1]new sheet'!$A$1:$IV$65536,4,FALSE),0)</f>
        <v>0</v>
      </c>
      <c r="G761" s="4">
        <f>IFERROR(VLOOKUP(B761,'[2]new sheet'!$A$1:$IV$65536,2,0),0)</f>
        <v>57</v>
      </c>
      <c r="H761" s="5">
        <f>IFERROR(VLOOKUP(B761,'[3]new sheet'!$A$1:$IV$65536,2,0),0)</f>
        <v>27</v>
      </c>
    </row>
    <row r="762" spans="1:8" ht="24" customHeight="1">
      <c r="A762" s="7">
        <v>17957</v>
      </c>
      <c r="B762" s="7">
        <v>3774</v>
      </c>
      <c r="C762" s="8" t="s">
        <v>1527</v>
      </c>
      <c r="D762" s="8" t="s">
        <v>1939</v>
      </c>
      <c r="E762" s="2">
        <f>IFERROR(VLOOKUP(B762,'[1]new sheet'!$A$1:$IV$65536,5,FALSE),0)</f>
        <v>7</v>
      </c>
      <c r="F762" s="3">
        <f>IFERROR(VLOOKUP(B762,'[1]new sheet'!$A$1:$IV$65536,4,FALSE),0)</f>
        <v>0</v>
      </c>
      <c r="G762" s="4">
        <f>IFERROR(VLOOKUP(B762,'[2]new sheet'!$A$1:$IV$65536,2,0),0)</f>
        <v>22</v>
      </c>
      <c r="H762" s="5">
        <f>IFERROR(VLOOKUP(B762,'[3]new sheet'!$A$1:$IV$65536,2,0),0)</f>
        <v>6</v>
      </c>
    </row>
    <row r="763" spans="1:8" ht="24" customHeight="1">
      <c r="A763" s="7">
        <v>997904</v>
      </c>
      <c r="B763" s="7">
        <v>562</v>
      </c>
      <c r="C763" s="8" t="s">
        <v>603</v>
      </c>
      <c r="D763" s="8" t="s">
        <v>1934</v>
      </c>
      <c r="E763" s="2">
        <f>IFERROR(VLOOKUP(B763,'[1]new sheet'!$A$1:$IV$65536,5,FALSE),0)</f>
        <v>18</v>
      </c>
      <c r="F763" s="3">
        <f>IFERROR(VLOOKUP(B763,'[1]new sheet'!$A$1:$IV$65536,4,FALSE),0)</f>
        <v>6</v>
      </c>
      <c r="G763" s="4">
        <f>IFERROR(VLOOKUP(B763,'[2]new sheet'!$A$1:$IV$65536,2,0),0)</f>
        <v>58</v>
      </c>
      <c r="H763" s="5">
        <f>IFERROR(VLOOKUP(B763,'[3]new sheet'!$A$1:$IV$65536,2,0),0)</f>
        <v>21</v>
      </c>
    </row>
    <row r="764" spans="1:8" ht="24" customHeight="1">
      <c r="A764" s="7">
        <v>241988</v>
      </c>
      <c r="B764" s="7">
        <v>1892</v>
      </c>
      <c r="C764" s="8" t="s">
        <v>604</v>
      </c>
      <c r="D764" s="8" t="s">
        <v>1934</v>
      </c>
      <c r="E764" s="2">
        <f>IFERROR(VLOOKUP(B764,'[1]new sheet'!$A$1:$IV$65536,5,FALSE),0)</f>
        <v>0</v>
      </c>
      <c r="F764" s="3">
        <f>IFERROR(VLOOKUP(B764,'[1]new sheet'!$A$1:$IV$65536,4,FALSE),0)</f>
        <v>0</v>
      </c>
      <c r="G764" s="4">
        <f>IFERROR(VLOOKUP(B764,'[2]new sheet'!$A$1:$IV$65536,2,0),0)</f>
        <v>0</v>
      </c>
      <c r="H764" s="5">
        <f>IFERROR(VLOOKUP(B764,'[3]new sheet'!$A$1:$IV$65536,2,0),0)</f>
        <v>0</v>
      </c>
    </row>
    <row r="765" spans="1:8" ht="24" customHeight="1">
      <c r="A765" s="7">
        <v>991832</v>
      </c>
      <c r="B765" s="7">
        <v>2445</v>
      </c>
      <c r="C765" s="8" t="s">
        <v>605</v>
      </c>
      <c r="D765" s="8" t="s">
        <v>1934</v>
      </c>
      <c r="E765" s="2">
        <f>IFERROR(VLOOKUP(B765,'[1]new sheet'!$A$1:$IV$65536,5,FALSE),0)</f>
        <v>0</v>
      </c>
      <c r="F765" s="3">
        <f>IFERROR(VLOOKUP(B765,'[1]new sheet'!$A$1:$IV$65536,4,FALSE),0)</f>
        <v>0</v>
      </c>
      <c r="G765" s="4">
        <f>IFERROR(VLOOKUP(B765,'[2]new sheet'!$A$1:$IV$65536,2,0),0)</f>
        <v>1</v>
      </c>
      <c r="H765" s="5">
        <f>IFERROR(VLOOKUP(B765,'[3]new sheet'!$A$1:$IV$65536,2,0),0)</f>
        <v>3</v>
      </c>
    </row>
    <row r="766" spans="1:8" ht="24" customHeight="1">
      <c r="A766" s="7">
        <v>990975</v>
      </c>
      <c r="B766" s="7">
        <v>3577</v>
      </c>
      <c r="C766" s="8" t="s">
        <v>606</v>
      </c>
      <c r="D766" s="8" t="s">
        <v>1934</v>
      </c>
      <c r="E766" s="2">
        <f>IFERROR(VLOOKUP(B766,'[1]new sheet'!$A$1:$IV$65536,5,FALSE),0)</f>
        <v>0</v>
      </c>
      <c r="F766" s="3">
        <f>IFERROR(VLOOKUP(B766,'[1]new sheet'!$A$1:$IV$65536,4,FALSE),0)</f>
        <v>0</v>
      </c>
      <c r="G766" s="4">
        <f>IFERROR(VLOOKUP(B766,'[2]new sheet'!$A$1:$IV$65536,2,0),0)</f>
        <v>1</v>
      </c>
      <c r="H766" s="5">
        <f>IFERROR(VLOOKUP(B766,'[3]new sheet'!$A$1:$IV$65536,2,0),0)</f>
        <v>0</v>
      </c>
    </row>
    <row r="767" spans="1:8" ht="24" customHeight="1">
      <c r="A767" s="7">
        <v>990971</v>
      </c>
      <c r="B767" s="7">
        <v>3216</v>
      </c>
      <c r="C767" s="8" t="s">
        <v>607</v>
      </c>
      <c r="D767" s="8" t="s">
        <v>1934</v>
      </c>
      <c r="E767" s="2">
        <f>IFERROR(VLOOKUP(B767,'[1]new sheet'!$A$1:$IV$65536,5,FALSE),0)</f>
        <v>0</v>
      </c>
      <c r="F767" s="3">
        <f>IFERROR(VLOOKUP(B767,'[1]new sheet'!$A$1:$IV$65536,4,FALSE),0)</f>
        <v>0</v>
      </c>
      <c r="G767" s="4">
        <f>IFERROR(VLOOKUP(B767,'[2]new sheet'!$A$1:$IV$65536,2,0),0)</f>
        <v>2</v>
      </c>
      <c r="H767" s="5">
        <f>IFERROR(VLOOKUP(B767,'[3]new sheet'!$A$1:$IV$65536,2,0),0)</f>
        <v>1</v>
      </c>
    </row>
    <row r="768" spans="1:8" ht="24" customHeight="1">
      <c r="A768" s="7">
        <v>990969</v>
      </c>
      <c r="B768" s="7">
        <v>3141</v>
      </c>
      <c r="C768" s="8" t="s">
        <v>608</v>
      </c>
      <c r="D768" s="8" t="s">
        <v>1934</v>
      </c>
      <c r="E768" s="2">
        <f>IFERROR(VLOOKUP(B768,'[1]new sheet'!$A$1:$IV$65536,5,FALSE),0)</f>
        <v>0</v>
      </c>
      <c r="F768" s="3">
        <f>IFERROR(VLOOKUP(B768,'[1]new sheet'!$A$1:$IV$65536,4,FALSE),0)</f>
        <v>0</v>
      </c>
      <c r="G768" s="4">
        <f>IFERROR(VLOOKUP(B768,'[2]new sheet'!$A$1:$IV$65536,2,0),0)</f>
        <v>1</v>
      </c>
      <c r="H768" s="5">
        <f>IFERROR(VLOOKUP(B768,'[3]new sheet'!$A$1:$IV$65536,2,0),0)</f>
        <v>0</v>
      </c>
    </row>
    <row r="769" spans="1:8" ht="24" customHeight="1">
      <c r="A769" s="7">
        <v>990972</v>
      </c>
      <c r="B769" s="7">
        <v>3289</v>
      </c>
      <c r="C769" s="8" t="s">
        <v>609</v>
      </c>
      <c r="D769" s="8" t="s">
        <v>1934</v>
      </c>
      <c r="E769" s="2">
        <f>IFERROR(VLOOKUP(B769,'[1]new sheet'!$A$1:$IV$65536,5,FALSE),0)</f>
        <v>1</v>
      </c>
      <c r="F769" s="3">
        <f>IFERROR(VLOOKUP(B769,'[1]new sheet'!$A$1:$IV$65536,4,FALSE),0)</f>
        <v>0</v>
      </c>
      <c r="G769" s="4">
        <f>IFERROR(VLOOKUP(B769,'[2]new sheet'!$A$1:$IV$65536,2,0),0)</f>
        <v>2</v>
      </c>
      <c r="H769" s="5">
        <f>IFERROR(VLOOKUP(B769,'[3]new sheet'!$A$1:$IV$65536,2,0),0)</f>
        <v>1</v>
      </c>
    </row>
    <row r="770" spans="1:8" ht="24" customHeight="1">
      <c r="A770" s="7">
        <v>3001601</v>
      </c>
      <c r="B770" s="7">
        <v>564</v>
      </c>
      <c r="C770" s="8" t="s">
        <v>610</v>
      </c>
      <c r="D770" s="8" t="s">
        <v>1934</v>
      </c>
      <c r="E770" s="2">
        <f>IFERROR(VLOOKUP(B770,'[1]new sheet'!$A$1:$IV$65536,5,FALSE),0)</f>
        <v>0</v>
      </c>
      <c r="F770" s="3">
        <f>IFERROR(VLOOKUP(B770,'[1]new sheet'!$A$1:$IV$65536,4,FALSE),0)</f>
        <v>0</v>
      </c>
      <c r="G770" s="4">
        <f>IFERROR(VLOOKUP(B770,'[2]new sheet'!$A$1:$IV$65536,2,0),0)</f>
        <v>0</v>
      </c>
      <c r="H770" s="5">
        <f>IFERROR(VLOOKUP(B770,'[3]new sheet'!$A$1:$IV$65536,2,0),0)</f>
        <v>0</v>
      </c>
    </row>
    <row r="771" spans="1:8" ht="24" customHeight="1">
      <c r="A771" s="7">
        <v>42023</v>
      </c>
      <c r="B771" s="7">
        <v>1838</v>
      </c>
      <c r="C771" s="8" t="s">
        <v>611</v>
      </c>
      <c r="D771" s="8" t="s">
        <v>1934</v>
      </c>
      <c r="E771" s="2">
        <f>IFERROR(VLOOKUP(B771,'[1]new sheet'!$A$1:$IV$65536,5,FALSE),0)</f>
        <v>0</v>
      </c>
      <c r="F771" s="3">
        <f>IFERROR(VLOOKUP(B771,'[1]new sheet'!$A$1:$IV$65536,4,FALSE),0)</f>
        <v>0</v>
      </c>
      <c r="G771" s="4">
        <f>IFERROR(VLOOKUP(B771,'[2]new sheet'!$A$1:$IV$65536,2,0),0)</f>
        <v>0</v>
      </c>
      <c r="H771" s="5">
        <f>IFERROR(VLOOKUP(B771,'[3]new sheet'!$A$1:$IV$65536,2,0),0)</f>
        <v>0</v>
      </c>
    </row>
    <row r="772" spans="1:8" ht="24" customHeight="1">
      <c r="A772" s="7">
        <v>575356</v>
      </c>
      <c r="B772" s="7">
        <v>410</v>
      </c>
      <c r="C772" s="8" t="s">
        <v>612</v>
      </c>
      <c r="D772" s="8" t="s">
        <v>1934</v>
      </c>
      <c r="E772" s="2">
        <f>IFERROR(VLOOKUP(B772,'[1]new sheet'!$A$1:$IV$65536,5,FALSE),0)</f>
        <v>4</v>
      </c>
      <c r="F772" s="3">
        <f>IFERROR(VLOOKUP(B772,'[1]new sheet'!$A$1:$IV$65536,4,FALSE),0)</f>
        <v>0</v>
      </c>
      <c r="G772" s="4">
        <f>IFERROR(VLOOKUP(B772,'[2]new sheet'!$A$1:$IV$65536,2,0),0)</f>
        <v>5</v>
      </c>
      <c r="H772" s="5">
        <f>IFERROR(VLOOKUP(B772,'[3]new sheet'!$A$1:$IV$65536,2,0),0)</f>
        <v>1</v>
      </c>
    </row>
    <row r="773" spans="1:8" ht="24" customHeight="1">
      <c r="A773" s="7">
        <v>996483</v>
      </c>
      <c r="B773" s="7">
        <v>1893</v>
      </c>
      <c r="C773" s="8" t="s">
        <v>613</v>
      </c>
      <c r="D773" s="8" t="s">
        <v>1934</v>
      </c>
      <c r="E773" s="2">
        <f>IFERROR(VLOOKUP(B773,'[1]new sheet'!$A$1:$IV$65536,5,FALSE),0)</f>
        <v>0</v>
      </c>
      <c r="F773" s="3">
        <f>IFERROR(VLOOKUP(B773,'[1]new sheet'!$A$1:$IV$65536,4,FALSE),0)</f>
        <v>0</v>
      </c>
      <c r="G773" s="4">
        <f>IFERROR(VLOOKUP(B773,'[2]new sheet'!$A$1:$IV$65536,2,0),0)</f>
        <v>0</v>
      </c>
      <c r="H773" s="5">
        <f>IFERROR(VLOOKUP(B773,'[3]new sheet'!$A$1:$IV$65536,2,0),0)</f>
        <v>0</v>
      </c>
    </row>
    <row r="774" spans="1:8" ht="24" customHeight="1">
      <c r="A774" s="7">
        <v>2024</v>
      </c>
      <c r="B774" s="7">
        <v>241</v>
      </c>
      <c r="C774" s="8" t="s">
        <v>614</v>
      </c>
      <c r="D774" s="8" t="s">
        <v>1934</v>
      </c>
      <c r="E774" s="2">
        <f>IFERROR(VLOOKUP(B774,'[1]new sheet'!$A$1:$IV$65536,5,FALSE),0)</f>
        <v>2429</v>
      </c>
      <c r="F774" s="3">
        <f>IFERROR(VLOOKUP(B774,'[1]new sheet'!$A$1:$IV$65536,4,FALSE),0)</f>
        <v>28</v>
      </c>
      <c r="G774" s="4">
        <f>IFERROR(VLOOKUP(B774,'[2]new sheet'!$A$1:$IV$65536,2,0),0)</f>
        <v>2470</v>
      </c>
      <c r="H774" s="5">
        <f>IFERROR(VLOOKUP(B774,'[3]new sheet'!$A$1:$IV$65536,2,0),0)</f>
        <v>749</v>
      </c>
    </row>
    <row r="775" spans="1:8" ht="24" customHeight="1">
      <c r="A775" s="7">
        <v>152466</v>
      </c>
      <c r="B775" s="7">
        <v>405</v>
      </c>
      <c r="C775" s="8" t="s">
        <v>615</v>
      </c>
      <c r="D775" s="8" t="s">
        <v>1934</v>
      </c>
      <c r="E775" s="2">
        <f>IFERROR(VLOOKUP(B775,'[1]new sheet'!$A$1:$IV$65536,5,FALSE),0)</f>
        <v>665</v>
      </c>
      <c r="F775" s="3">
        <f>IFERROR(VLOOKUP(B775,'[1]new sheet'!$A$1:$IV$65536,4,FALSE),0)</f>
        <v>15</v>
      </c>
      <c r="G775" s="4">
        <f>IFERROR(VLOOKUP(B775,'[2]new sheet'!$A$1:$IV$65536,2,0),0)</f>
        <v>844</v>
      </c>
      <c r="H775" s="5">
        <f>IFERROR(VLOOKUP(B775,'[3]new sheet'!$A$1:$IV$65536,2,0),0)</f>
        <v>327</v>
      </c>
    </row>
    <row r="776" spans="1:8" ht="24" customHeight="1">
      <c r="A776" s="7">
        <v>955876</v>
      </c>
      <c r="B776" s="7">
        <v>897</v>
      </c>
      <c r="C776" s="8" t="s">
        <v>616</v>
      </c>
      <c r="D776" s="8" t="s">
        <v>1934</v>
      </c>
      <c r="E776" s="2">
        <f>IFERROR(VLOOKUP(B776,'[1]new sheet'!$A$1:$IV$65536,5,FALSE),0)</f>
        <v>225</v>
      </c>
      <c r="F776" s="3">
        <f>IFERROR(VLOOKUP(B776,'[1]new sheet'!$A$1:$IV$65536,4,FALSE),0)</f>
        <v>16</v>
      </c>
      <c r="G776" s="4">
        <f>IFERROR(VLOOKUP(B776,'[2]new sheet'!$A$1:$IV$65536,2,0),0)</f>
        <v>102</v>
      </c>
      <c r="H776" s="5">
        <f>IFERROR(VLOOKUP(B776,'[3]new sheet'!$A$1:$IV$65536,2,0),0)</f>
        <v>75</v>
      </c>
    </row>
    <row r="777" spans="1:8" ht="24" customHeight="1">
      <c r="A777" s="7">
        <v>5746</v>
      </c>
      <c r="B777" s="7">
        <v>1891</v>
      </c>
      <c r="C777" s="8" t="s">
        <v>617</v>
      </c>
      <c r="D777" s="8" t="s">
        <v>1934</v>
      </c>
      <c r="E777" s="2">
        <f>IFERROR(VLOOKUP(B777,'[1]new sheet'!$A$1:$IV$65536,5,FALSE),0)</f>
        <v>0</v>
      </c>
      <c r="F777" s="3">
        <f>IFERROR(VLOOKUP(B777,'[1]new sheet'!$A$1:$IV$65536,4,FALSE),0)</f>
        <v>0</v>
      </c>
      <c r="G777" s="4">
        <f>IFERROR(VLOOKUP(B777,'[2]new sheet'!$A$1:$IV$65536,2,0),0)</f>
        <v>0</v>
      </c>
      <c r="H777" s="5">
        <f>IFERROR(VLOOKUP(B777,'[3]new sheet'!$A$1:$IV$65536,2,0),0)</f>
        <v>0</v>
      </c>
    </row>
    <row r="778" spans="1:8" ht="24" customHeight="1">
      <c r="A778" s="7">
        <v>42029</v>
      </c>
      <c r="B778" s="7">
        <v>3092</v>
      </c>
      <c r="C778" s="8" t="s">
        <v>618</v>
      </c>
      <c r="D778" s="8" t="s">
        <v>1934</v>
      </c>
      <c r="E778" s="2">
        <f>IFERROR(VLOOKUP(B778,'[1]new sheet'!$A$1:$IV$65536,5,FALSE),0)</f>
        <v>0</v>
      </c>
      <c r="F778" s="3">
        <f>IFERROR(VLOOKUP(B778,'[1]new sheet'!$A$1:$IV$65536,4,FALSE),0)</f>
        <v>0</v>
      </c>
      <c r="G778" s="4">
        <f>IFERROR(VLOOKUP(B778,'[2]new sheet'!$A$1:$IV$65536,2,0),0)</f>
        <v>0</v>
      </c>
      <c r="H778" s="5">
        <f>IFERROR(VLOOKUP(B778,'[3]new sheet'!$A$1:$IV$65536,2,0),0)</f>
        <v>0</v>
      </c>
    </row>
    <row r="779" spans="1:8" ht="24" customHeight="1">
      <c r="A779" s="7">
        <v>578207</v>
      </c>
      <c r="B779" s="7">
        <v>1037</v>
      </c>
      <c r="C779" s="8" t="s">
        <v>619</v>
      </c>
      <c r="D779" s="8" t="s">
        <v>1934</v>
      </c>
      <c r="E779" s="2">
        <f>IFERROR(VLOOKUP(B779,'[1]new sheet'!$A$1:$IV$65536,5,FALSE),0)</f>
        <v>10</v>
      </c>
      <c r="F779" s="3">
        <f>IFERROR(VLOOKUP(B779,'[1]new sheet'!$A$1:$IV$65536,4,FALSE),0)</f>
        <v>0</v>
      </c>
      <c r="G779" s="4">
        <f>IFERROR(VLOOKUP(B779,'[2]new sheet'!$A$1:$IV$65536,2,0),0)</f>
        <v>47</v>
      </c>
      <c r="H779" s="5">
        <f>IFERROR(VLOOKUP(B779,'[3]new sheet'!$A$1:$IV$65536,2,0),0)</f>
        <v>16</v>
      </c>
    </row>
    <row r="780" spans="1:8" ht="24" customHeight="1">
      <c r="A780" s="7">
        <v>152464</v>
      </c>
      <c r="B780" s="7">
        <v>242</v>
      </c>
      <c r="C780" s="8" t="s">
        <v>620</v>
      </c>
      <c r="D780" s="8" t="s">
        <v>1934</v>
      </c>
      <c r="E780" s="2">
        <f>IFERROR(VLOOKUP(B780,'[1]new sheet'!$A$1:$IV$65536,5,FALSE),0)</f>
        <v>2985</v>
      </c>
      <c r="F780" s="3">
        <f>IFERROR(VLOOKUP(B780,'[1]new sheet'!$A$1:$IV$65536,4,FALSE),0)</f>
        <v>56</v>
      </c>
      <c r="G780" s="4">
        <f>IFERROR(VLOOKUP(B780,'[2]new sheet'!$A$1:$IV$65536,2,0),0)</f>
        <v>2670</v>
      </c>
      <c r="H780" s="5">
        <f>IFERROR(VLOOKUP(B780,'[3]new sheet'!$A$1:$IV$65536,2,0),0)</f>
        <v>1059</v>
      </c>
    </row>
    <row r="781" spans="1:8" ht="24" customHeight="1">
      <c r="A781" s="7">
        <v>727636</v>
      </c>
      <c r="B781" s="7">
        <v>3020</v>
      </c>
      <c r="C781" s="8" t="s">
        <v>621</v>
      </c>
      <c r="D781" s="8" t="s">
        <v>1934</v>
      </c>
      <c r="E781" s="2">
        <f>IFERROR(VLOOKUP(B781,'[1]new sheet'!$A$1:$IV$65536,5,FALSE),0)</f>
        <v>1</v>
      </c>
      <c r="F781" s="3">
        <f>IFERROR(VLOOKUP(B781,'[1]new sheet'!$A$1:$IV$65536,4,FALSE),0)</f>
        <v>0</v>
      </c>
      <c r="G781" s="4">
        <f>IFERROR(VLOOKUP(B781,'[2]new sheet'!$A$1:$IV$65536,2,0),0)</f>
        <v>2</v>
      </c>
      <c r="H781" s="5">
        <f>IFERROR(VLOOKUP(B781,'[3]new sheet'!$A$1:$IV$65536,2,0),0)</f>
        <v>1</v>
      </c>
    </row>
    <row r="782" spans="1:8" ht="24" customHeight="1">
      <c r="A782" s="7">
        <v>997158</v>
      </c>
      <c r="B782" s="7">
        <v>768</v>
      </c>
      <c r="C782" s="8" t="s">
        <v>622</v>
      </c>
      <c r="D782" s="8" t="s">
        <v>1934</v>
      </c>
      <c r="E782" s="2">
        <f>IFERROR(VLOOKUP(B782,'[1]new sheet'!$A$1:$IV$65536,5,FALSE),0)</f>
        <v>1</v>
      </c>
      <c r="F782" s="3">
        <f>IFERROR(VLOOKUP(B782,'[1]new sheet'!$A$1:$IV$65536,4,FALSE),0)</f>
        <v>0</v>
      </c>
      <c r="G782" s="4">
        <f>IFERROR(VLOOKUP(B782,'[2]new sheet'!$A$1:$IV$65536,2,0),0)</f>
        <v>3</v>
      </c>
      <c r="H782" s="5">
        <f>IFERROR(VLOOKUP(B782,'[3]new sheet'!$A$1:$IV$65536,2,0),0)</f>
        <v>4</v>
      </c>
    </row>
    <row r="783" spans="1:8" ht="24" customHeight="1">
      <c r="A783" s="7">
        <v>993003</v>
      </c>
      <c r="B783" s="7">
        <v>1475</v>
      </c>
      <c r="C783" s="8" t="s">
        <v>623</v>
      </c>
      <c r="D783" s="8" t="s">
        <v>1934</v>
      </c>
      <c r="E783" s="2">
        <f>IFERROR(VLOOKUP(B783,'[1]new sheet'!$A$1:$IV$65536,5,FALSE),0)</f>
        <v>2</v>
      </c>
      <c r="F783" s="3">
        <f>IFERROR(VLOOKUP(B783,'[1]new sheet'!$A$1:$IV$65536,4,FALSE),0)</f>
        <v>0</v>
      </c>
      <c r="G783" s="4">
        <f>IFERROR(VLOOKUP(B783,'[2]new sheet'!$A$1:$IV$65536,2,0),0)</f>
        <v>2</v>
      </c>
      <c r="H783" s="5">
        <f>IFERROR(VLOOKUP(B783,'[3]new sheet'!$A$1:$IV$65536,2,0),0)</f>
        <v>0</v>
      </c>
    </row>
    <row r="784" spans="1:8" ht="24" customHeight="1">
      <c r="A784" s="7">
        <v>991843</v>
      </c>
      <c r="B784" s="7">
        <v>2447</v>
      </c>
      <c r="C784" s="8" t="s">
        <v>624</v>
      </c>
      <c r="D784" s="8" t="s">
        <v>1934</v>
      </c>
      <c r="E784" s="2">
        <f>IFERROR(VLOOKUP(B784,'[1]new sheet'!$A$1:$IV$65536,5,FALSE),0)</f>
        <v>5</v>
      </c>
      <c r="F784" s="3">
        <f>IFERROR(VLOOKUP(B784,'[1]new sheet'!$A$1:$IV$65536,4,FALSE),0)</f>
        <v>0</v>
      </c>
      <c r="G784" s="4">
        <f>IFERROR(VLOOKUP(B784,'[2]new sheet'!$A$1:$IV$65536,2,0),0)</f>
        <v>4</v>
      </c>
      <c r="H784" s="5">
        <f>IFERROR(VLOOKUP(B784,'[3]new sheet'!$A$1:$IV$65536,2,0),0)</f>
        <v>0</v>
      </c>
    </row>
    <row r="785" spans="1:8" ht="24" customHeight="1">
      <c r="A785" s="7">
        <v>152458</v>
      </c>
      <c r="B785" s="7">
        <v>404</v>
      </c>
      <c r="C785" s="8" t="s">
        <v>625</v>
      </c>
      <c r="D785" s="8" t="s">
        <v>1934</v>
      </c>
      <c r="E785" s="2">
        <f>IFERROR(VLOOKUP(B785,'[1]new sheet'!$A$1:$IV$65536,5,FALSE),0)</f>
        <v>2358</v>
      </c>
      <c r="F785" s="3">
        <f>IFERROR(VLOOKUP(B785,'[1]new sheet'!$A$1:$IV$65536,4,FALSE),0)</f>
        <v>25</v>
      </c>
      <c r="G785" s="4">
        <f>IFERROR(VLOOKUP(B785,'[2]new sheet'!$A$1:$IV$65536,2,0),0)</f>
        <v>1669</v>
      </c>
      <c r="H785" s="5">
        <f>IFERROR(VLOOKUP(B785,'[3]new sheet'!$A$1:$IV$65536,2,0),0)</f>
        <v>190</v>
      </c>
    </row>
    <row r="786" spans="1:8" ht="24" customHeight="1">
      <c r="A786" s="7">
        <v>42202</v>
      </c>
      <c r="B786" s="7">
        <v>3478</v>
      </c>
      <c r="C786" s="8" t="s">
        <v>626</v>
      </c>
      <c r="D786" s="8" t="s">
        <v>1934</v>
      </c>
      <c r="E786" s="2">
        <f>IFERROR(VLOOKUP(B786,'[1]new sheet'!$A$1:$IV$65536,5,FALSE),0)</f>
        <v>0</v>
      </c>
      <c r="F786" s="3">
        <f>IFERROR(VLOOKUP(B786,'[1]new sheet'!$A$1:$IV$65536,4,FALSE),0)</f>
        <v>0</v>
      </c>
      <c r="G786" s="4">
        <f>IFERROR(VLOOKUP(B786,'[2]new sheet'!$A$1:$IV$65536,2,0),0)</f>
        <v>0</v>
      </c>
      <c r="H786" s="5">
        <f>IFERROR(VLOOKUP(B786,'[3]new sheet'!$A$1:$IV$65536,2,0),0)</f>
        <v>0</v>
      </c>
    </row>
    <row r="787" spans="1:8" ht="24" customHeight="1">
      <c r="A787" s="7">
        <v>152426</v>
      </c>
      <c r="B787" s="7">
        <v>243</v>
      </c>
      <c r="C787" s="8" t="s">
        <v>627</v>
      </c>
      <c r="D787" s="8" t="s">
        <v>1934</v>
      </c>
      <c r="E787" s="2">
        <f>IFERROR(VLOOKUP(B787,'[1]new sheet'!$A$1:$IV$65536,5,FALSE),0)</f>
        <v>851</v>
      </c>
      <c r="F787" s="3">
        <f>IFERROR(VLOOKUP(B787,'[1]new sheet'!$A$1:$IV$65536,4,FALSE),0)</f>
        <v>4</v>
      </c>
      <c r="G787" s="4">
        <f>IFERROR(VLOOKUP(B787,'[2]new sheet'!$A$1:$IV$65536,2,0),0)</f>
        <v>525</v>
      </c>
      <c r="H787" s="5">
        <f>IFERROR(VLOOKUP(B787,'[3]new sheet'!$A$1:$IV$65536,2,0),0)</f>
        <v>181</v>
      </c>
    </row>
    <row r="788" spans="1:8" ht="24" customHeight="1">
      <c r="A788" s="7">
        <v>500252</v>
      </c>
      <c r="B788" s="7">
        <v>567</v>
      </c>
      <c r="C788" s="8" t="s">
        <v>628</v>
      </c>
      <c r="D788" s="8" t="s">
        <v>1934</v>
      </c>
      <c r="E788" s="2">
        <f>IFERROR(VLOOKUP(B788,'[1]new sheet'!$A$1:$IV$65536,5,FALSE),0)</f>
        <v>6</v>
      </c>
      <c r="F788" s="3">
        <f>IFERROR(VLOOKUP(B788,'[1]new sheet'!$A$1:$IV$65536,4,FALSE),0)</f>
        <v>0</v>
      </c>
      <c r="G788" s="4">
        <f>IFERROR(VLOOKUP(B788,'[2]new sheet'!$A$1:$IV$65536,2,0),0)</f>
        <v>2</v>
      </c>
      <c r="H788" s="5">
        <f>IFERROR(VLOOKUP(B788,'[3]new sheet'!$A$1:$IV$65536,2,0),0)</f>
        <v>0</v>
      </c>
    </row>
    <row r="789" spans="1:8" ht="24" customHeight="1">
      <c r="A789" s="7">
        <v>578142</v>
      </c>
      <c r="B789" s="7">
        <v>565</v>
      </c>
      <c r="C789" s="8" t="s">
        <v>629</v>
      </c>
      <c r="D789" s="8" t="s">
        <v>1934</v>
      </c>
      <c r="E789" s="2">
        <f>IFERROR(VLOOKUP(B789,'[1]new sheet'!$A$1:$IV$65536,5,FALSE),0)</f>
        <v>287</v>
      </c>
      <c r="F789" s="3">
        <f>IFERROR(VLOOKUP(B789,'[1]new sheet'!$A$1:$IV$65536,4,FALSE),0)</f>
        <v>18</v>
      </c>
      <c r="G789" s="4">
        <f>IFERROR(VLOOKUP(B789,'[2]new sheet'!$A$1:$IV$65536,2,0),0)</f>
        <v>471</v>
      </c>
      <c r="H789" s="5">
        <f>IFERROR(VLOOKUP(B789,'[3]new sheet'!$A$1:$IV$65536,2,0),0)</f>
        <v>204</v>
      </c>
    </row>
    <row r="790" spans="1:8" ht="24" customHeight="1">
      <c r="A790" s="7">
        <v>500388</v>
      </c>
      <c r="B790" s="7">
        <v>566</v>
      </c>
      <c r="C790" s="8" t="s">
        <v>630</v>
      </c>
      <c r="D790" s="8" t="s">
        <v>1934</v>
      </c>
      <c r="E790" s="2">
        <f>IFERROR(VLOOKUP(B790,'[1]new sheet'!$A$1:$IV$65536,5,FALSE),0)</f>
        <v>703</v>
      </c>
      <c r="F790" s="3">
        <f>IFERROR(VLOOKUP(B790,'[1]new sheet'!$A$1:$IV$65536,4,FALSE),0)</f>
        <v>0</v>
      </c>
      <c r="G790" s="4">
        <f>IFERROR(VLOOKUP(B790,'[2]new sheet'!$A$1:$IV$65536,2,0),0)</f>
        <v>396</v>
      </c>
      <c r="H790" s="5">
        <f>IFERROR(VLOOKUP(B790,'[3]new sheet'!$A$1:$IV$65536,2,0),0)</f>
        <v>91</v>
      </c>
    </row>
    <row r="791" spans="1:8" ht="24" customHeight="1">
      <c r="A791" s="7">
        <v>687995</v>
      </c>
      <c r="B791" s="7">
        <v>244</v>
      </c>
      <c r="C791" s="8" t="s">
        <v>631</v>
      </c>
      <c r="D791" s="8" t="s">
        <v>1934</v>
      </c>
      <c r="E791" s="2">
        <f>IFERROR(VLOOKUP(B791,'[1]new sheet'!$A$1:$IV$65536,5,FALSE),0)</f>
        <v>0</v>
      </c>
      <c r="F791" s="3">
        <f>IFERROR(VLOOKUP(B791,'[1]new sheet'!$A$1:$IV$65536,4,FALSE),0)</f>
        <v>0</v>
      </c>
      <c r="G791" s="4">
        <f>IFERROR(VLOOKUP(B791,'[2]new sheet'!$A$1:$IV$65536,2,0),0)</f>
        <v>85</v>
      </c>
      <c r="H791" s="5">
        <f>IFERROR(VLOOKUP(B791,'[3]new sheet'!$A$1:$IV$65536,2,0),0)</f>
        <v>60</v>
      </c>
    </row>
    <row r="792" spans="1:8" ht="24" customHeight="1">
      <c r="A792" s="7">
        <v>500245</v>
      </c>
      <c r="B792" s="7">
        <v>811</v>
      </c>
      <c r="C792" s="8" t="s">
        <v>632</v>
      </c>
      <c r="D792" s="8" t="s">
        <v>1934</v>
      </c>
      <c r="E792" s="2">
        <f>IFERROR(VLOOKUP(B792,'[1]new sheet'!$A$1:$IV$65536,5,FALSE),0)</f>
        <v>2</v>
      </c>
      <c r="F792" s="3">
        <f>IFERROR(VLOOKUP(B792,'[1]new sheet'!$A$1:$IV$65536,4,FALSE),0)</f>
        <v>0</v>
      </c>
      <c r="G792" s="4">
        <f>IFERROR(VLOOKUP(B792,'[2]new sheet'!$A$1:$IV$65536,2,0),0)</f>
        <v>2</v>
      </c>
      <c r="H792" s="5">
        <f>IFERROR(VLOOKUP(B792,'[3]new sheet'!$A$1:$IV$65536,2,0),0)</f>
        <v>3</v>
      </c>
    </row>
    <row r="793" spans="1:8" ht="24" customHeight="1">
      <c r="A793" s="7">
        <v>9000010492</v>
      </c>
      <c r="B793" s="7">
        <v>4116</v>
      </c>
      <c r="C793" s="8" t="s">
        <v>1740</v>
      </c>
      <c r="D793" s="8" t="s">
        <v>1934</v>
      </c>
      <c r="E793" s="2">
        <f>IFERROR(VLOOKUP(B793,'[1]new sheet'!$A$1:$IV$65536,5,FALSE),0)</f>
        <v>0</v>
      </c>
      <c r="F793" s="3">
        <f>IFERROR(VLOOKUP(B793,'[1]new sheet'!$A$1:$IV$65536,4,FALSE),0)</f>
        <v>0</v>
      </c>
      <c r="G793" s="4">
        <f>IFERROR(VLOOKUP(B793,'[2]new sheet'!$A$1:$IV$65536,2,0),0)</f>
        <v>0</v>
      </c>
      <c r="H793" s="5">
        <f>IFERROR(VLOOKUP(B793,'[3]new sheet'!$A$1:$IV$65536,2,0),0)</f>
        <v>0</v>
      </c>
    </row>
    <row r="794" spans="1:8" ht="24" customHeight="1">
      <c r="A794" s="7">
        <v>215949</v>
      </c>
      <c r="B794" s="7">
        <v>412</v>
      </c>
      <c r="C794" s="8" t="s">
        <v>633</v>
      </c>
      <c r="D794" s="8" t="s">
        <v>1934</v>
      </c>
      <c r="E794" s="2">
        <f>IFERROR(VLOOKUP(B794,'[1]new sheet'!$A$1:$IV$65536,5,FALSE),0)</f>
        <v>38</v>
      </c>
      <c r="F794" s="3">
        <f>IFERROR(VLOOKUP(B794,'[1]new sheet'!$A$1:$IV$65536,4,FALSE),0)</f>
        <v>1</v>
      </c>
      <c r="G794" s="4">
        <f>IFERROR(VLOOKUP(B794,'[2]new sheet'!$A$1:$IV$65536,2,0),0)</f>
        <v>53</v>
      </c>
      <c r="H794" s="5">
        <f>IFERROR(VLOOKUP(B794,'[3]new sheet'!$A$1:$IV$65536,2,0),0)</f>
        <v>19</v>
      </c>
    </row>
    <row r="795" spans="1:8" ht="24" customHeight="1">
      <c r="A795" s="7">
        <v>687341</v>
      </c>
      <c r="B795" s="7">
        <v>411</v>
      </c>
      <c r="C795" s="8" t="s">
        <v>634</v>
      </c>
      <c r="D795" s="8" t="s">
        <v>1934</v>
      </c>
      <c r="E795" s="2">
        <f>IFERROR(VLOOKUP(B795,'[1]new sheet'!$A$1:$IV$65536,5,FALSE),0)</f>
        <v>26</v>
      </c>
      <c r="F795" s="3">
        <f>IFERROR(VLOOKUP(B795,'[1]new sheet'!$A$1:$IV$65536,4,FALSE),0)</f>
        <v>1</v>
      </c>
      <c r="G795" s="4">
        <f>IFERROR(VLOOKUP(B795,'[2]new sheet'!$A$1:$IV$65536,2,0),0)</f>
        <v>58</v>
      </c>
      <c r="H795" s="5">
        <f>IFERROR(VLOOKUP(B795,'[3]new sheet'!$A$1:$IV$65536,2,0),0)</f>
        <v>27</v>
      </c>
    </row>
    <row r="796" spans="1:8" ht="24" customHeight="1">
      <c r="A796" s="7">
        <v>678295</v>
      </c>
      <c r="B796" s="7">
        <v>568</v>
      </c>
      <c r="C796" s="8" t="s">
        <v>635</v>
      </c>
      <c r="D796" s="8" t="s">
        <v>1934</v>
      </c>
      <c r="E796" s="2">
        <f>IFERROR(VLOOKUP(B796,'[1]new sheet'!$A$1:$IV$65536,5,FALSE),0)</f>
        <v>23</v>
      </c>
      <c r="F796" s="3">
        <f>IFERROR(VLOOKUP(B796,'[1]new sheet'!$A$1:$IV$65536,4,FALSE),0)</f>
        <v>1</v>
      </c>
      <c r="G796" s="4">
        <f>IFERROR(VLOOKUP(B796,'[2]new sheet'!$A$1:$IV$65536,2,0),0)</f>
        <v>32</v>
      </c>
      <c r="H796" s="5">
        <f>IFERROR(VLOOKUP(B796,'[3]new sheet'!$A$1:$IV$65536,2,0),0)</f>
        <v>25</v>
      </c>
    </row>
    <row r="797" spans="1:8" ht="24" customHeight="1">
      <c r="A797" s="7">
        <v>687309</v>
      </c>
      <c r="B797" s="7">
        <v>569</v>
      </c>
      <c r="C797" s="8" t="s">
        <v>636</v>
      </c>
      <c r="D797" s="8" t="s">
        <v>1934</v>
      </c>
      <c r="E797" s="2">
        <f>IFERROR(VLOOKUP(B797,'[1]new sheet'!$A$1:$IV$65536,5,FALSE),0)</f>
        <v>37</v>
      </c>
      <c r="F797" s="3">
        <f>IFERROR(VLOOKUP(B797,'[1]new sheet'!$A$1:$IV$65536,4,FALSE),0)</f>
        <v>2</v>
      </c>
      <c r="G797" s="4">
        <f>IFERROR(VLOOKUP(B797,'[2]new sheet'!$A$1:$IV$65536,2,0),0)</f>
        <v>36</v>
      </c>
      <c r="H797" s="5">
        <f>IFERROR(VLOOKUP(B797,'[3]new sheet'!$A$1:$IV$65536,2,0),0)</f>
        <v>9</v>
      </c>
    </row>
    <row r="798" spans="1:8" ht="24" customHeight="1">
      <c r="A798" s="7">
        <v>678287</v>
      </c>
      <c r="B798" s="7">
        <v>293</v>
      </c>
      <c r="C798" s="8" t="s">
        <v>637</v>
      </c>
      <c r="D798" s="8" t="s">
        <v>1934</v>
      </c>
      <c r="E798" s="2">
        <f>IFERROR(VLOOKUP(B798,'[1]new sheet'!$A$1:$IV$65536,5,FALSE),0)</f>
        <v>19</v>
      </c>
      <c r="F798" s="3">
        <f>IFERROR(VLOOKUP(B798,'[1]new sheet'!$A$1:$IV$65536,4,FALSE),0)</f>
        <v>5</v>
      </c>
      <c r="G798" s="4">
        <f>IFERROR(VLOOKUP(B798,'[2]new sheet'!$A$1:$IV$65536,2,0),0)</f>
        <v>86</v>
      </c>
      <c r="H798" s="5">
        <f>IFERROR(VLOOKUP(B798,'[3]new sheet'!$A$1:$IV$65536,2,0),0)</f>
        <v>31</v>
      </c>
    </row>
    <row r="799" spans="1:8" ht="24" customHeight="1">
      <c r="A799" s="7">
        <v>6</v>
      </c>
      <c r="B799" s="7">
        <v>406</v>
      </c>
      <c r="C799" s="8" t="s">
        <v>638</v>
      </c>
      <c r="D799" s="8" t="s">
        <v>1934</v>
      </c>
      <c r="E799" s="2">
        <f>IFERROR(VLOOKUP(B799,'[1]new sheet'!$A$1:$IV$65536,5,FALSE),0)</f>
        <v>16</v>
      </c>
      <c r="F799" s="3">
        <f>IFERROR(VLOOKUP(B799,'[1]new sheet'!$A$1:$IV$65536,4,FALSE),0)</f>
        <v>3</v>
      </c>
      <c r="G799" s="4">
        <f>IFERROR(VLOOKUP(B799,'[2]new sheet'!$A$1:$IV$65536,2,0),0)</f>
        <v>301</v>
      </c>
      <c r="H799" s="5">
        <f>IFERROR(VLOOKUP(B799,'[3]new sheet'!$A$1:$IV$65536,2,0),0)</f>
        <v>176</v>
      </c>
    </row>
    <row r="800" spans="1:8" ht="24" customHeight="1">
      <c r="A800" s="7">
        <v>103</v>
      </c>
      <c r="B800" s="7">
        <v>812</v>
      </c>
      <c r="C800" s="8" t="s">
        <v>639</v>
      </c>
      <c r="D800" s="8" t="s">
        <v>1934</v>
      </c>
      <c r="E800" s="2">
        <f>IFERROR(VLOOKUP(B800,'[1]new sheet'!$A$1:$IV$65536,5,FALSE),0)</f>
        <v>65</v>
      </c>
      <c r="F800" s="3">
        <f>IFERROR(VLOOKUP(B800,'[1]new sheet'!$A$1:$IV$65536,4,FALSE),0)</f>
        <v>0</v>
      </c>
      <c r="G800" s="4">
        <f>IFERROR(VLOOKUP(B800,'[2]new sheet'!$A$1:$IV$65536,2,0),0)</f>
        <v>88</v>
      </c>
      <c r="H800" s="5">
        <f>IFERROR(VLOOKUP(B800,'[3]new sheet'!$A$1:$IV$65536,2,0),0)</f>
        <v>25</v>
      </c>
    </row>
    <row r="801" spans="1:8" ht="24" customHeight="1">
      <c r="A801" s="7">
        <v>193</v>
      </c>
      <c r="B801" s="7">
        <v>813</v>
      </c>
      <c r="C801" s="8" t="s">
        <v>640</v>
      </c>
      <c r="D801" s="8" t="s">
        <v>1938</v>
      </c>
      <c r="E801" s="2">
        <f>IFERROR(VLOOKUP(B801,'[1]new sheet'!$A$1:$IV$65536,5,FALSE),0)</f>
        <v>0</v>
      </c>
      <c r="F801" s="3">
        <f>IFERROR(VLOOKUP(B801,'[1]new sheet'!$A$1:$IV$65536,4,FALSE),0)</f>
        <v>0</v>
      </c>
      <c r="G801" s="4">
        <f>IFERROR(VLOOKUP(B801,'[2]new sheet'!$A$1:$IV$65536,2,0),0)</f>
        <v>0</v>
      </c>
      <c r="H801" s="5">
        <f>IFERROR(VLOOKUP(B801,'[3]new sheet'!$A$1:$IV$65536,2,0),0)</f>
        <v>0</v>
      </c>
    </row>
    <row r="802" spans="1:8" ht="24" customHeight="1">
      <c r="A802" s="7"/>
      <c r="B802" s="7">
        <v>2024</v>
      </c>
      <c r="C802" s="8" t="s">
        <v>641</v>
      </c>
      <c r="D802" s="8" t="s">
        <v>1938</v>
      </c>
      <c r="E802" s="2">
        <f>IFERROR(VLOOKUP(B802,'[1]new sheet'!$A$1:$IV$65536,5,FALSE),0)</f>
        <v>0</v>
      </c>
      <c r="F802" s="3">
        <f>IFERROR(VLOOKUP(B802,'[1]new sheet'!$A$1:$IV$65536,4,FALSE),0)</f>
        <v>0</v>
      </c>
      <c r="G802" s="4">
        <f>IFERROR(VLOOKUP(B802,'[2]new sheet'!$A$1:$IV$65536,2,0),0)</f>
        <v>0</v>
      </c>
      <c r="H802" s="5">
        <f>IFERROR(VLOOKUP(B802,'[3]new sheet'!$A$1:$IV$65536,2,0),0)</f>
        <v>0</v>
      </c>
    </row>
    <row r="803" spans="1:8" ht="24" customHeight="1">
      <c r="A803" s="7"/>
      <c r="B803" s="7">
        <v>814</v>
      </c>
      <c r="C803" s="8" t="s">
        <v>642</v>
      </c>
      <c r="D803" s="8" t="s">
        <v>1938</v>
      </c>
      <c r="E803" s="2">
        <f>IFERROR(VLOOKUP(B803,'[1]new sheet'!$A$1:$IV$65536,5,FALSE),0)</f>
        <v>0</v>
      </c>
      <c r="F803" s="3">
        <f>IFERROR(VLOOKUP(B803,'[1]new sheet'!$A$1:$IV$65536,4,FALSE),0)</f>
        <v>0</v>
      </c>
      <c r="G803" s="4">
        <f>IFERROR(VLOOKUP(B803,'[2]new sheet'!$A$1:$IV$65536,2,0),0)</f>
        <v>0</v>
      </c>
      <c r="H803" s="5">
        <f>IFERROR(VLOOKUP(B803,'[3]new sheet'!$A$1:$IV$65536,2,0),0)</f>
        <v>0</v>
      </c>
    </row>
    <row r="804" spans="1:8" ht="24" customHeight="1">
      <c r="A804" s="7">
        <v>1392</v>
      </c>
      <c r="B804" s="7">
        <v>815</v>
      </c>
      <c r="C804" s="8" t="s">
        <v>643</v>
      </c>
      <c r="D804" s="8" t="s">
        <v>1938</v>
      </c>
      <c r="E804" s="2">
        <f>IFERROR(VLOOKUP(B804,'[1]new sheet'!$A$1:$IV$65536,5,FALSE),0)</f>
        <v>0</v>
      </c>
      <c r="F804" s="3">
        <f>IFERROR(VLOOKUP(B804,'[1]new sheet'!$A$1:$IV$65536,4,FALSE),0)</f>
        <v>0</v>
      </c>
      <c r="G804" s="4">
        <f>IFERROR(VLOOKUP(B804,'[2]new sheet'!$A$1:$IV$65536,2,0),0)</f>
        <v>0</v>
      </c>
      <c r="H804" s="5">
        <f>IFERROR(VLOOKUP(B804,'[3]new sheet'!$A$1:$IV$65536,2,0),0)</f>
        <v>0</v>
      </c>
    </row>
    <row r="805" spans="1:8" ht="24" customHeight="1">
      <c r="A805" s="7">
        <v>1405</v>
      </c>
      <c r="B805" s="7">
        <v>816</v>
      </c>
      <c r="C805" s="8" t="s">
        <v>644</v>
      </c>
      <c r="D805" s="8" t="s">
        <v>1938</v>
      </c>
      <c r="E805" s="2">
        <f>IFERROR(VLOOKUP(B805,'[1]new sheet'!$A$1:$IV$65536,5,FALSE),0)</f>
        <v>0</v>
      </c>
      <c r="F805" s="3">
        <f>IFERROR(VLOOKUP(B805,'[1]new sheet'!$A$1:$IV$65536,4,FALSE),0)</f>
        <v>0</v>
      </c>
      <c r="G805" s="4">
        <f>IFERROR(VLOOKUP(B805,'[2]new sheet'!$A$1:$IV$65536,2,0),0)</f>
        <v>0</v>
      </c>
      <c r="H805" s="5">
        <f>IFERROR(VLOOKUP(B805,'[3]new sheet'!$A$1:$IV$65536,2,0),0)</f>
        <v>0</v>
      </c>
    </row>
    <row r="806" spans="1:8" ht="24" customHeight="1">
      <c r="A806" s="7">
        <v>1398</v>
      </c>
      <c r="B806" s="7">
        <v>1222</v>
      </c>
      <c r="C806" s="8" t="s">
        <v>645</v>
      </c>
      <c r="D806" s="8" t="s">
        <v>1938</v>
      </c>
      <c r="E806" s="2">
        <f>IFERROR(VLOOKUP(B806,'[1]new sheet'!$A$1:$IV$65536,5,FALSE),0)</f>
        <v>0</v>
      </c>
      <c r="F806" s="3">
        <f>IFERROR(VLOOKUP(B806,'[1]new sheet'!$A$1:$IV$65536,4,FALSE),0)</f>
        <v>0</v>
      </c>
      <c r="G806" s="4">
        <f>IFERROR(VLOOKUP(B806,'[2]new sheet'!$A$1:$IV$65536,2,0),0)</f>
        <v>0</v>
      </c>
      <c r="H806" s="5">
        <f>IFERROR(VLOOKUP(B806,'[3]new sheet'!$A$1:$IV$65536,2,0),0)</f>
        <v>0</v>
      </c>
    </row>
    <row r="807" spans="1:8" ht="24" customHeight="1">
      <c r="A807" s="7">
        <v>38</v>
      </c>
      <c r="B807" s="7">
        <v>4313</v>
      </c>
      <c r="C807" s="8" t="s">
        <v>1921</v>
      </c>
      <c r="D807" s="8" t="s">
        <v>1938</v>
      </c>
      <c r="E807" s="2">
        <f>IFERROR(VLOOKUP(B807,'[1]new sheet'!$A$1:$IV$65536,5,FALSE),0)</f>
        <v>0</v>
      </c>
      <c r="F807" s="3">
        <f>IFERROR(VLOOKUP(B807,'[1]new sheet'!$A$1:$IV$65536,4,FALSE),0)</f>
        <v>0</v>
      </c>
      <c r="G807" s="4">
        <f>IFERROR(VLOOKUP(B807,'[2]new sheet'!$A$1:$IV$65536,2,0),0)</f>
        <v>17</v>
      </c>
      <c r="H807" s="5">
        <f>IFERROR(VLOOKUP(B807,'[3]new sheet'!$A$1:$IV$65536,2,0),0)</f>
        <v>33</v>
      </c>
    </row>
    <row r="808" spans="1:8" ht="24" customHeight="1">
      <c r="A808" s="7">
        <v>24</v>
      </c>
      <c r="B808" s="7">
        <v>570</v>
      </c>
      <c r="C808" s="8" t="s">
        <v>646</v>
      </c>
      <c r="D808" s="8" t="s">
        <v>1938</v>
      </c>
      <c r="E808" s="2">
        <f>IFERROR(VLOOKUP(B808,'[1]new sheet'!$A$1:$IV$65536,5,FALSE),0)</f>
        <v>13</v>
      </c>
      <c r="F808" s="3">
        <f>IFERROR(VLOOKUP(B808,'[1]new sheet'!$A$1:$IV$65536,4,FALSE),0)</f>
        <v>3</v>
      </c>
      <c r="G808" s="4">
        <f>IFERROR(VLOOKUP(B808,'[2]new sheet'!$A$1:$IV$65536,2,0),0)</f>
        <v>205</v>
      </c>
      <c r="H808" s="5">
        <f>IFERROR(VLOOKUP(B808,'[3]new sheet'!$A$1:$IV$65536,2,0),0)</f>
        <v>125</v>
      </c>
    </row>
    <row r="809" spans="1:8" ht="24" customHeight="1">
      <c r="A809" s="7">
        <v>7</v>
      </c>
      <c r="B809" s="7">
        <v>571</v>
      </c>
      <c r="C809" s="8" t="s">
        <v>647</v>
      </c>
      <c r="D809" s="8" t="s">
        <v>1938</v>
      </c>
      <c r="E809" s="2">
        <f>IFERROR(VLOOKUP(B809,'[1]new sheet'!$A$1:$IV$65536,5,FALSE),0)</f>
        <v>30</v>
      </c>
      <c r="F809" s="3">
        <f>IFERROR(VLOOKUP(B809,'[1]new sheet'!$A$1:$IV$65536,4,FALSE),0)</f>
        <v>5</v>
      </c>
      <c r="G809" s="4">
        <f>IFERROR(VLOOKUP(B809,'[2]new sheet'!$A$1:$IV$65536,2,0),0)</f>
        <v>252</v>
      </c>
      <c r="H809" s="5">
        <f>IFERROR(VLOOKUP(B809,'[3]new sheet'!$A$1:$IV$65536,2,0),0)</f>
        <v>202</v>
      </c>
    </row>
    <row r="810" spans="1:8" ht="24" customHeight="1">
      <c r="A810" s="7">
        <v>26</v>
      </c>
      <c r="B810" s="7">
        <v>572</v>
      </c>
      <c r="C810" s="8" t="s">
        <v>648</v>
      </c>
      <c r="D810" s="8" t="s">
        <v>1938</v>
      </c>
      <c r="E810" s="2">
        <f>IFERROR(VLOOKUP(B810,'[1]new sheet'!$A$1:$IV$65536,5,FALSE),0)</f>
        <v>10</v>
      </c>
      <c r="F810" s="3">
        <f>IFERROR(VLOOKUP(B810,'[1]new sheet'!$A$1:$IV$65536,4,FALSE),0)</f>
        <v>3</v>
      </c>
      <c r="G810" s="4">
        <f>IFERROR(VLOOKUP(B810,'[2]new sheet'!$A$1:$IV$65536,2,0),0)</f>
        <v>122</v>
      </c>
      <c r="H810" s="5">
        <f>IFERROR(VLOOKUP(B810,'[3]new sheet'!$A$1:$IV$65536,2,0),0)</f>
        <v>103</v>
      </c>
    </row>
    <row r="811" spans="1:8" ht="24" customHeight="1">
      <c r="A811" s="7">
        <v>27</v>
      </c>
      <c r="B811" s="7">
        <v>573</v>
      </c>
      <c r="C811" s="8" t="s">
        <v>649</v>
      </c>
      <c r="D811" s="8" t="s">
        <v>1938</v>
      </c>
      <c r="E811" s="2">
        <f>IFERROR(VLOOKUP(B811,'[1]new sheet'!$A$1:$IV$65536,5,FALSE),0)</f>
        <v>0</v>
      </c>
      <c r="F811" s="3">
        <f>IFERROR(VLOOKUP(B811,'[1]new sheet'!$A$1:$IV$65536,4,FALSE),0)</f>
        <v>1</v>
      </c>
      <c r="G811" s="4">
        <f>IFERROR(VLOOKUP(B811,'[2]new sheet'!$A$1:$IV$65536,2,0),0)</f>
        <v>714</v>
      </c>
      <c r="H811" s="5">
        <f>IFERROR(VLOOKUP(B811,'[3]new sheet'!$A$1:$IV$65536,2,0),0)</f>
        <v>368</v>
      </c>
    </row>
    <row r="812" spans="1:8" ht="24" customHeight="1">
      <c r="A812" s="7">
        <v>102</v>
      </c>
      <c r="B812" s="7">
        <v>574</v>
      </c>
      <c r="C812" s="8" t="s">
        <v>650</v>
      </c>
      <c r="D812" s="8" t="s">
        <v>1938</v>
      </c>
      <c r="E812" s="2">
        <f>IFERROR(VLOOKUP(B812,'[1]new sheet'!$A$1:$IV$65536,5,FALSE),0)</f>
        <v>26</v>
      </c>
      <c r="F812" s="3">
        <f>IFERROR(VLOOKUP(B812,'[1]new sheet'!$A$1:$IV$65536,4,FALSE),0)</f>
        <v>5</v>
      </c>
      <c r="G812" s="4">
        <f>IFERROR(VLOOKUP(B812,'[2]new sheet'!$A$1:$IV$65536,2,0),0)</f>
        <v>96</v>
      </c>
      <c r="H812" s="5">
        <f>IFERROR(VLOOKUP(B812,'[3]new sheet'!$A$1:$IV$65536,2,0),0)</f>
        <v>38</v>
      </c>
    </row>
    <row r="813" spans="1:8" ht="24" customHeight="1">
      <c r="A813" s="7">
        <v>101</v>
      </c>
      <c r="B813" s="7">
        <v>576</v>
      </c>
      <c r="C813" s="8" t="s">
        <v>651</v>
      </c>
      <c r="D813" s="8" t="s">
        <v>1938</v>
      </c>
      <c r="E813" s="2">
        <f>IFERROR(VLOOKUP(B813,'[1]new sheet'!$A$1:$IV$65536,5,FALSE),0)</f>
        <v>47</v>
      </c>
      <c r="F813" s="3">
        <f>IFERROR(VLOOKUP(B813,'[1]new sheet'!$A$1:$IV$65536,4,FALSE),0)</f>
        <v>0</v>
      </c>
      <c r="G813" s="4">
        <f>IFERROR(VLOOKUP(B813,'[2]new sheet'!$A$1:$IV$65536,2,0),0)</f>
        <v>95</v>
      </c>
      <c r="H813" s="5">
        <f>IFERROR(VLOOKUP(B813,'[3]new sheet'!$A$1:$IV$65536,2,0),0)</f>
        <v>23</v>
      </c>
    </row>
    <row r="814" spans="1:8" ht="24" customHeight="1">
      <c r="A814" s="7">
        <v>100</v>
      </c>
      <c r="B814" s="7">
        <v>577</v>
      </c>
      <c r="C814" s="8" t="s">
        <v>652</v>
      </c>
      <c r="D814" s="8" t="s">
        <v>1938</v>
      </c>
      <c r="E814" s="2">
        <f>IFERROR(VLOOKUP(B814,'[1]new sheet'!$A$1:$IV$65536,5,FALSE),0)</f>
        <v>7</v>
      </c>
      <c r="F814" s="3">
        <f>IFERROR(VLOOKUP(B814,'[1]new sheet'!$A$1:$IV$65536,4,FALSE),0)</f>
        <v>8</v>
      </c>
      <c r="G814" s="4">
        <f>IFERROR(VLOOKUP(B814,'[2]new sheet'!$A$1:$IV$65536,2,0),0)</f>
        <v>181</v>
      </c>
      <c r="H814" s="5">
        <f>IFERROR(VLOOKUP(B814,'[3]new sheet'!$A$1:$IV$65536,2,0),0)</f>
        <v>99</v>
      </c>
    </row>
    <row r="815" spans="1:8" ht="24" customHeight="1">
      <c r="A815" s="7">
        <v>108</v>
      </c>
      <c r="B815" s="7">
        <v>578</v>
      </c>
      <c r="C815" s="8" t="s">
        <v>653</v>
      </c>
      <c r="D815" s="8" t="s">
        <v>1938</v>
      </c>
      <c r="E815" s="2">
        <f>IFERROR(VLOOKUP(B815,'[1]new sheet'!$A$1:$IV$65536,5,FALSE),0)</f>
        <v>0</v>
      </c>
      <c r="F815" s="3">
        <f>IFERROR(VLOOKUP(B815,'[1]new sheet'!$A$1:$IV$65536,4,FALSE),0)</f>
        <v>6</v>
      </c>
      <c r="G815" s="4">
        <f>IFERROR(VLOOKUP(B815,'[2]new sheet'!$A$1:$IV$65536,2,0),0)</f>
        <v>90</v>
      </c>
      <c r="H815" s="5">
        <f>IFERROR(VLOOKUP(B815,'[3]new sheet'!$A$1:$IV$65536,2,0),0)</f>
        <v>84</v>
      </c>
    </row>
    <row r="816" spans="1:8" ht="24" customHeight="1">
      <c r="A816" s="7">
        <v>201</v>
      </c>
      <c r="B816" s="7">
        <v>579</v>
      </c>
      <c r="C816" s="8" t="s">
        <v>654</v>
      </c>
      <c r="D816" s="8" t="s">
        <v>1934</v>
      </c>
      <c r="E816" s="2">
        <f>IFERROR(VLOOKUP(B816,'[1]new sheet'!$A$1:$IV$65536,5,FALSE),0)</f>
        <v>53</v>
      </c>
      <c r="F816" s="3">
        <f>IFERROR(VLOOKUP(B816,'[1]new sheet'!$A$1:$IV$65536,4,FALSE),0)</f>
        <v>2</v>
      </c>
      <c r="G816" s="4">
        <f>IFERROR(VLOOKUP(B816,'[2]new sheet'!$A$1:$IV$65536,2,0),0)</f>
        <v>179</v>
      </c>
      <c r="H816" s="5">
        <f>IFERROR(VLOOKUP(B816,'[3]new sheet'!$A$1:$IV$65536,2,0),0)</f>
        <v>74</v>
      </c>
    </row>
    <row r="817" spans="1:8" ht="24" customHeight="1">
      <c r="A817" s="7">
        <v>43096</v>
      </c>
      <c r="B817" s="7">
        <v>292</v>
      </c>
      <c r="C817" s="8" t="s">
        <v>655</v>
      </c>
      <c r="D817" s="8" t="s">
        <v>1934</v>
      </c>
      <c r="E817" s="2">
        <f>IFERROR(VLOOKUP(B817,'[1]new sheet'!$A$1:$IV$65536,5,FALSE),0)</f>
        <v>3</v>
      </c>
      <c r="F817" s="3">
        <f>IFERROR(VLOOKUP(B817,'[1]new sheet'!$A$1:$IV$65536,4,FALSE),0)</f>
        <v>1</v>
      </c>
      <c r="G817" s="4">
        <f>IFERROR(VLOOKUP(B817,'[2]new sheet'!$A$1:$IV$65536,2,0),0)</f>
        <v>4</v>
      </c>
      <c r="H817" s="5">
        <f>IFERROR(VLOOKUP(B817,'[3]new sheet'!$A$1:$IV$65536,2,0),0)</f>
        <v>0</v>
      </c>
    </row>
    <row r="818" spans="1:8" ht="24" customHeight="1">
      <c r="A818" s="7">
        <v>995616</v>
      </c>
      <c r="B818" s="7">
        <v>580</v>
      </c>
      <c r="C818" s="8" t="s">
        <v>656</v>
      </c>
      <c r="D818" s="8" t="s">
        <v>1934</v>
      </c>
      <c r="E818" s="2">
        <f>IFERROR(VLOOKUP(B818,'[1]new sheet'!$A$1:$IV$65536,5,FALSE),0)</f>
        <v>38</v>
      </c>
      <c r="F818" s="3">
        <f>IFERROR(VLOOKUP(B818,'[1]new sheet'!$A$1:$IV$65536,4,FALSE),0)</f>
        <v>1</v>
      </c>
      <c r="G818" s="4">
        <f>IFERROR(VLOOKUP(B818,'[2]new sheet'!$A$1:$IV$65536,2,0),0)</f>
        <v>18</v>
      </c>
      <c r="H818" s="5">
        <f>IFERROR(VLOOKUP(B818,'[3]new sheet'!$A$1:$IV$65536,2,0),0)</f>
        <v>7</v>
      </c>
    </row>
    <row r="819" spans="1:8" ht="24" customHeight="1">
      <c r="A819" s="7">
        <v>995617</v>
      </c>
      <c r="B819" s="7">
        <v>291</v>
      </c>
      <c r="C819" s="8" t="s">
        <v>657</v>
      </c>
      <c r="D819" s="8" t="s">
        <v>1934</v>
      </c>
      <c r="E819" s="2">
        <f>IFERROR(VLOOKUP(B819,'[1]new sheet'!$A$1:$IV$65536,5,FALSE),0)</f>
        <v>17</v>
      </c>
      <c r="F819" s="3">
        <f>IFERROR(VLOOKUP(B819,'[1]new sheet'!$A$1:$IV$65536,4,FALSE),0)</f>
        <v>0</v>
      </c>
      <c r="G819" s="4">
        <f>IFERROR(VLOOKUP(B819,'[2]new sheet'!$A$1:$IV$65536,2,0),0)</f>
        <v>36</v>
      </c>
      <c r="H819" s="5">
        <f>IFERROR(VLOOKUP(B819,'[3]new sheet'!$A$1:$IV$65536,2,0),0)</f>
        <v>13</v>
      </c>
    </row>
    <row r="820" spans="1:8" ht="24" customHeight="1">
      <c r="A820" s="7">
        <v>993711</v>
      </c>
      <c r="B820" s="7">
        <v>890</v>
      </c>
      <c r="C820" s="8" t="s">
        <v>658</v>
      </c>
      <c r="D820" s="8" t="s">
        <v>1934</v>
      </c>
      <c r="E820" s="2">
        <f>IFERROR(VLOOKUP(B820,'[1]new sheet'!$A$1:$IV$65536,5,FALSE),0)</f>
        <v>10</v>
      </c>
      <c r="F820" s="3">
        <f>IFERROR(VLOOKUP(B820,'[1]new sheet'!$A$1:$IV$65536,4,FALSE),0)</f>
        <v>1</v>
      </c>
      <c r="G820" s="4">
        <f>IFERROR(VLOOKUP(B820,'[2]new sheet'!$A$1:$IV$65536,2,0),0)</f>
        <v>51</v>
      </c>
      <c r="H820" s="5">
        <f>IFERROR(VLOOKUP(B820,'[3]new sheet'!$A$1:$IV$65536,2,0),0)</f>
        <v>15</v>
      </c>
    </row>
    <row r="821" spans="1:8" ht="24" customHeight="1">
      <c r="A821" s="7" t="s">
        <v>1670</v>
      </c>
      <c r="B821" s="7">
        <v>4049</v>
      </c>
      <c r="C821" s="8" t="s">
        <v>1671</v>
      </c>
      <c r="D821" s="8" t="s">
        <v>1934</v>
      </c>
      <c r="E821" s="2">
        <f>IFERROR(VLOOKUP(B821,'[1]new sheet'!$A$1:$IV$65536,5,FALSE),0)</f>
        <v>40</v>
      </c>
      <c r="F821" s="3">
        <f>IFERROR(VLOOKUP(B821,'[1]new sheet'!$A$1:$IV$65536,4,FALSE),0)</f>
        <v>0</v>
      </c>
      <c r="G821" s="4">
        <f>IFERROR(VLOOKUP(B821,'[2]new sheet'!$A$1:$IV$65536,2,0),0)</f>
        <v>0</v>
      </c>
      <c r="H821" s="5">
        <f>IFERROR(VLOOKUP(B821,'[3]new sheet'!$A$1:$IV$65536,2,0),0)</f>
        <v>0</v>
      </c>
    </row>
    <row r="822" spans="1:8" ht="24" customHeight="1">
      <c r="A822" s="7">
        <v>2330</v>
      </c>
      <c r="B822" s="7">
        <v>973</v>
      </c>
      <c r="C822" s="8" t="s">
        <v>659</v>
      </c>
      <c r="D822" s="8" t="s">
        <v>1937</v>
      </c>
      <c r="E822" s="2">
        <f>IFERROR(VLOOKUP(B822,'[1]new sheet'!$A$1:$IV$65536,5,FALSE),0)</f>
        <v>0</v>
      </c>
      <c r="F822" s="3">
        <f>IFERROR(VLOOKUP(B822,'[1]new sheet'!$A$1:$IV$65536,4,FALSE),0)</f>
        <v>0</v>
      </c>
      <c r="G822" s="4">
        <f>IFERROR(VLOOKUP(B822,'[2]new sheet'!$A$1:$IV$65536,2,0),0)</f>
        <v>224</v>
      </c>
      <c r="H822" s="5">
        <f>IFERROR(VLOOKUP(B822,'[3]new sheet'!$A$1:$IV$65536,2,0),0)</f>
        <v>0</v>
      </c>
    </row>
    <row r="823" spans="1:8" ht="24" customHeight="1">
      <c r="A823" s="7">
        <v>2010019</v>
      </c>
      <c r="B823" s="7">
        <v>178</v>
      </c>
      <c r="C823" s="8" t="s">
        <v>660</v>
      </c>
      <c r="D823" s="8" t="s">
        <v>1937</v>
      </c>
      <c r="E823" s="2">
        <f>IFERROR(VLOOKUP(B823,'[1]new sheet'!$A$1:$IV$65536,5,FALSE),0)</f>
        <v>745</v>
      </c>
      <c r="F823" s="3">
        <f>IFERROR(VLOOKUP(B823,'[1]new sheet'!$A$1:$IV$65536,4,FALSE),0)</f>
        <v>44</v>
      </c>
      <c r="G823" s="4">
        <f>IFERROR(VLOOKUP(B823,'[2]new sheet'!$A$1:$IV$65536,2,0),0)</f>
        <v>3124</v>
      </c>
      <c r="H823" s="5">
        <f>IFERROR(VLOOKUP(B823,'[3]new sheet'!$A$1:$IV$65536,2,0),0)</f>
        <v>1082</v>
      </c>
    </row>
    <row r="824" spans="1:8" ht="24" customHeight="1">
      <c r="A824" s="7"/>
      <c r="B824" s="7">
        <v>1097</v>
      </c>
      <c r="C824" s="8" t="s">
        <v>661</v>
      </c>
      <c r="D824" s="8" t="s">
        <v>1937</v>
      </c>
      <c r="E824" s="2">
        <f>IFERROR(VLOOKUP(B824,'[1]new sheet'!$A$1:$IV$65536,5,FALSE),0)</f>
        <v>0</v>
      </c>
      <c r="F824" s="3">
        <f>IFERROR(VLOOKUP(B824,'[1]new sheet'!$A$1:$IV$65536,4,FALSE),0)</f>
        <v>0</v>
      </c>
      <c r="G824" s="4">
        <f>IFERROR(VLOOKUP(B824,'[2]new sheet'!$A$1:$IV$65536,2,0),0)</f>
        <v>0</v>
      </c>
      <c r="H824" s="5">
        <f>IFERROR(VLOOKUP(B824,'[3]new sheet'!$A$1:$IV$65536,2,0),0)</f>
        <v>0</v>
      </c>
    </row>
    <row r="825" spans="1:8" ht="24" customHeight="1">
      <c r="A825" s="7">
        <v>141</v>
      </c>
      <c r="B825" s="7">
        <v>2919</v>
      </c>
      <c r="C825" s="8" t="s">
        <v>1712</v>
      </c>
      <c r="D825" s="8" t="s">
        <v>1934</v>
      </c>
      <c r="E825" s="2">
        <f>IFERROR(VLOOKUP(B825,'[1]new sheet'!$A$1:$IV$65536,5,FALSE),0)</f>
        <v>24</v>
      </c>
      <c r="F825" s="3">
        <f>IFERROR(VLOOKUP(B825,'[1]new sheet'!$A$1:$IV$65536,4,FALSE),0)</f>
        <v>0</v>
      </c>
      <c r="G825" s="4">
        <f>IFERROR(VLOOKUP(B825,'[2]new sheet'!$A$1:$IV$65536,2,0),0)</f>
        <v>16</v>
      </c>
      <c r="H825" s="5">
        <f>IFERROR(VLOOKUP(B825,'[3]new sheet'!$A$1:$IV$65536,2,0),0)</f>
        <v>12</v>
      </c>
    </row>
    <row r="826" spans="1:8" ht="24" customHeight="1">
      <c r="A826" s="7">
        <v>46</v>
      </c>
      <c r="B826" s="7">
        <v>2647</v>
      </c>
      <c r="C826" s="8" t="s">
        <v>1713</v>
      </c>
      <c r="D826" s="8" t="s">
        <v>1934</v>
      </c>
      <c r="E826" s="2">
        <f>IFERROR(VLOOKUP(B826,'[1]new sheet'!$A$1:$IV$65536,5,FALSE),0)</f>
        <v>50</v>
      </c>
      <c r="F826" s="3">
        <f>IFERROR(VLOOKUP(B826,'[1]new sheet'!$A$1:$IV$65536,4,FALSE),0)</f>
        <v>0</v>
      </c>
      <c r="G826" s="4">
        <f>IFERROR(VLOOKUP(B826,'[2]new sheet'!$A$1:$IV$65536,2,0),0)</f>
        <v>26</v>
      </c>
      <c r="H826" s="5">
        <f>IFERROR(VLOOKUP(B826,'[3]new sheet'!$A$1:$IV$65536,2,0),0)</f>
        <v>0</v>
      </c>
    </row>
    <row r="827" spans="1:8" ht="24" customHeight="1">
      <c r="A827" s="7">
        <v>2010024</v>
      </c>
      <c r="B827" s="7">
        <v>179</v>
      </c>
      <c r="C827" s="8" t="s">
        <v>662</v>
      </c>
      <c r="D827" s="8" t="s">
        <v>1934</v>
      </c>
      <c r="E827" s="2">
        <f>IFERROR(VLOOKUP(B827,'[1]new sheet'!$A$1:$IV$65536,5,FALSE),0)</f>
        <v>0</v>
      </c>
      <c r="F827" s="3">
        <f>IFERROR(VLOOKUP(B827,'[1]new sheet'!$A$1:$IV$65536,4,FALSE),0)</f>
        <v>0</v>
      </c>
      <c r="G827" s="4">
        <f>IFERROR(VLOOKUP(B827,'[2]new sheet'!$A$1:$IV$65536,2,0),0)</f>
        <v>0</v>
      </c>
      <c r="H827" s="5">
        <f>IFERROR(VLOOKUP(B827,'[3]new sheet'!$A$1:$IV$65536,2,0),0)</f>
        <v>0</v>
      </c>
    </row>
    <row r="828" spans="1:8" ht="24" customHeight="1">
      <c r="A828" s="7"/>
      <c r="B828" s="7">
        <v>180</v>
      </c>
      <c r="C828" s="8" t="s">
        <v>663</v>
      </c>
      <c r="D828" s="8" t="s">
        <v>1934</v>
      </c>
      <c r="E828" s="2">
        <f>IFERROR(VLOOKUP(B828,'[1]new sheet'!$A$1:$IV$65536,5,FALSE),0)</f>
        <v>0</v>
      </c>
      <c r="F828" s="3">
        <f>IFERROR(VLOOKUP(B828,'[1]new sheet'!$A$1:$IV$65536,4,FALSE),0)</f>
        <v>0</v>
      </c>
      <c r="G828" s="4">
        <f>IFERROR(VLOOKUP(B828,'[2]new sheet'!$A$1:$IV$65536,2,0),0)</f>
        <v>0</v>
      </c>
      <c r="H828" s="5">
        <f>IFERROR(VLOOKUP(B828,'[3]new sheet'!$A$1:$IV$65536,2,0),0)</f>
        <v>0</v>
      </c>
    </row>
    <row r="829" spans="1:8" ht="24" customHeight="1">
      <c r="A829" s="7"/>
      <c r="B829" s="7">
        <v>181</v>
      </c>
      <c r="C829" s="8" t="s">
        <v>664</v>
      </c>
      <c r="D829" s="8" t="s">
        <v>1934</v>
      </c>
      <c r="E829" s="2">
        <f>IFERROR(VLOOKUP(B829,'[1]new sheet'!$A$1:$IV$65536,5,FALSE),0)</f>
        <v>0</v>
      </c>
      <c r="F829" s="3">
        <f>IFERROR(VLOOKUP(B829,'[1]new sheet'!$A$1:$IV$65536,4,FALSE),0)</f>
        <v>0</v>
      </c>
      <c r="G829" s="4">
        <f>IFERROR(VLOOKUP(B829,'[2]new sheet'!$A$1:$IV$65536,2,0),0)</f>
        <v>0</v>
      </c>
      <c r="H829" s="5">
        <f>IFERROR(VLOOKUP(B829,'[3]new sheet'!$A$1:$IV$65536,2,0),0)</f>
        <v>0</v>
      </c>
    </row>
    <row r="830" spans="1:8" ht="24" customHeight="1">
      <c r="A830" s="7">
        <v>2292</v>
      </c>
      <c r="B830" s="7">
        <v>581</v>
      </c>
      <c r="C830" s="8" t="s">
        <v>665</v>
      </c>
      <c r="D830" s="8" t="s">
        <v>1934</v>
      </c>
      <c r="E830" s="2">
        <f>IFERROR(VLOOKUP(B830,'[1]new sheet'!$A$1:$IV$65536,5,FALSE),0)</f>
        <v>0</v>
      </c>
      <c r="F830" s="3">
        <f>IFERROR(VLOOKUP(B830,'[1]new sheet'!$A$1:$IV$65536,4,FALSE),0)</f>
        <v>0</v>
      </c>
      <c r="G830" s="4">
        <f>IFERROR(VLOOKUP(B830,'[2]new sheet'!$A$1:$IV$65536,2,0),0)</f>
        <v>1653</v>
      </c>
      <c r="H830" s="5">
        <f>IFERROR(VLOOKUP(B830,'[3]new sheet'!$A$1:$IV$65536,2,0),0)</f>
        <v>5</v>
      </c>
    </row>
    <row r="831" spans="1:8" ht="24" customHeight="1">
      <c r="A831" s="7"/>
      <c r="B831" s="7">
        <v>182</v>
      </c>
      <c r="C831" s="8" t="s">
        <v>666</v>
      </c>
      <c r="D831" s="8" t="s">
        <v>1934</v>
      </c>
      <c r="E831" s="2">
        <f>IFERROR(VLOOKUP(B831,'[1]new sheet'!$A$1:$IV$65536,5,FALSE),0)</f>
        <v>0</v>
      </c>
      <c r="F831" s="3">
        <f>IFERROR(VLOOKUP(B831,'[1]new sheet'!$A$1:$IV$65536,4,FALSE),0)</f>
        <v>0</v>
      </c>
      <c r="G831" s="4">
        <f>IFERROR(VLOOKUP(B831,'[2]new sheet'!$A$1:$IV$65536,2,0),0)</f>
        <v>0</v>
      </c>
      <c r="H831" s="5">
        <f>IFERROR(VLOOKUP(B831,'[3]new sheet'!$A$1:$IV$65536,2,0),0)</f>
        <v>0</v>
      </c>
    </row>
    <row r="832" spans="1:8" ht="24" customHeight="1">
      <c r="A832" s="7">
        <v>2010038</v>
      </c>
      <c r="B832" s="7">
        <v>1483</v>
      </c>
      <c r="C832" s="8" t="s">
        <v>667</v>
      </c>
      <c r="D832" s="8" t="s">
        <v>1934</v>
      </c>
      <c r="E832" s="2">
        <f>IFERROR(VLOOKUP(B832,'[1]new sheet'!$A$1:$IV$65536,5,FALSE),0)</f>
        <v>371</v>
      </c>
      <c r="F832" s="3">
        <f>IFERROR(VLOOKUP(B832,'[1]new sheet'!$A$1:$IV$65536,4,FALSE),0)</f>
        <v>3</v>
      </c>
      <c r="G832" s="4">
        <f>IFERROR(VLOOKUP(B832,'[2]new sheet'!$A$1:$IV$65536,2,0),0)</f>
        <v>610</v>
      </c>
      <c r="H832" s="5">
        <f>IFERROR(VLOOKUP(B832,'[3]new sheet'!$A$1:$IV$65536,2,0),0)</f>
        <v>177</v>
      </c>
    </row>
    <row r="833" spans="1:8" ht="24" customHeight="1">
      <c r="A833" s="7">
        <v>2010045</v>
      </c>
      <c r="B833" s="7">
        <v>1484</v>
      </c>
      <c r="C833" s="8" t="s">
        <v>668</v>
      </c>
      <c r="D833" s="8" t="s">
        <v>1934</v>
      </c>
      <c r="E833" s="2">
        <f>IFERROR(VLOOKUP(B833,'[1]new sheet'!$A$1:$IV$65536,5,FALSE),0)</f>
        <v>681</v>
      </c>
      <c r="F833" s="3">
        <f>IFERROR(VLOOKUP(B833,'[1]new sheet'!$A$1:$IV$65536,4,FALSE),0)</f>
        <v>45</v>
      </c>
      <c r="G833" s="4">
        <f>IFERROR(VLOOKUP(B833,'[2]new sheet'!$A$1:$IV$65536,2,0),0)</f>
        <v>1015</v>
      </c>
      <c r="H833" s="5">
        <f>IFERROR(VLOOKUP(B833,'[3]new sheet'!$A$1:$IV$65536,2,0),0)</f>
        <v>404</v>
      </c>
    </row>
    <row r="834" spans="1:8" ht="24" customHeight="1">
      <c r="A834" s="7"/>
      <c r="B834" s="7">
        <v>4330</v>
      </c>
      <c r="C834" s="8" t="s">
        <v>1940</v>
      </c>
      <c r="D834" s="8" t="s">
        <v>1934</v>
      </c>
      <c r="E834" s="2">
        <f>IFERROR(VLOOKUP(B834,'[1]new sheet'!$A$1:$IV$65536,5,FALSE),0)</f>
        <v>250</v>
      </c>
      <c r="F834" s="3">
        <f>IFERROR(VLOOKUP(B834,'[1]new sheet'!$A$1:$IV$65536,4,FALSE),0)</f>
        <v>0</v>
      </c>
      <c r="G834" s="4">
        <f>IFERROR(VLOOKUP(B834,'[2]new sheet'!$A$1:$IV$65536,2,0),0)</f>
        <v>0</v>
      </c>
      <c r="H834" s="5">
        <f>IFERROR(VLOOKUP(B834,'[3]new sheet'!$A$1:$IV$65536,2,0),0)</f>
        <v>0</v>
      </c>
    </row>
    <row r="835" spans="1:8" ht="24" customHeight="1">
      <c r="A835" s="7">
        <v>2160</v>
      </c>
      <c r="B835" s="7">
        <v>1153</v>
      </c>
      <c r="C835" s="8" t="s">
        <v>669</v>
      </c>
      <c r="D835" s="8" t="s">
        <v>1934</v>
      </c>
      <c r="E835" s="2">
        <f>IFERROR(VLOOKUP(B835,'[1]new sheet'!$A$1:$IV$65536,5,FALSE),0)</f>
        <v>1981</v>
      </c>
      <c r="F835" s="3">
        <f>IFERROR(VLOOKUP(B835,'[1]new sheet'!$A$1:$IV$65536,4,FALSE),0)</f>
        <v>14</v>
      </c>
      <c r="G835" s="4">
        <f>IFERROR(VLOOKUP(B835,'[2]new sheet'!$A$1:$IV$65536,2,0),0)</f>
        <v>367</v>
      </c>
      <c r="H835" s="5">
        <f>IFERROR(VLOOKUP(B835,'[3]new sheet'!$A$1:$IV$65536,2,0),0)</f>
        <v>290</v>
      </c>
    </row>
    <row r="836" spans="1:8" ht="24" customHeight="1">
      <c r="A836" s="7">
        <v>68513</v>
      </c>
      <c r="B836" s="7">
        <v>3179</v>
      </c>
      <c r="C836" s="8" t="s">
        <v>670</v>
      </c>
      <c r="D836" s="8" t="s">
        <v>1934</v>
      </c>
      <c r="E836" s="2">
        <f>IFERROR(VLOOKUP(B836,'[1]new sheet'!$A$1:$IV$65536,5,FALSE),0)</f>
        <v>0</v>
      </c>
      <c r="F836" s="3">
        <f>IFERROR(VLOOKUP(B836,'[1]new sheet'!$A$1:$IV$65536,4,FALSE),0)</f>
        <v>0</v>
      </c>
      <c r="G836" s="4">
        <f>IFERROR(VLOOKUP(B836,'[2]new sheet'!$A$1:$IV$65536,2,0),0)</f>
        <v>0</v>
      </c>
      <c r="H836" s="5">
        <f>IFERROR(VLOOKUP(B836,'[3]new sheet'!$A$1:$IV$65536,2,0),0)</f>
        <v>0</v>
      </c>
    </row>
    <row r="837" spans="1:8" ht="24" customHeight="1">
      <c r="A837" s="7"/>
      <c r="B837" s="7">
        <v>582</v>
      </c>
      <c r="C837" s="8" t="s">
        <v>671</v>
      </c>
      <c r="D837" s="8" t="s">
        <v>1934</v>
      </c>
      <c r="E837" s="2">
        <f>IFERROR(VLOOKUP(B837,'[1]new sheet'!$A$1:$IV$65536,5,FALSE),0)</f>
        <v>0</v>
      </c>
      <c r="F837" s="3">
        <f>IFERROR(VLOOKUP(B837,'[1]new sheet'!$A$1:$IV$65536,4,FALSE),0)</f>
        <v>0</v>
      </c>
      <c r="G837" s="4">
        <f>IFERROR(VLOOKUP(B837,'[2]new sheet'!$A$1:$IV$65536,2,0),0)</f>
        <v>0</v>
      </c>
      <c r="H837" s="5">
        <f>IFERROR(VLOOKUP(B837,'[3]new sheet'!$A$1:$IV$65536,2,0),0)</f>
        <v>0</v>
      </c>
    </row>
    <row r="838" spans="1:8" ht="24" customHeight="1">
      <c r="A838" s="7"/>
      <c r="B838" s="7">
        <v>1096</v>
      </c>
      <c r="C838" s="8" t="s">
        <v>672</v>
      </c>
      <c r="D838" s="8" t="s">
        <v>1934</v>
      </c>
      <c r="E838" s="2">
        <f>IFERROR(VLOOKUP(B838,'[1]new sheet'!$A$1:$IV$65536,5,FALSE),0)</f>
        <v>0</v>
      </c>
      <c r="F838" s="3">
        <f>IFERROR(VLOOKUP(B838,'[1]new sheet'!$A$1:$IV$65536,4,FALSE),0)</f>
        <v>0</v>
      </c>
      <c r="G838" s="4">
        <f>IFERROR(VLOOKUP(B838,'[2]new sheet'!$A$1:$IV$65536,2,0),0)</f>
        <v>0</v>
      </c>
      <c r="H838" s="5">
        <f>IFERROR(VLOOKUP(B838,'[3]new sheet'!$A$1:$IV$65536,2,0),0)</f>
        <v>0</v>
      </c>
    </row>
    <row r="839" spans="1:8" ht="24" customHeight="1">
      <c r="A839" s="7">
        <v>716</v>
      </c>
      <c r="B839" s="7">
        <v>3958</v>
      </c>
      <c r="C839" s="8" t="s">
        <v>1639</v>
      </c>
      <c r="D839" s="8" t="s">
        <v>1937</v>
      </c>
      <c r="E839" s="2">
        <f>IFERROR(VLOOKUP(B839,'[1]new sheet'!$A$1:$IV$65536,5,FALSE),0)</f>
        <v>113</v>
      </c>
      <c r="F839" s="3">
        <f>IFERROR(VLOOKUP(B839,'[1]new sheet'!$A$1:$IV$65536,4,FALSE),0)</f>
        <v>0</v>
      </c>
      <c r="G839" s="4">
        <f>IFERROR(VLOOKUP(B839,'[2]new sheet'!$A$1:$IV$65536,2,0),0)</f>
        <v>4</v>
      </c>
      <c r="H839" s="5">
        <f>IFERROR(VLOOKUP(B839,'[3]new sheet'!$A$1:$IV$65536,2,0),0)</f>
        <v>0</v>
      </c>
    </row>
    <row r="840" spans="1:8" ht="24" customHeight="1">
      <c r="A840" s="7">
        <v>7123</v>
      </c>
      <c r="B840" s="7">
        <v>1160</v>
      </c>
      <c r="C840" s="8" t="s">
        <v>673</v>
      </c>
      <c r="D840" s="8" t="s">
        <v>1934</v>
      </c>
      <c r="E840" s="2">
        <f>IFERROR(VLOOKUP(B840,'[1]new sheet'!$A$1:$IV$65536,5,FALSE),0)</f>
        <v>0</v>
      </c>
      <c r="F840" s="3">
        <f>IFERROR(VLOOKUP(B840,'[1]new sheet'!$A$1:$IV$65536,4,FALSE),0)</f>
        <v>0</v>
      </c>
      <c r="G840" s="4">
        <f>IFERROR(VLOOKUP(B840,'[2]new sheet'!$A$1:$IV$65536,2,0),0)</f>
        <v>6</v>
      </c>
      <c r="H840" s="5">
        <f>IFERROR(VLOOKUP(B840,'[3]new sheet'!$A$1:$IV$65536,2,0),0)</f>
        <v>4</v>
      </c>
    </row>
    <row r="841" spans="1:8" ht="24" customHeight="1">
      <c r="A841" s="7">
        <v>990633</v>
      </c>
      <c r="B841" s="7">
        <v>4146</v>
      </c>
      <c r="C841" s="8" t="s">
        <v>1751</v>
      </c>
      <c r="D841" s="8" t="s">
        <v>1934</v>
      </c>
      <c r="E841" s="2">
        <f>IFERROR(VLOOKUP(B841,'[1]new sheet'!$A$1:$IV$65536,5,FALSE),0)</f>
        <v>1</v>
      </c>
      <c r="F841" s="3">
        <f>IFERROR(VLOOKUP(B841,'[1]new sheet'!$A$1:$IV$65536,4,FALSE),0)</f>
        <v>0</v>
      </c>
      <c r="G841" s="4">
        <f>IFERROR(VLOOKUP(B841,'[2]new sheet'!$A$1:$IV$65536,2,0),0)</f>
        <v>1</v>
      </c>
      <c r="H841" s="5">
        <f>IFERROR(VLOOKUP(B841,'[3]new sheet'!$A$1:$IV$65536,2,0),0)</f>
        <v>0</v>
      </c>
    </row>
    <row r="842" spans="1:8" ht="24" customHeight="1">
      <c r="A842" s="7">
        <v>27280</v>
      </c>
      <c r="B842" s="7">
        <v>945</v>
      </c>
      <c r="C842" s="8" t="s">
        <v>674</v>
      </c>
      <c r="D842" s="8" t="s">
        <v>1934</v>
      </c>
      <c r="E842" s="2">
        <f>IFERROR(VLOOKUP(B842,'[1]new sheet'!$A$1:$IV$65536,5,FALSE),0)</f>
        <v>1</v>
      </c>
      <c r="F842" s="3">
        <f>IFERROR(VLOOKUP(B842,'[1]new sheet'!$A$1:$IV$65536,4,FALSE),0)</f>
        <v>1</v>
      </c>
      <c r="G842" s="4">
        <f>IFERROR(VLOOKUP(B842,'[2]new sheet'!$A$1:$IV$65536,2,0),0)</f>
        <v>2</v>
      </c>
      <c r="H842" s="5">
        <f>IFERROR(VLOOKUP(B842,'[3]new sheet'!$A$1:$IV$65536,2,0),0)</f>
        <v>0</v>
      </c>
    </row>
    <row r="843" spans="1:8" ht="24" customHeight="1">
      <c r="A843" s="7">
        <v>575372</v>
      </c>
      <c r="B843" s="7">
        <v>290</v>
      </c>
      <c r="C843" s="8" t="s">
        <v>675</v>
      </c>
      <c r="D843" s="8" t="s">
        <v>1934</v>
      </c>
      <c r="E843" s="2">
        <f>IFERROR(VLOOKUP(B843,'[1]new sheet'!$A$1:$IV$65536,5,FALSE),0)</f>
        <v>2</v>
      </c>
      <c r="F843" s="3">
        <f>IFERROR(VLOOKUP(B843,'[1]new sheet'!$A$1:$IV$65536,4,FALSE),0)</f>
        <v>0</v>
      </c>
      <c r="G843" s="4">
        <f>IFERROR(VLOOKUP(B843,'[2]new sheet'!$A$1:$IV$65536,2,0),0)</f>
        <v>2</v>
      </c>
      <c r="H843" s="5">
        <f>IFERROR(VLOOKUP(B843,'[3]new sheet'!$A$1:$IV$65536,2,0),0)</f>
        <v>1</v>
      </c>
    </row>
    <row r="844" spans="1:8" ht="24" customHeight="1">
      <c r="A844" s="7">
        <v>12</v>
      </c>
      <c r="B844" s="7">
        <v>4003</v>
      </c>
      <c r="C844" s="8" t="s">
        <v>1576</v>
      </c>
      <c r="D844" s="8" t="s">
        <v>1934</v>
      </c>
      <c r="E844" s="2">
        <f>IFERROR(VLOOKUP(B844,'[1]new sheet'!$A$1:$IV$65536,5,FALSE),0)</f>
        <v>14</v>
      </c>
      <c r="F844" s="3">
        <f>IFERROR(VLOOKUP(B844,'[1]new sheet'!$A$1:$IV$65536,4,FALSE),0)</f>
        <v>3</v>
      </c>
      <c r="G844" s="4">
        <f>IFERROR(VLOOKUP(B844,'[2]new sheet'!$A$1:$IV$65536,2,0),0)</f>
        <v>181</v>
      </c>
      <c r="H844" s="5">
        <f>IFERROR(VLOOKUP(B844,'[3]new sheet'!$A$1:$IV$65536,2,0),0)</f>
        <v>37</v>
      </c>
    </row>
    <row r="845" spans="1:8" ht="24" customHeight="1">
      <c r="A845" s="7" t="s">
        <v>676</v>
      </c>
      <c r="B845" s="7">
        <v>583</v>
      </c>
      <c r="C845" s="8" t="s">
        <v>677</v>
      </c>
      <c r="D845" s="8" t="s">
        <v>1935</v>
      </c>
      <c r="E845" s="2">
        <f>IFERROR(VLOOKUP(B845,'[1]new sheet'!$A$1:$IV$65536,5,FALSE),0)</f>
        <v>0</v>
      </c>
      <c r="F845" s="3">
        <f>IFERROR(VLOOKUP(B845,'[1]new sheet'!$A$1:$IV$65536,4,FALSE),0)</f>
        <v>0</v>
      </c>
      <c r="G845" s="4">
        <f>IFERROR(VLOOKUP(B845,'[2]new sheet'!$A$1:$IV$65536,2,0),0)</f>
        <v>0</v>
      </c>
      <c r="H845" s="5">
        <f>IFERROR(VLOOKUP(B845,'[3]new sheet'!$A$1:$IV$65536,2,0),0)</f>
        <v>0</v>
      </c>
    </row>
    <row r="846" spans="1:8" ht="24" customHeight="1">
      <c r="A846" s="7"/>
      <c r="B846" s="7">
        <v>110</v>
      </c>
      <c r="C846" s="8" t="s">
        <v>678</v>
      </c>
      <c r="D846" s="8" t="s">
        <v>1935</v>
      </c>
      <c r="E846" s="2">
        <f>IFERROR(VLOOKUP(B846,'[1]new sheet'!$A$1:$IV$65536,5,FALSE),0)</f>
        <v>0</v>
      </c>
      <c r="F846" s="3">
        <f>IFERROR(VLOOKUP(B846,'[1]new sheet'!$A$1:$IV$65536,4,FALSE),0)</f>
        <v>0</v>
      </c>
      <c r="G846" s="4">
        <f>IFERROR(VLOOKUP(B846,'[2]new sheet'!$A$1:$IV$65536,2,0),0)</f>
        <v>0</v>
      </c>
      <c r="H846" s="5">
        <f>IFERROR(VLOOKUP(B846,'[3]new sheet'!$A$1:$IV$65536,2,0),0)</f>
        <v>0</v>
      </c>
    </row>
    <row r="847" spans="1:8" ht="24" customHeight="1">
      <c r="A847" s="7"/>
      <c r="B847" s="7">
        <v>1165</v>
      </c>
      <c r="C847" s="8" t="s">
        <v>679</v>
      </c>
      <c r="D847" s="8" t="s">
        <v>1934</v>
      </c>
      <c r="E847" s="2">
        <f>IFERROR(VLOOKUP(B847,'[1]new sheet'!$A$1:$IV$65536,5,FALSE),0)</f>
        <v>0</v>
      </c>
      <c r="F847" s="3">
        <f>IFERROR(VLOOKUP(B847,'[1]new sheet'!$A$1:$IV$65536,4,FALSE),0)</f>
        <v>0</v>
      </c>
      <c r="G847" s="4">
        <f>IFERROR(VLOOKUP(B847,'[2]new sheet'!$A$1:$IV$65536,2,0),0)</f>
        <v>0</v>
      </c>
      <c r="H847" s="5">
        <f>IFERROR(VLOOKUP(B847,'[3]new sheet'!$A$1:$IV$65536,2,0),0)</f>
        <v>0</v>
      </c>
    </row>
    <row r="848" spans="1:8" ht="24" customHeight="1">
      <c r="A848" s="7">
        <v>50720</v>
      </c>
      <c r="B848" s="7">
        <v>2055</v>
      </c>
      <c r="C848" s="8" t="s">
        <v>680</v>
      </c>
      <c r="D848" s="8" t="s">
        <v>1934</v>
      </c>
      <c r="E848" s="2">
        <f>IFERROR(VLOOKUP(B848,'[1]new sheet'!$A$1:$IV$65536,5,FALSE),0)</f>
        <v>33</v>
      </c>
      <c r="F848" s="3">
        <f>IFERROR(VLOOKUP(B848,'[1]new sheet'!$A$1:$IV$65536,4,FALSE),0)</f>
        <v>0</v>
      </c>
      <c r="G848" s="4">
        <f>IFERROR(VLOOKUP(B848,'[2]new sheet'!$A$1:$IV$65536,2,0),0)</f>
        <v>0</v>
      </c>
      <c r="H848" s="5">
        <f>IFERROR(VLOOKUP(B848,'[3]new sheet'!$A$1:$IV$65536,2,0),0)</f>
        <v>0</v>
      </c>
    </row>
    <row r="849" spans="1:8" ht="24" customHeight="1">
      <c r="A849" s="7">
        <v>992237</v>
      </c>
      <c r="B849" s="7">
        <v>1924</v>
      </c>
      <c r="C849" s="8" t="s">
        <v>681</v>
      </c>
      <c r="D849" s="8" t="s">
        <v>1937</v>
      </c>
      <c r="E849" s="2">
        <f>IFERROR(VLOOKUP(B849,'[1]new sheet'!$A$1:$IV$65536,5,FALSE),0)</f>
        <v>0</v>
      </c>
      <c r="F849" s="3">
        <f>IFERROR(VLOOKUP(B849,'[1]new sheet'!$A$1:$IV$65536,4,FALSE),0)</f>
        <v>0</v>
      </c>
      <c r="G849" s="4">
        <f>IFERROR(VLOOKUP(B849,'[2]new sheet'!$A$1:$IV$65536,2,0),0)</f>
        <v>0</v>
      </c>
      <c r="H849" s="5">
        <f>IFERROR(VLOOKUP(B849,'[3]new sheet'!$A$1:$IV$65536,2,0),0)</f>
        <v>0</v>
      </c>
    </row>
    <row r="850" spans="1:8" ht="24" customHeight="1">
      <c r="A850" s="7">
        <v>992505</v>
      </c>
      <c r="B850" s="7">
        <v>1923</v>
      </c>
      <c r="C850" s="8" t="s">
        <v>682</v>
      </c>
      <c r="D850" s="8" t="s">
        <v>1937</v>
      </c>
      <c r="E850" s="2">
        <f>IFERROR(VLOOKUP(B850,'[1]new sheet'!$A$1:$IV$65536,5,FALSE),0)</f>
        <v>0</v>
      </c>
      <c r="F850" s="3">
        <f>IFERROR(VLOOKUP(B850,'[1]new sheet'!$A$1:$IV$65536,4,FALSE),0)</f>
        <v>0</v>
      </c>
      <c r="G850" s="4">
        <f>IFERROR(VLOOKUP(B850,'[2]new sheet'!$A$1:$IV$65536,2,0),0)</f>
        <v>0</v>
      </c>
      <c r="H850" s="5">
        <f>IFERROR(VLOOKUP(B850,'[3]new sheet'!$A$1:$IV$65536,2,0),0)</f>
        <v>0</v>
      </c>
    </row>
    <row r="851" spans="1:8" ht="24" customHeight="1">
      <c r="A851" s="7">
        <v>992513</v>
      </c>
      <c r="B851" s="7">
        <v>1922</v>
      </c>
      <c r="C851" s="8" t="s">
        <v>683</v>
      </c>
      <c r="D851" s="8" t="s">
        <v>1937</v>
      </c>
      <c r="E851" s="2">
        <f>IFERROR(VLOOKUP(B851,'[1]new sheet'!$A$1:$IV$65536,5,FALSE),0)</f>
        <v>0</v>
      </c>
      <c r="F851" s="3">
        <f>IFERROR(VLOOKUP(B851,'[1]new sheet'!$A$1:$IV$65536,4,FALSE),0)</f>
        <v>0</v>
      </c>
      <c r="G851" s="4">
        <f>IFERROR(VLOOKUP(B851,'[2]new sheet'!$A$1:$IV$65536,2,0),0)</f>
        <v>0</v>
      </c>
      <c r="H851" s="5">
        <f>IFERROR(VLOOKUP(B851,'[3]new sheet'!$A$1:$IV$65536,2,0),0)</f>
        <v>0</v>
      </c>
    </row>
    <row r="852" spans="1:8" ht="24" customHeight="1">
      <c r="A852" s="7">
        <v>391</v>
      </c>
      <c r="B852" s="7">
        <v>817</v>
      </c>
      <c r="C852" s="8" t="s">
        <v>684</v>
      </c>
      <c r="D852" s="8" t="s">
        <v>1935</v>
      </c>
      <c r="E852" s="2">
        <f>IFERROR(VLOOKUP(B852,'[1]new sheet'!$A$1:$IV$65536,5,FALSE),0)</f>
        <v>0</v>
      </c>
      <c r="F852" s="3">
        <f>IFERROR(VLOOKUP(B852,'[1]new sheet'!$A$1:$IV$65536,4,FALSE),0)</f>
        <v>0</v>
      </c>
      <c r="G852" s="4">
        <f>IFERROR(VLOOKUP(B852,'[2]new sheet'!$A$1:$IV$65536,2,0),0)</f>
        <v>0</v>
      </c>
      <c r="H852" s="5">
        <f>IFERROR(VLOOKUP(B852,'[3]new sheet'!$A$1:$IV$65536,2,0),0)</f>
        <v>0</v>
      </c>
    </row>
    <row r="853" spans="1:8" ht="24" customHeight="1">
      <c r="A853" s="7">
        <v>9000011773</v>
      </c>
      <c r="B853" s="7">
        <v>3172</v>
      </c>
      <c r="C853" s="8" t="s">
        <v>685</v>
      </c>
      <c r="D853" s="8" t="s">
        <v>1935</v>
      </c>
      <c r="E853" s="2">
        <f>IFERROR(VLOOKUP(B853,'[1]new sheet'!$A$1:$IV$65536,5,FALSE),0)</f>
        <v>2275.91</v>
      </c>
      <c r="F853" s="3">
        <f>IFERROR(VLOOKUP(B853,'[1]new sheet'!$A$1:$IV$65536,4,FALSE),0)</f>
        <v>0</v>
      </c>
      <c r="G853" s="4">
        <f>IFERROR(VLOOKUP(B853,'[2]new sheet'!$A$1:$IV$65536,2,0),0)</f>
        <v>0</v>
      </c>
      <c r="H853" s="5">
        <f>IFERROR(VLOOKUP(B853,'[3]new sheet'!$A$1:$IV$65536,2,0),0)</f>
        <v>24.08</v>
      </c>
    </row>
    <row r="854" spans="1:8" ht="24" customHeight="1">
      <c r="A854" s="7">
        <v>702</v>
      </c>
      <c r="B854" s="7">
        <v>2005</v>
      </c>
      <c r="C854" s="8" t="s">
        <v>686</v>
      </c>
      <c r="D854" s="8" t="s">
        <v>1935</v>
      </c>
      <c r="E854" s="2">
        <f>IFERROR(VLOOKUP(B854,'[1]new sheet'!$A$1:$IV$65536,5,FALSE),0)</f>
        <v>0</v>
      </c>
      <c r="F854" s="3">
        <f>IFERROR(VLOOKUP(B854,'[1]new sheet'!$A$1:$IV$65536,4,FALSE),0)</f>
        <v>0</v>
      </c>
      <c r="G854" s="4">
        <f>IFERROR(VLOOKUP(B854,'[2]new sheet'!$A$1:$IV$65536,2,0),0)</f>
        <v>952.87</v>
      </c>
      <c r="H854" s="5">
        <f>IFERROR(VLOOKUP(B854,'[3]new sheet'!$A$1:$IV$65536,2,0),0)</f>
        <v>0</v>
      </c>
    </row>
    <row r="855" spans="1:8" ht="24" customHeight="1">
      <c r="A855" s="7"/>
      <c r="B855" s="7">
        <v>105</v>
      </c>
      <c r="C855" s="8" t="s">
        <v>687</v>
      </c>
      <c r="D855" s="8" t="s">
        <v>1935</v>
      </c>
      <c r="E855" s="2">
        <f>IFERROR(VLOOKUP(B855,'[1]new sheet'!$A$1:$IV$65536,5,FALSE),0)</f>
        <v>0</v>
      </c>
      <c r="F855" s="3">
        <f>IFERROR(VLOOKUP(B855,'[1]new sheet'!$A$1:$IV$65536,4,FALSE),0)</f>
        <v>0</v>
      </c>
      <c r="G855" s="4">
        <f>IFERROR(VLOOKUP(B855,'[2]new sheet'!$A$1:$IV$65536,2,0),0)</f>
        <v>0</v>
      </c>
      <c r="H855" s="5">
        <f>IFERROR(VLOOKUP(B855,'[3]new sheet'!$A$1:$IV$65536,2,0),0)</f>
        <v>0</v>
      </c>
    </row>
    <row r="856" spans="1:8" ht="24" customHeight="1">
      <c r="A856" s="7">
        <v>114241</v>
      </c>
      <c r="B856" s="7">
        <v>2718</v>
      </c>
      <c r="C856" s="8" t="s">
        <v>688</v>
      </c>
      <c r="D856" s="8" t="s">
        <v>1935</v>
      </c>
      <c r="E856" s="2">
        <f>IFERROR(VLOOKUP(B856,'[1]new sheet'!$A$1:$IV$65536,5,FALSE),0)</f>
        <v>0</v>
      </c>
      <c r="F856" s="3">
        <f>IFERROR(VLOOKUP(B856,'[1]new sheet'!$A$1:$IV$65536,4,FALSE),0)</f>
        <v>0</v>
      </c>
      <c r="G856" s="4">
        <f>IFERROR(VLOOKUP(B856,'[2]new sheet'!$A$1:$IV$65536,2,0),0)</f>
        <v>0</v>
      </c>
      <c r="H856" s="5">
        <f>IFERROR(VLOOKUP(B856,'[3]new sheet'!$A$1:$IV$65536,2,0),0)</f>
        <v>0</v>
      </c>
    </row>
    <row r="857" spans="1:8" ht="24" customHeight="1">
      <c r="A857" s="7"/>
      <c r="B857" s="7">
        <v>106</v>
      </c>
      <c r="C857" s="8" t="s">
        <v>689</v>
      </c>
      <c r="D857" s="8" t="s">
        <v>1935</v>
      </c>
      <c r="E857" s="2">
        <f>IFERROR(VLOOKUP(B857,'[1]new sheet'!$A$1:$IV$65536,5,FALSE),0)</f>
        <v>0</v>
      </c>
      <c r="F857" s="3">
        <f>IFERROR(VLOOKUP(B857,'[1]new sheet'!$A$1:$IV$65536,4,FALSE),0)</f>
        <v>0</v>
      </c>
      <c r="G857" s="4">
        <f>IFERROR(VLOOKUP(B857,'[2]new sheet'!$A$1:$IV$65536,2,0),0)</f>
        <v>0</v>
      </c>
      <c r="H857" s="5">
        <f>IFERROR(VLOOKUP(B857,'[3]new sheet'!$A$1:$IV$65536,2,0),0)</f>
        <v>0</v>
      </c>
    </row>
    <row r="858" spans="1:8" ht="24" customHeight="1">
      <c r="A858" s="7">
        <v>280002</v>
      </c>
      <c r="B858" s="7">
        <v>2370</v>
      </c>
      <c r="C858" s="8" t="s">
        <v>690</v>
      </c>
      <c r="D858" s="8" t="s">
        <v>1935</v>
      </c>
      <c r="E858" s="2">
        <f>IFERROR(VLOOKUP(B858,'[1]new sheet'!$A$1:$IV$65536,5,FALSE),0)</f>
        <v>0</v>
      </c>
      <c r="F858" s="3">
        <f>IFERROR(VLOOKUP(B858,'[1]new sheet'!$A$1:$IV$65536,4,FALSE),0)</f>
        <v>0</v>
      </c>
      <c r="G858" s="4">
        <f>IFERROR(VLOOKUP(B858,'[2]new sheet'!$A$1:$IV$65536,2,0),0)</f>
        <v>0</v>
      </c>
      <c r="H858" s="5">
        <f>IFERROR(VLOOKUP(B858,'[3]new sheet'!$A$1:$IV$65536,2,0),0)</f>
        <v>0</v>
      </c>
    </row>
    <row r="859" spans="1:8" ht="24" customHeight="1">
      <c r="A859" s="7">
        <v>952055</v>
      </c>
      <c r="B859" s="7">
        <v>584</v>
      </c>
      <c r="C859" s="8" t="s">
        <v>691</v>
      </c>
      <c r="D859" s="8" t="s">
        <v>1936</v>
      </c>
      <c r="E859" s="2">
        <f>IFERROR(VLOOKUP(B859,'[1]new sheet'!$A$1:$IV$65536,5,FALSE),0)</f>
        <v>0</v>
      </c>
      <c r="F859" s="3">
        <f>IFERROR(VLOOKUP(B859,'[1]new sheet'!$A$1:$IV$65536,4,FALSE),0)</f>
        <v>0</v>
      </c>
      <c r="G859" s="4">
        <f>IFERROR(VLOOKUP(B859,'[2]new sheet'!$A$1:$IV$65536,2,0),0)</f>
        <v>49</v>
      </c>
      <c r="H859" s="5">
        <f>IFERROR(VLOOKUP(B859,'[3]new sheet'!$A$1:$IV$65536,2,0),0)</f>
        <v>0</v>
      </c>
    </row>
    <row r="860" spans="1:8" ht="24" customHeight="1">
      <c r="A860" s="7">
        <v>951701</v>
      </c>
      <c r="B860" s="7">
        <v>585</v>
      </c>
      <c r="C860" s="8" t="s">
        <v>692</v>
      </c>
      <c r="D860" s="8" t="s">
        <v>1936</v>
      </c>
      <c r="E860" s="2">
        <f>IFERROR(VLOOKUP(B860,'[1]new sheet'!$A$1:$IV$65536,5,FALSE),0)</f>
        <v>0</v>
      </c>
      <c r="F860" s="3">
        <f>IFERROR(VLOOKUP(B860,'[1]new sheet'!$A$1:$IV$65536,4,FALSE),0)</f>
        <v>0</v>
      </c>
      <c r="G860" s="4">
        <f>IFERROR(VLOOKUP(B860,'[2]new sheet'!$A$1:$IV$65536,2,0),0)</f>
        <v>208</v>
      </c>
      <c r="H860" s="5">
        <f>IFERROR(VLOOKUP(B860,'[3]new sheet'!$A$1:$IV$65536,2,0),0)</f>
        <v>0</v>
      </c>
    </row>
    <row r="861" spans="1:8" ht="24" customHeight="1">
      <c r="A861" s="7">
        <v>571</v>
      </c>
      <c r="B861" s="7">
        <v>1138</v>
      </c>
      <c r="C861" s="8" t="s">
        <v>693</v>
      </c>
      <c r="D861" s="8" t="s">
        <v>1936</v>
      </c>
      <c r="E861" s="2">
        <f>IFERROR(VLOOKUP(B861,'[1]new sheet'!$A$1:$IV$65536,5,FALSE),0)</f>
        <v>0</v>
      </c>
      <c r="F861" s="3">
        <f>IFERROR(VLOOKUP(B861,'[1]new sheet'!$A$1:$IV$65536,4,FALSE),0)</f>
        <v>0</v>
      </c>
      <c r="G861" s="4">
        <f>IFERROR(VLOOKUP(B861,'[2]new sheet'!$A$1:$IV$65536,2,0),0)</f>
        <v>119</v>
      </c>
      <c r="H861" s="5">
        <f>IFERROR(VLOOKUP(B861,'[3]new sheet'!$A$1:$IV$65536,2,0),0)</f>
        <v>0</v>
      </c>
    </row>
    <row r="862" spans="1:8" ht="24" customHeight="1">
      <c r="A862" s="7"/>
      <c r="B862" s="7">
        <v>2059</v>
      </c>
      <c r="C862" s="8" t="s">
        <v>694</v>
      </c>
      <c r="D862" s="8" t="s">
        <v>1936</v>
      </c>
      <c r="E862" s="2">
        <f>IFERROR(VLOOKUP(B862,'[1]new sheet'!$A$1:$IV$65536,5,FALSE),0)</f>
        <v>0</v>
      </c>
      <c r="F862" s="3">
        <f>IFERROR(VLOOKUP(B862,'[1]new sheet'!$A$1:$IV$65536,4,FALSE),0)</f>
        <v>0</v>
      </c>
      <c r="G862" s="4">
        <f>IFERROR(VLOOKUP(B862,'[2]new sheet'!$A$1:$IV$65536,2,0),0)</f>
        <v>0</v>
      </c>
      <c r="H862" s="5">
        <f>IFERROR(VLOOKUP(B862,'[3]new sheet'!$A$1:$IV$65536,2,0),0)</f>
        <v>0</v>
      </c>
    </row>
    <row r="863" spans="1:8" ht="24" customHeight="1">
      <c r="A863" s="7">
        <v>990608</v>
      </c>
      <c r="B863" s="7">
        <v>3096</v>
      </c>
      <c r="C863" s="8" t="s">
        <v>695</v>
      </c>
      <c r="D863" s="8" t="s">
        <v>1934</v>
      </c>
      <c r="E863" s="2">
        <f>IFERROR(VLOOKUP(B863,'[1]new sheet'!$A$1:$IV$65536,5,FALSE),0)</f>
        <v>2</v>
      </c>
      <c r="F863" s="3">
        <f>IFERROR(VLOOKUP(B863,'[1]new sheet'!$A$1:$IV$65536,4,FALSE),0)</f>
        <v>0</v>
      </c>
      <c r="G863" s="4">
        <f>IFERROR(VLOOKUP(B863,'[2]new sheet'!$A$1:$IV$65536,2,0),0)</f>
        <v>2</v>
      </c>
      <c r="H863" s="5">
        <f>IFERROR(VLOOKUP(B863,'[3]new sheet'!$A$1:$IV$65536,2,0),0)</f>
        <v>1</v>
      </c>
    </row>
    <row r="864" spans="1:8" ht="24" customHeight="1">
      <c r="A864" s="7">
        <v>997963</v>
      </c>
      <c r="B864" s="7">
        <v>586</v>
      </c>
      <c r="C864" s="8" t="s">
        <v>696</v>
      </c>
      <c r="D864" s="8" t="s">
        <v>1934</v>
      </c>
      <c r="E864" s="2">
        <f>IFERROR(VLOOKUP(B864,'[1]new sheet'!$A$1:$IV$65536,5,FALSE),0)</f>
        <v>0</v>
      </c>
      <c r="F864" s="3">
        <f>IFERROR(VLOOKUP(B864,'[1]new sheet'!$A$1:$IV$65536,4,FALSE),0)</f>
        <v>0</v>
      </c>
      <c r="G864" s="4">
        <f>IFERROR(VLOOKUP(B864,'[2]new sheet'!$A$1:$IV$65536,2,0),0)</f>
        <v>0</v>
      </c>
      <c r="H864" s="5">
        <f>IFERROR(VLOOKUP(B864,'[3]new sheet'!$A$1:$IV$65536,2,0),0)</f>
        <v>0</v>
      </c>
    </row>
    <row r="865" spans="1:8" ht="24" customHeight="1">
      <c r="A865" s="7">
        <v>82724</v>
      </c>
      <c r="B865" s="7">
        <v>587</v>
      </c>
      <c r="C865" s="8" t="s">
        <v>697</v>
      </c>
      <c r="D865" s="8" t="s">
        <v>1934</v>
      </c>
      <c r="E865" s="2">
        <f>IFERROR(VLOOKUP(B865,'[1]new sheet'!$A$1:$IV$65536,5,FALSE),0)</f>
        <v>14</v>
      </c>
      <c r="F865" s="3">
        <f>IFERROR(VLOOKUP(B865,'[1]new sheet'!$A$1:$IV$65536,4,FALSE),0)</f>
        <v>0</v>
      </c>
      <c r="G865" s="4">
        <f>IFERROR(VLOOKUP(B865,'[2]new sheet'!$A$1:$IV$65536,2,0),0)</f>
        <v>7</v>
      </c>
      <c r="H865" s="5">
        <f>IFERROR(VLOOKUP(B865,'[3]new sheet'!$A$1:$IV$65536,2,0),0)</f>
        <v>0</v>
      </c>
    </row>
    <row r="866" spans="1:8" ht="24" customHeight="1">
      <c r="A866" s="7">
        <v>239289</v>
      </c>
      <c r="B866" s="7">
        <v>818</v>
      </c>
      <c r="C866" s="8" t="s">
        <v>698</v>
      </c>
      <c r="D866" s="8" t="s">
        <v>1934</v>
      </c>
      <c r="E866" s="2">
        <f>IFERROR(VLOOKUP(B866,'[1]new sheet'!$A$1:$IV$65536,5,FALSE),0)</f>
        <v>0</v>
      </c>
      <c r="F866" s="3">
        <f>IFERROR(VLOOKUP(B866,'[1]new sheet'!$A$1:$IV$65536,4,FALSE),0)</f>
        <v>0</v>
      </c>
      <c r="G866" s="4">
        <f>IFERROR(VLOOKUP(B866,'[2]new sheet'!$A$1:$IV$65536,2,0),0)</f>
        <v>0</v>
      </c>
      <c r="H866" s="5">
        <f>IFERROR(VLOOKUP(B866,'[3]new sheet'!$A$1:$IV$65536,2,0),0)</f>
        <v>0</v>
      </c>
    </row>
    <row r="867" spans="1:8" ht="24" customHeight="1">
      <c r="A867" s="7">
        <v>997962</v>
      </c>
      <c r="B867" s="7">
        <v>588</v>
      </c>
      <c r="C867" s="8" t="s">
        <v>699</v>
      </c>
      <c r="D867" s="8" t="s">
        <v>1934</v>
      </c>
      <c r="E867" s="2">
        <f>IFERROR(VLOOKUP(B867,'[1]new sheet'!$A$1:$IV$65536,5,FALSE),0)</f>
        <v>0</v>
      </c>
      <c r="F867" s="3">
        <f>IFERROR(VLOOKUP(B867,'[1]new sheet'!$A$1:$IV$65536,4,FALSE),0)</f>
        <v>0</v>
      </c>
      <c r="G867" s="4">
        <f>IFERROR(VLOOKUP(B867,'[2]new sheet'!$A$1:$IV$65536,2,0),0)</f>
        <v>0</v>
      </c>
      <c r="H867" s="5">
        <f>IFERROR(VLOOKUP(B867,'[3]new sheet'!$A$1:$IV$65536,2,0),0)</f>
        <v>0</v>
      </c>
    </row>
    <row r="868" spans="1:8" ht="24" customHeight="1">
      <c r="A868" s="7">
        <v>997314</v>
      </c>
      <c r="B868" s="7">
        <v>1471</v>
      </c>
      <c r="C868" s="8" t="s">
        <v>700</v>
      </c>
      <c r="D868" s="8" t="s">
        <v>1934</v>
      </c>
      <c r="E868" s="2">
        <f>IFERROR(VLOOKUP(B868,'[1]new sheet'!$A$1:$IV$65536,5,FALSE),0)</f>
        <v>0</v>
      </c>
      <c r="F868" s="3">
        <f>IFERROR(VLOOKUP(B868,'[1]new sheet'!$A$1:$IV$65536,4,FALSE),0)</f>
        <v>0</v>
      </c>
      <c r="G868" s="4">
        <f>IFERROR(VLOOKUP(B868,'[2]new sheet'!$A$1:$IV$65536,2,0),0)</f>
        <v>0</v>
      </c>
      <c r="H868" s="5">
        <f>IFERROR(VLOOKUP(B868,'[3]new sheet'!$A$1:$IV$65536,2,0),0)</f>
        <v>0</v>
      </c>
    </row>
    <row r="869" spans="1:8" ht="24" customHeight="1">
      <c r="A869" s="7">
        <v>990610</v>
      </c>
      <c r="B869" s="7">
        <v>3098</v>
      </c>
      <c r="C869" s="8" t="s">
        <v>701</v>
      </c>
      <c r="D869" s="8" t="s">
        <v>1934</v>
      </c>
      <c r="E869" s="2">
        <f>IFERROR(VLOOKUP(B869,'[1]new sheet'!$A$1:$IV$65536,5,FALSE),0)</f>
        <v>16</v>
      </c>
      <c r="F869" s="3">
        <f>IFERROR(VLOOKUP(B869,'[1]new sheet'!$A$1:$IV$65536,4,FALSE),0)</f>
        <v>1</v>
      </c>
      <c r="G869" s="4">
        <f>IFERROR(VLOOKUP(B869,'[2]new sheet'!$A$1:$IV$65536,2,0),0)</f>
        <v>12</v>
      </c>
      <c r="H869" s="5">
        <f>IFERROR(VLOOKUP(B869,'[3]new sheet'!$A$1:$IV$65536,2,0),0)</f>
        <v>2</v>
      </c>
    </row>
    <row r="870" spans="1:8" ht="24" customHeight="1">
      <c r="A870" s="7">
        <v>60731</v>
      </c>
      <c r="B870" s="7">
        <v>2335</v>
      </c>
      <c r="C870" s="8" t="s">
        <v>702</v>
      </c>
      <c r="D870" s="8" t="s">
        <v>1934</v>
      </c>
      <c r="E870" s="2">
        <f>IFERROR(VLOOKUP(B870,'[1]new sheet'!$A$1:$IV$65536,5,FALSE),0)</f>
        <v>14</v>
      </c>
      <c r="F870" s="3">
        <f>IFERROR(VLOOKUP(B870,'[1]new sheet'!$A$1:$IV$65536,4,FALSE),0)</f>
        <v>0</v>
      </c>
      <c r="G870" s="4">
        <f>IFERROR(VLOOKUP(B870,'[2]new sheet'!$A$1:$IV$65536,2,0),0)</f>
        <v>0</v>
      </c>
      <c r="H870" s="5">
        <f>IFERROR(VLOOKUP(B870,'[3]new sheet'!$A$1:$IV$65536,2,0),0)</f>
        <v>1</v>
      </c>
    </row>
    <row r="871" spans="1:8" ht="24" customHeight="1">
      <c r="A871" s="7">
        <v>578657</v>
      </c>
      <c r="B871" s="7">
        <v>589</v>
      </c>
      <c r="C871" s="8" t="s">
        <v>703</v>
      </c>
      <c r="D871" s="8" t="s">
        <v>1934</v>
      </c>
      <c r="E871" s="2">
        <f>IFERROR(VLOOKUP(B871,'[1]new sheet'!$A$1:$IV$65536,5,FALSE),0)</f>
        <v>17</v>
      </c>
      <c r="F871" s="3">
        <f>IFERROR(VLOOKUP(B871,'[1]new sheet'!$A$1:$IV$65536,4,FALSE),0)</f>
        <v>0</v>
      </c>
      <c r="G871" s="4">
        <f>IFERROR(VLOOKUP(B871,'[2]new sheet'!$A$1:$IV$65536,2,0),0)</f>
        <v>21</v>
      </c>
      <c r="H871" s="5">
        <f>IFERROR(VLOOKUP(B871,'[3]new sheet'!$A$1:$IV$65536,2,0),0)</f>
        <v>4</v>
      </c>
    </row>
    <row r="872" spans="1:8" ht="24" customHeight="1">
      <c r="A872" s="7">
        <v>60587</v>
      </c>
      <c r="B872" s="7">
        <v>819</v>
      </c>
      <c r="C872" s="8" t="s">
        <v>704</v>
      </c>
      <c r="D872" s="8" t="s">
        <v>1934</v>
      </c>
      <c r="E872" s="2">
        <f>IFERROR(VLOOKUP(B872,'[1]new sheet'!$A$1:$IV$65536,5,FALSE),0)</f>
        <v>12</v>
      </c>
      <c r="F872" s="3">
        <f>IFERROR(VLOOKUP(B872,'[1]new sheet'!$A$1:$IV$65536,4,FALSE),0)</f>
        <v>0</v>
      </c>
      <c r="G872" s="4">
        <f>IFERROR(VLOOKUP(B872,'[2]new sheet'!$A$1:$IV$65536,2,0),0)</f>
        <v>3</v>
      </c>
      <c r="H872" s="5">
        <f>IFERROR(VLOOKUP(B872,'[3]new sheet'!$A$1:$IV$65536,2,0),0)</f>
        <v>0</v>
      </c>
    </row>
    <row r="873" spans="1:8" ht="24" customHeight="1">
      <c r="A873" s="7">
        <v>82708</v>
      </c>
      <c r="B873" s="7">
        <v>413</v>
      </c>
      <c r="C873" s="8" t="s">
        <v>705</v>
      </c>
      <c r="D873" s="8" t="s">
        <v>1934</v>
      </c>
      <c r="E873" s="2">
        <f>IFERROR(VLOOKUP(B873,'[1]new sheet'!$A$1:$IV$65536,5,FALSE),0)</f>
        <v>22</v>
      </c>
      <c r="F873" s="3">
        <f>IFERROR(VLOOKUP(B873,'[1]new sheet'!$A$1:$IV$65536,4,FALSE),0)</f>
        <v>2</v>
      </c>
      <c r="G873" s="4">
        <f>IFERROR(VLOOKUP(B873,'[2]new sheet'!$A$1:$IV$65536,2,0),0)</f>
        <v>66</v>
      </c>
      <c r="H873" s="5">
        <f>IFERROR(VLOOKUP(B873,'[3]new sheet'!$A$1:$IV$65536,2,0),0)</f>
        <v>24</v>
      </c>
    </row>
    <row r="874" spans="1:8" ht="24" customHeight="1">
      <c r="A874" s="7">
        <v>798983</v>
      </c>
      <c r="B874" s="7">
        <v>590</v>
      </c>
      <c r="C874" s="8" t="s">
        <v>706</v>
      </c>
      <c r="D874" s="8" t="s">
        <v>1934</v>
      </c>
      <c r="E874" s="2">
        <f>IFERROR(VLOOKUP(B874,'[1]new sheet'!$A$1:$IV$65536,5,FALSE),0)</f>
        <v>12</v>
      </c>
      <c r="F874" s="3">
        <f>IFERROR(VLOOKUP(B874,'[1]new sheet'!$A$1:$IV$65536,4,FALSE),0)</f>
        <v>0</v>
      </c>
      <c r="G874" s="4">
        <f>IFERROR(VLOOKUP(B874,'[2]new sheet'!$A$1:$IV$65536,2,0),0)</f>
        <v>4</v>
      </c>
      <c r="H874" s="5">
        <f>IFERROR(VLOOKUP(B874,'[3]new sheet'!$A$1:$IV$65536,2,0),0)</f>
        <v>1</v>
      </c>
    </row>
    <row r="875" spans="1:8" ht="24" customHeight="1">
      <c r="A875" s="7">
        <v>70602</v>
      </c>
      <c r="B875" s="7">
        <v>591</v>
      </c>
      <c r="C875" s="8" t="s">
        <v>707</v>
      </c>
      <c r="D875" s="8" t="s">
        <v>1934</v>
      </c>
      <c r="E875" s="2">
        <f>IFERROR(VLOOKUP(B875,'[1]new sheet'!$A$1:$IV$65536,5,FALSE),0)</f>
        <v>15</v>
      </c>
      <c r="F875" s="3">
        <f>IFERROR(VLOOKUP(B875,'[1]new sheet'!$A$1:$IV$65536,4,FALSE),0)</f>
        <v>2</v>
      </c>
      <c r="G875" s="4">
        <f>IFERROR(VLOOKUP(B875,'[2]new sheet'!$A$1:$IV$65536,2,0),0)</f>
        <v>15</v>
      </c>
      <c r="H875" s="5">
        <f>IFERROR(VLOOKUP(B875,'[3]new sheet'!$A$1:$IV$65536,2,0),0)</f>
        <v>1</v>
      </c>
    </row>
    <row r="876" spans="1:8" ht="24" customHeight="1">
      <c r="A876" s="7">
        <v>990609</v>
      </c>
      <c r="B876" s="7">
        <v>3097</v>
      </c>
      <c r="C876" s="8" t="s">
        <v>708</v>
      </c>
      <c r="D876" s="8" t="s">
        <v>1934</v>
      </c>
      <c r="E876" s="2">
        <f>IFERROR(VLOOKUP(B876,'[1]new sheet'!$A$1:$IV$65536,5,FALSE),0)</f>
        <v>9</v>
      </c>
      <c r="F876" s="3">
        <f>IFERROR(VLOOKUP(B876,'[1]new sheet'!$A$1:$IV$65536,4,FALSE),0)</f>
        <v>1</v>
      </c>
      <c r="G876" s="4">
        <f>IFERROR(VLOOKUP(B876,'[2]new sheet'!$A$1:$IV$65536,2,0),0)</f>
        <v>12</v>
      </c>
      <c r="H876" s="5">
        <f>IFERROR(VLOOKUP(B876,'[3]new sheet'!$A$1:$IV$65536,2,0),0)</f>
        <v>3</v>
      </c>
    </row>
    <row r="877" spans="1:8" ht="24" customHeight="1">
      <c r="A877" s="7">
        <v>60730</v>
      </c>
      <c r="B877" s="7">
        <v>592</v>
      </c>
      <c r="C877" s="8" t="s">
        <v>709</v>
      </c>
      <c r="D877" s="8" t="s">
        <v>1934</v>
      </c>
      <c r="E877" s="2">
        <f>IFERROR(VLOOKUP(B877,'[1]new sheet'!$A$1:$IV$65536,5,FALSE),0)</f>
        <v>4</v>
      </c>
      <c r="F877" s="3">
        <f>IFERROR(VLOOKUP(B877,'[1]new sheet'!$A$1:$IV$65536,4,FALSE),0)</f>
        <v>0</v>
      </c>
      <c r="G877" s="4">
        <f>IFERROR(VLOOKUP(B877,'[2]new sheet'!$A$1:$IV$65536,2,0),0)</f>
        <v>7</v>
      </c>
      <c r="H877" s="5">
        <f>IFERROR(VLOOKUP(B877,'[3]new sheet'!$A$1:$IV$65536,2,0),0)</f>
        <v>1</v>
      </c>
    </row>
    <row r="878" spans="1:8" ht="24" customHeight="1">
      <c r="A878" s="7">
        <v>72451</v>
      </c>
      <c r="B878" s="7">
        <v>593</v>
      </c>
      <c r="C878" s="8" t="s">
        <v>710</v>
      </c>
      <c r="D878" s="8" t="s">
        <v>1934</v>
      </c>
      <c r="E878" s="2">
        <f>IFERROR(VLOOKUP(B878,'[1]new sheet'!$A$1:$IV$65536,5,FALSE),0)</f>
        <v>0</v>
      </c>
      <c r="F878" s="3">
        <f>IFERROR(VLOOKUP(B878,'[1]new sheet'!$A$1:$IV$65536,4,FALSE),0)</f>
        <v>0</v>
      </c>
      <c r="G878" s="4">
        <f>IFERROR(VLOOKUP(B878,'[2]new sheet'!$A$1:$IV$65536,2,0),0)</f>
        <v>0</v>
      </c>
      <c r="H878" s="5">
        <f>IFERROR(VLOOKUP(B878,'[3]new sheet'!$A$1:$IV$65536,2,0),0)</f>
        <v>0</v>
      </c>
    </row>
    <row r="879" spans="1:8" ht="24" customHeight="1">
      <c r="A879" s="7">
        <v>60586</v>
      </c>
      <c r="B879" s="7">
        <v>820</v>
      </c>
      <c r="C879" s="8" t="s">
        <v>711</v>
      </c>
      <c r="D879" s="8" t="s">
        <v>1934</v>
      </c>
      <c r="E879" s="2">
        <f>IFERROR(VLOOKUP(B879,'[1]new sheet'!$A$1:$IV$65536,5,FALSE),0)</f>
        <v>10</v>
      </c>
      <c r="F879" s="3">
        <f>IFERROR(VLOOKUP(B879,'[1]new sheet'!$A$1:$IV$65536,4,FALSE),0)</f>
        <v>0</v>
      </c>
      <c r="G879" s="4">
        <f>IFERROR(VLOOKUP(B879,'[2]new sheet'!$A$1:$IV$65536,2,0),0)</f>
        <v>5</v>
      </c>
      <c r="H879" s="5">
        <f>IFERROR(VLOOKUP(B879,'[3]new sheet'!$A$1:$IV$65536,2,0),0)</f>
        <v>0</v>
      </c>
    </row>
    <row r="880" spans="1:8" ht="24" customHeight="1">
      <c r="A880" s="7">
        <v>70599</v>
      </c>
      <c r="B880" s="7">
        <v>594</v>
      </c>
      <c r="C880" s="8" t="s">
        <v>712</v>
      </c>
      <c r="D880" s="8" t="s">
        <v>1934</v>
      </c>
      <c r="E880" s="2">
        <f>IFERROR(VLOOKUP(B880,'[1]new sheet'!$A$1:$IV$65536,5,FALSE),0)</f>
        <v>17</v>
      </c>
      <c r="F880" s="3">
        <f>IFERROR(VLOOKUP(B880,'[1]new sheet'!$A$1:$IV$65536,4,FALSE),0)</f>
        <v>0</v>
      </c>
      <c r="G880" s="4">
        <f>IFERROR(VLOOKUP(B880,'[2]new sheet'!$A$1:$IV$65536,2,0),0)</f>
        <v>27</v>
      </c>
      <c r="H880" s="5">
        <f>IFERROR(VLOOKUP(B880,'[3]new sheet'!$A$1:$IV$65536,2,0),0)</f>
        <v>5</v>
      </c>
    </row>
    <row r="881" spans="1:8" ht="24" customHeight="1">
      <c r="A881" s="7">
        <v>50707</v>
      </c>
      <c r="B881" s="7">
        <v>883</v>
      </c>
      <c r="C881" s="8" t="s">
        <v>713</v>
      </c>
      <c r="D881" s="8" t="s">
        <v>1934</v>
      </c>
      <c r="E881" s="2">
        <f>IFERROR(VLOOKUP(B881,'[1]new sheet'!$A$1:$IV$65536,5,FALSE),0)</f>
        <v>16</v>
      </c>
      <c r="F881" s="3">
        <f>IFERROR(VLOOKUP(B881,'[1]new sheet'!$A$1:$IV$65536,4,FALSE),0)</f>
        <v>0</v>
      </c>
      <c r="G881" s="4">
        <f>IFERROR(VLOOKUP(B881,'[2]new sheet'!$A$1:$IV$65536,2,0),0)</f>
        <v>38</v>
      </c>
      <c r="H881" s="5">
        <f>IFERROR(VLOOKUP(B881,'[3]new sheet'!$A$1:$IV$65536,2,0),0)</f>
        <v>30</v>
      </c>
    </row>
    <row r="882" spans="1:8" ht="24" customHeight="1">
      <c r="A882" s="7">
        <v>846678</v>
      </c>
      <c r="B882" s="7">
        <v>595</v>
      </c>
      <c r="C882" s="8" t="s">
        <v>714</v>
      </c>
      <c r="D882" s="8" t="s">
        <v>1934</v>
      </c>
      <c r="E882" s="2">
        <f>IFERROR(VLOOKUP(B882,'[1]new sheet'!$A$1:$IV$65536,5,FALSE),0)</f>
        <v>0</v>
      </c>
      <c r="F882" s="3">
        <f>IFERROR(VLOOKUP(B882,'[1]new sheet'!$A$1:$IV$65536,4,FALSE),0)</f>
        <v>0</v>
      </c>
      <c r="G882" s="4">
        <f>IFERROR(VLOOKUP(B882,'[2]new sheet'!$A$1:$IV$65536,2,0),0)</f>
        <v>0</v>
      </c>
      <c r="H882" s="5">
        <f>IFERROR(VLOOKUP(B882,'[3]new sheet'!$A$1:$IV$65536,2,0),0)</f>
        <v>0</v>
      </c>
    </row>
    <row r="883" spans="1:8" ht="24" customHeight="1">
      <c r="A883" s="7">
        <v>999984</v>
      </c>
      <c r="B883" s="7">
        <v>2334</v>
      </c>
      <c r="C883" s="8" t="s">
        <v>715</v>
      </c>
      <c r="D883" s="8" t="s">
        <v>1934</v>
      </c>
      <c r="E883" s="2">
        <f>IFERROR(VLOOKUP(B883,'[1]new sheet'!$A$1:$IV$65536,5,FALSE),0)</f>
        <v>4</v>
      </c>
      <c r="F883" s="3">
        <f>IFERROR(VLOOKUP(B883,'[1]new sheet'!$A$1:$IV$65536,4,FALSE),0)</f>
        <v>0</v>
      </c>
      <c r="G883" s="4">
        <f>IFERROR(VLOOKUP(B883,'[2]new sheet'!$A$1:$IV$65536,2,0),0)</f>
        <v>3</v>
      </c>
      <c r="H883" s="5">
        <f>IFERROR(VLOOKUP(B883,'[3]new sheet'!$A$1:$IV$65536,2,0),0)</f>
        <v>0</v>
      </c>
    </row>
    <row r="884" spans="1:8" ht="24" customHeight="1">
      <c r="A884" s="7">
        <v>72435</v>
      </c>
      <c r="B884" s="7">
        <v>289</v>
      </c>
      <c r="C884" s="8" t="s">
        <v>716</v>
      </c>
      <c r="D884" s="8" t="s">
        <v>1934</v>
      </c>
      <c r="E884" s="2">
        <f>IFERROR(VLOOKUP(B884,'[1]new sheet'!$A$1:$IV$65536,5,FALSE),0)</f>
        <v>6</v>
      </c>
      <c r="F884" s="3">
        <f>IFERROR(VLOOKUP(B884,'[1]new sheet'!$A$1:$IV$65536,4,FALSE),0)</f>
        <v>1</v>
      </c>
      <c r="G884" s="4">
        <f>IFERROR(VLOOKUP(B884,'[2]new sheet'!$A$1:$IV$65536,2,0),0)</f>
        <v>0</v>
      </c>
      <c r="H884" s="5">
        <f>IFERROR(VLOOKUP(B884,'[3]new sheet'!$A$1:$IV$65536,2,0),0)</f>
        <v>2</v>
      </c>
    </row>
    <row r="885" spans="1:8" ht="24" customHeight="1">
      <c r="A885" s="7">
        <v>60582</v>
      </c>
      <c r="B885" s="7">
        <v>596</v>
      </c>
      <c r="C885" s="8" t="s">
        <v>717</v>
      </c>
      <c r="D885" s="8" t="s">
        <v>1934</v>
      </c>
      <c r="E885" s="2">
        <f>IFERROR(VLOOKUP(B885,'[1]new sheet'!$A$1:$IV$65536,5,FALSE),0)</f>
        <v>1</v>
      </c>
      <c r="F885" s="3">
        <f>IFERROR(VLOOKUP(B885,'[1]new sheet'!$A$1:$IV$65536,4,FALSE),0)</f>
        <v>0</v>
      </c>
      <c r="G885" s="4">
        <f>IFERROR(VLOOKUP(B885,'[2]new sheet'!$A$1:$IV$65536,2,0),0)</f>
        <v>0</v>
      </c>
      <c r="H885" s="5">
        <f>IFERROR(VLOOKUP(B885,'[3]new sheet'!$A$1:$IV$65536,2,0),0)</f>
        <v>3</v>
      </c>
    </row>
    <row r="886" spans="1:8" ht="24" customHeight="1">
      <c r="A886" s="7">
        <v>15040008</v>
      </c>
      <c r="B886" s="7">
        <v>4188</v>
      </c>
      <c r="C886" s="8" t="s">
        <v>1837</v>
      </c>
      <c r="D886" s="8" t="s">
        <v>1934</v>
      </c>
      <c r="E886" s="2">
        <f>IFERROR(VLOOKUP(B886,'[1]new sheet'!$A$1:$IV$65536,5,FALSE),0)</f>
        <v>18</v>
      </c>
      <c r="F886" s="3">
        <f>IFERROR(VLOOKUP(B886,'[1]new sheet'!$A$1:$IV$65536,4,FALSE),0)</f>
        <v>11</v>
      </c>
      <c r="G886" s="4">
        <f>IFERROR(VLOOKUP(B886,'[2]new sheet'!$A$1:$IV$65536,2,0),0)</f>
        <v>13</v>
      </c>
      <c r="H886" s="5">
        <f>IFERROR(VLOOKUP(B886,'[3]new sheet'!$A$1:$IV$65536,2,0),0)</f>
        <v>4</v>
      </c>
    </row>
    <row r="887" spans="1:8" ht="24" customHeight="1">
      <c r="A887" s="7">
        <v>15040002</v>
      </c>
      <c r="B887" s="7">
        <v>378</v>
      </c>
      <c r="C887" s="8" t="s">
        <v>718</v>
      </c>
      <c r="D887" s="8" t="s">
        <v>1934</v>
      </c>
      <c r="E887" s="2">
        <f>IFERROR(VLOOKUP(B887,'[1]new sheet'!$A$1:$IV$65536,5,FALSE),0)</f>
        <v>0</v>
      </c>
      <c r="F887" s="3">
        <f>IFERROR(VLOOKUP(B887,'[1]new sheet'!$A$1:$IV$65536,4,FALSE),0)</f>
        <v>0</v>
      </c>
      <c r="G887" s="4">
        <f>IFERROR(VLOOKUP(B887,'[2]new sheet'!$A$1:$IV$65536,2,0),0)</f>
        <v>0</v>
      </c>
      <c r="H887" s="5">
        <f>IFERROR(VLOOKUP(B887,'[3]new sheet'!$A$1:$IV$65536,2,0),0)</f>
        <v>0</v>
      </c>
    </row>
    <row r="888" spans="1:8" ht="24" customHeight="1">
      <c r="A888" s="7">
        <v>15040001</v>
      </c>
      <c r="B888" s="7">
        <v>597</v>
      </c>
      <c r="C888" s="8" t="s">
        <v>719</v>
      </c>
      <c r="D888" s="8" t="s">
        <v>1934</v>
      </c>
      <c r="E888" s="2">
        <f>IFERROR(VLOOKUP(B888,'[1]new sheet'!$A$1:$IV$65536,5,FALSE),0)</f>
        <v>530</v>
      </c>
      <c r="F888" s="3">
        <f>IFERROR(VLOOKUP(B888,'[1]new sheet'!$A$1:$IV$65536,4,FALSE),0)</f>
        <v>9</v>
      </c>
      <c r="G888" s="4">
        <f>IFERROR(VLOOKUP(B888,'[2]new sheet'!$A$1:$IV$65536,2,0),0)</f>
        <v>579</v>
      </c>
      <c r="H888" s="5">
        <f>IFERROR(VLOOKUP(B888,'[3]new sheet'!$A$1:$IV$65536,2,0),0)</f>
        <v>198</v>
      </c>
    </row>
    <row r="889" spans="1:8" ht="24" customHeight="1">
      <c r="A889" s="7">
        <v>170081</v>
      </c>
      <c r="B889" s="7">
        <v>3846</v>
      </c>
      <c r="C889" s="8" t="s">
        <v>1558</v>
      </c>
      <c r="D889" s="8" t="s">
        <v>1934</v>
      </c>
      <c r="E889" s="2">
        <f>IFERROR(VLOOKUP(B889,'[1]new sheet'!$A$1:$IV$65536,5,FALSE),0)</f>
        <v>528</v>
      </c>
      <c r="F889" s="3">
        <f>IFERROR(VLOOKUP(B889,'[1]new sheet'!$A$1:$IV$65536,4,FALSE),0)</f>
        <v>9</v>
      </c>
      <c r="G889" s="4">
        <f>IFERROR(VLOOKUP(B889,'[2]new sheet'!$A$1:$IV$65536,2,0),0)</f>
        <v>382</v>
      </c>
      <c r="H889" s="5">
        <f>IFERROR(VLOOKUP(B889,'[3]new sheet'!$A$1:$IV$65536,2,0),0)</f>
        <v>99</v>
      </c>
    </row>
    <row r="890" spans="1:8" ht="24" customHeight="1">
      <c r="A890" s="7"/>
      <c r="B890" s="7">
        <v>598</v>
      </c>
      <c r="C890" s="8" t="s">
        <v>720</v>
      </c>
      <c r="D890" s="8" t="s">
        <v>1934</v>
      </c>
      <c r="E890" s="2">
        <f>IFERROR(VLOOKUP(B890,'[1]new sheet'!$A$1:$IV$65536,5,FALSE),0)</f>
        <v>0</v>
      </c>
      <c r="F890" s="3">
        <f>IFERROR(VLOOKUP(B890,'[1]new sheet'!$A$1:$IV$65536,4,FALSE),0)</f>
        <v>0</v>
      </c>
      <c r="G890" s="4">
        <f>IFERROR(VLOOKUP(B890,'[2]new sheet'!$A$1:$IV$65536,2,0),0)</f>
        <v>0</v>
      </c>
      <c r="H890" s="5">
        <f>IFERROR(VLOOKUP(B890,'[3]new sheet'!$A$1:$IV$65536,2,0),0)</f>
        <v>0</v>
      </c>
    </row>
    <row r="891" spans="1:8" ht="24" customHeight="1">
      <c r="A891" s="7">
        <v>12301</v>
      </c>
      <c r="B891" s="7">
        <v>599</v>
      </c>
      <c r="C891" s="8" t="s">
        <v>721</v>
      </c>
      <c r="D891" s="8" t="s">
        <v>1934</v>
      </c>
      <c r="E891" s="2">
        <f>IFERROR(VLOOKUP(B891,'[1]new sheet'!$A$1:$IV$65536,5,FALSE),0)</f>
        <v>657</v>
      </c>
      <c r="F891" s="3">
        <f>IFERROR(VLOOKUP(B891,'[1]new sheet'!$A$1:$IV$65536,4,FALSE),0)</f>
        <v>25</v>
      </c>
      <c r="G891" s="4">
        <f>IFERROR(VLOOKUP(B891,'[2]new sheet'!$A$1:$IV$65536,2,0),0)</f>
        <v>1111</v>
      </c>
      <c r="H891" s="5">
        <f>IFERROR(VLOOKUP(B891,'[3]new sheet'!$A$1:$IV$65536,2,0),0)</f>
        <v>197</v>
      </c>
    </row>
    <row r="892" spans="1:8" ht="24" customHeight="1">
      <c r="A892" s="7">
        <v>23414</v>
      </c>
      <c r="B892" s="7">
        <v>377</v>
      </c>
      <c r="C892" s="8" t="s">
        <v>722</v>
      </c>
      <c r="D892" s="8" t="s">
        <v>1934</v>
      </c>
      <c r="E892" s="2">
        <f>IFERROR(VLOOKUP(B892,'[1]new sheet'!$A$1:$IV$65536,5,FALSE),0)</f>
        <v>143</v>
      </c>
      <c r="F892" s="3">
        <f>IFERROR(VLOOKUP(B892,'[1]new sheet'!$A$1:$IV$65536,4,FALSE),0)</f>
        <v>9</v>
      </c>
      <c r="G892" s="4">
        <f>IFERROR(VLOOKUP(B892,'[2]new sheet'!$A$1:$IV$65536,2,0),0)</f>
        <v>50</v>
      </c>
      <c r="H892" s="5">
        <f>IFERROR(VLOOKUP(B892,'[3]new sheet'!$A$1:$IV$65536,2,0),0)</f>
        <v>107</v>
      </c>
    </row>
    <row r="893" spans="1:8" ht="24" customHeight="1">
      <c r="A893" s="7">
        <v>42</v>
      </c>
      <c r="B893" s="7">
        <v>191</v>
      </c>
      <c r="C893" s="8" t="s">
        <v>723</v>
      </c>
      <c r="D893" s="8" t="s">
        <v>1934</v>
      </c>
      <c r="E893" s="2">
        <f>IFERROR(VLOOKUP(B893,'[1]new sheet'!$A$1:$IV$65536,5,FALSE),0)</f>
        <v>106</v>
      </c>
      <c r="F893" s="3">
        <f>IFERROR(VLOOKUP(B893,'[1]new sheet'!$A$1:$IV$65536,4,FALSE),0)</f>
        <v>1</v>
      </c>
      <c r="G893" s="4">
        <f>IFERROR(VLOOKUP(B893,'[2]new sheet'!$A$1:$IV$65536,2,0),0)</f>
        <v>56</v>
      </c>
      <c r="H893" s="5">
        <f>IFERROR(VLOOKUP(B893,'[3]new sheet'!$A$1:$IV$65536,2,0),0)</f>
        <v>27</v>
      </c>
    </row>
    <row r="894" spans="1:8" ht="24" customHeight="1">
      <c r="A894" s="7">
        <v>555</v>
      </c>
      <c r="B894" s="7">
        <v>3190</v>
      </c>
      <c r="C894" s="8" t="s">
        <v>1628</v>
      </c>
      <c r="D894" s="8" t="s">
        <v>1938</v>
      </c>
      <c r="E894" s="2">
        <f>IFERROR(VLOOKUP(B894,'[1]new sheet'!$A$1:$IV$65536,5,FALSE),0)</f>
        <v>0</v>
      </c>
      <c r="F894" s="3">
        <f>IFERROR(VLOOKUP(B894,'[1]new sheet'!$A$1:$IV$65536,4,FALSE),0)</f>
        <v>0</v>
      </c>
      <c r="G894" s="4">
        <f>IFERROR(VLOOKUP(B894,'[2]new sheet'!$A$1:$IV$65536,2,0),0)</f>
        <v>36</v>
      </c>
      <c r="H894" s="5">
        <f>IFERROR(VLOOKUP(B894,'[3]new sheet'!$A$1:$IV$65536,2,0),0)</f>
        <v>0</v>
      </c>
    </row>
    <row r="895" spans="1:8" ht="24" customHeight="1">
      <c r="A895" s="7">
        <v>7113</v>
      </c>
      <c r="B895" s="7">
        <v>2437</v>
      </c>
      <c r="C895" s="8" t="s">
        <v>1765</v>
      </c>
      <c r="D895" s="8" t="s">
        <v>1934</v>
      </c>
      <c r="E895" s="2">
        <f>IFERROR(VLOOKUP(B895,'[1]new sheet'!$A$1:$IV$65536,5,FALSE),0)</f>
        <v>0</v>
      </c>
      <c r="F895" s="3">
        <f>IFERROR(VLOOKUP(B895,'[1]new sheet'!$A$1:$IV$65536,4,FALSE),0)</f>
        <v>0</v>
      </c>
      <c r="G895" s="4">
        <f>IFERROR(VLOOKUP(B895,'[2]new sheet'!$A$1:$IV$65536,2,0),0)</f>
        <v>0</v>
      </c>
      <c r="H895" s="5">
        <f>IFERROR(VLOOKUP(B895,'[3]new sheet'!$A$1:$IV$65536,2,0),0)</f>
        <v>0</v>
      </c>
    </row>
    <row r="896" spans="1:8" ht="24" customHeight="1">
      <c r="A896" s="7">
        <v>10218</v>
      </c>
      <c r="B896" s="7">
        <v>600</v>
      </c>
      <c r="C896" s="8" t="s">
        <v>1766</v>
      </c>
      <c r="D896" s="8" t="s">
        <v>1934</v>
      </c>
      <c r="E896" s="2">
        <f>IFERROR(VLOOKUP(B896,'[1]new sheet'!$A$1:$IV$65536,5,FALSE),0)</f>
        <v>0</v>
      </c>
      <c r="F896" s="3">
        <f>IFERROR(VLOOKUP(B896,'[1]new sheet'!$A$1:$IV$65536,4,FALSE),0)</f>
        <v>0</v>
      </c>
      <c r="G896" s="4">
        <f>IFERROR(VLOOKUP(B896,'[2]new sheet'!$A$1:$IV$65536,2,0),0)</f>
        <v>0</v>
      </c>
      <c r="H896" s="5">
        <f>IFERROR(VLOOKUP(B896,'[3]new sheet'!$A$1:$IV$65536,2,0),0)</f>
        <v>0</v>
      </c>
    </row>
    <row r="897" spans="1:8" ht="24" customHeight="1">
      <c r="A897" s="7">
        <v>20010401</v>
      </c>
      <c r="B897" s="7">
        <v>3364</v>
      </c>
      <c r="C897" s="8" t="s">
        <v>1767</v>
      </c>
      <c r="D897" s="8" t="s">
        <v>1934</v>
      </c>
      <c r="E897" s="2">
        <f>IFERROR(VLOOKUP(B897,'[1]new sheet'!$A$1:$IV$65536,5,FALSE),0)</f>
        <v>0</v>
      </c>
      <c r="F897" s="3">
        <f>IFERROR(VLOOKUP(B897,'[1]new sheet'!$A$1:$IV$65536,4,FALSE),0)</f>
        <v>0</v>
      </c>
      <c r="G897" s="4">
        <f>IFERROR(VLOOKUP(B897,'[2]new sheet'!$A$1:$IV$65536,2,0),0)</f>
        <v>0</v>
      </c>
      <c r="H897" s="5">
        <f>IFERROR(VLOOKUP(B897,'[3]new sheet'!$A$1:$IV$65536,2,0),0)</f>
        <v>0</v>
      </c>
    </row>
    <row r="898" spans="1:8" ht="24" customHeight="1">
      <c r="A898" s="7">
        <v>10206</v>
      </c>
      <c r="B898" s="7">
        <v>770</v>
      </c>
      <c r="C898" s="8" t="s">
        <v>1768</v>
      </c>
      <c r="D898" s="8" t="s">
        <v>1934</v>
      </c>
      <c r="E898" s="2">
        <f>IFERROR(VLOOKUP(B898,'[1]new sheet'!$A$1:$IV$65536,5,FALSE),0)</f>
        <v>29</v>
      </c>
      <c r="F898" s="3">
        <f>IFERROR(VLOOKUP(B898,'[1]new sheet'!$A$1:$IV$65536,4,FALSE),0)</f>
        <v>0</v>
      </c>
      <c r="G898" s="4">
        <f>IFERROR(VLOOKUP(B898,'[2]new sheet'!$A$1:$IV$65536,2,0),0)</f>
        <v>55</v>
      </c>
      <c r="H898" s="5">
        <f>IFERROR(VLOOKUP(B898,'[3]new sheet'!$A$1:$IV$65536,2,0),0)</f>
        <v>21</v>
      </c>
    </row>
    <row r="899" spans="1:8" ht="24" customHeight="1">
      <c r="A899" s="7">
        <v>27</v>
      </c>
      <c r="B899" s="7">
        <v>3070</v>
      </c>
      <c r="C899" s="8" t="s">
        <v>724</v>
      </c>
      <c r="D899" s="8" t="s">
        <v>1938</v>
      </c>
      <c r="E899" s="2">
        <f>IFERROR(VLOOKUP(B899,'[1]new sheet'!$A$1:$IV$65536,5,FALSE),0)</f>
        <v>0</v>
      </c>
      <c r="F899" s="3">
        <f>IFERROR(VLOOKUP(B899,'[1]new sheet'!$A$1:$IV$65536,4,FALSE),0)</f>
        <v>0</v>
      </c>
      <c r="G899" s="4">
        <f>IFERROR(VLOOKUP(B899,'[2]new sheet'!$A$1:$IV$65536,2,0),0)</f>
        <v>0</v>
      </c>
      <c r="H899" s="5">
        <f>IFERROR(VLOOKUP(B899,'[3]new sheet'!$A$1:$IV$65536,2,0),0)</f>
        <v>0</v>
      </c>
    </row>
    <row r="900" spans="1:8" ht="24" customHeight="1">
      <c r="A900" s="7"/>
      <c r="B900" s="7">
        <v>11</v>
      </c>
      <c r="C900" s="8" t="s">
        <v>725</v>
      </c>
      <c r="D900" s="8" t="s">
        <v>1934</v>
      </c>
      <c r="E900" s="2">
        <f>IFERROR(VLOOKUP(B900,'[1]new sheet'!$A$1:$IV$65536,5,FALSE),0)</f>
        <v>0</v>
      </c>
      <c r="F900" s="3">
        <f>IFERROR(VLOOKUP(B900,'[1]new sheet'!$A$1:$IV$65536,4,FALSE),0)</f>
        <v>0</v>
      </c>
      <c r="G900" s="4">
        <f>IFERROR(VLOOKUP(B900,'[2]new sheet'!$A$1:$IV$65536,2,0),0)</f>
        <v>0</v>
      </c>
      <c r="H900" s="5">
        <f>IFERROR(VLOOKUP(B900,'[3]new sheet'!$A$1:$IV$65536,2,0),0)</f>
        <v>0</v>
      </c>
    </row>
    <row r="901" spans="1:8" ht="24" customHeight="1">
      <c r="A901" s="7">
        <v>15010002</v>
      </c>
      <c r="B901" s="7">
        <v>5</v>
      </c>
      <c r="C901" s="8" t="s">
        <v>726</v>
      </c>
      <c r="D901" s="8" t="s">
        <v>1934</v>
      </c>
      <c r="E901" s="2">
        <f>IFERROR(VLOOKUP(B901,'[1]new sheet'!$A$1:$IV$65536,5,FALSE),0)</f>
        <v>0</v>
      </c>
      <c r="F901" s="3">
        <f>IFERROR(VLOOKUP(B901,'[1]new sheet'!$A$1:$IV$65536,4,FALSE),0)</f>
        <v>0</v>
      </c>
      <c r="G901" s="4">
        <f>IFERROR(VLOOKUP(B901,'[2]new sheet'!$A$1:$IV$65536,2,0),0)</f>
        <v>0</v>
      </c>
      <c r="H901" s="5">
        <f>IFERROR(VLOOKUP(B901,'[3]new sheet'!$A$1:$IV$65536,2,0),0)</f>
        <v>0</v>
      </c>
    </row>
    <row r="902" spans="1:8" ht="24" customHeight="1">
      <c r="A902" s="7"/>
      <c r="B902" s="7">
        <v>601</v>
      </c>
      <c r="C902" s="8" t="s">
        <v>727</v>
      </c>
      <c r="D902" s="8" t="s">
        <v>1934</v>
      </c>
      <c r="E902" s="2">
        <f>IFERROR(VLOOKUP(B902,'[1]new sheet'!$A$1:$IV$65536,5,FALSE),0)</f>
        <v>70</v>
      </c>
      <c r="F902" s="3">
        <f>IFERROR(VLOOKUP(B902,'[1]new sheet'!$A$1:$IV$65536,4,FALSE),0)</f>
        <v>4</v>
      </c>
      <c r="G902" s="4">
        <f>IFERROR(VLOOKUP(B902,'[2]new sheet'!$A$1:$IV$65536,2,0),0)</f>
        <v>101</v>
      </c>
      <c r="H902" s="5">
        <f>IFERROR(VLOOKUP(B902,'[3]new sheet'!$A$1:$IV$65536,2,0),0)</f>
        <v>56</v>
      </c>
    </row>
    <row r="903" spans="1:8" ht="24" customHeight="1">
      <c r="A903" s="7">
        <v>10318</v>
      </c>
      <c r="B903" s="7">
        <v>12</v>
      </c>
      <c r="C903" s="8" t="s">
        <v>728</v>
      </c>
      <c r="D903" s="8" t="s">
        <v>1934</v>
      </c>
      <c r="E903" s="2">
        <f>IFERROR(VLOOKUP(B903,'[1]new sheet'!$A$1:$IV$65536,5,FALSE),0)</f>
        <v>473</v>
      </c>
      <c r="F903" s="3">
        <f>IFERROR(VLOOKUP(B903,'[1]new sheet'!$A$1:$IV$65536,4,FALSE),0)</f>
        <v>0</v>
      </c>
      <c r="G903" s="4">
        <f>IFERROR(VLOOKUP(B903,'[2]new sheet'!$A$1:$IV$65536,2,0),0)</f>
        <v>172</v>
      </c>
      <c r="H903" s="5">
        <f>IFERROR(VLOOKUP(B903,'[3]new sheet'!$A$1:$IV$65536,2,0),0)</f>
        <v>58</v>
      </c>
    </row>
    <row r="904" spans="1:8" ht="24" customHeight="1">
      <c r="A904" s="7">
        <v>807211820</v>
      </c>
      <c r="B904" s="7">
        <v>1969</v>
      </c>
      <c r="C904" s="8" t="s">
        <v>729</v>
      </c>
      <c r="D904" s="8" t="s">
        <v>1934</v>
      </c>
      <c r="E904" s="2">
        <f>IFERROR(VLOOKUP(B904,'[1]new sheet'!$A$1:$IV$65536,5,FALSE),0)</f>
        <v>0</v>
      </c>
      <c r="F904" s="3">
        <f>IFERROR(VLOOKUP(B904,'[1]new sheet'!$A$1:$IV$65536,4,FALSE),0)</f>
        <v>0</v>
      </c>
      <c r="G904" s="4">
        <f>IFERROR(VLOOKUP(B904,'[2]new sheet'!$A$1:$IV$65536,2,0),0)</f>
        <v>0</v>
      </c>
      <c r="H904" s="5">
        <f>IFERROR(VLOOKUP(B904,'[3]new sheet'!$A$1:$IV$65536,2,0),0)</f>
        <v>0</v>
      </c>
    </row>
    <row r="905" spans="1:8" ht="24" customHeight="1">
      <c r="A905" s="7"/>
      <c r="B905" s="7">
        <v>7</v>
      </c>
      <c r="C905" s="8" t="s">
        <v>730</v>
      </c>
      <c r="D905" s="8" t="s">
        <v>1934</v>
      </c>
      <c r="E905" s="2">
        <f>IFERROR(VLOOKUP(B905,'[1]new sheet'!$A$1:$IV$65536,5,FALSE),0)</f>
        <v>0</v>
      </c>
      <c r="F905" s="3">
        <f>IFERROR(VLOOKUP(B905,'[1]new sheet'!$A$1:$IV$65536,4,FALSE),0)</f>
        <v>0</v>
      </c>
      <c r="G905" s="4">
        <f>IFERROR(VLOOKUP(B905,'[2]new sheet'!$A$1:$IV$65536,2,0),0)</f>
        <v>0</v>
      </c>
      <c r="H905" s="5">
        <f>IFERROR(VLOOKUP(B905,'[3]new sheet'!$A$1:$IV$65536,2,0),0)</f>
        <v>0</v>
      </c>
    </row>
    <row r="906" spans="1:8" ht="24" customHeight="1">
      <c r="A906" s="7">
        <v>15010001</v>
      </c>
      <c r="B906" s="7">
        <v>4</v>
      </c>
      <c r="C906" s="8" t="s">
        <v>731</v>
      </c>
      <c r="D906" s="8" t="s">
        <v>1934</v>
      </c>
      <c r="E906" s="2">
        <f>IFERROR(VLOOKUP(B906,'[1]new sheet'!$A$1:$IV$65536,5,FALSE),0)</f>
        <v>2144</v>
      </c>
      <c r="F906" s="3">
        <f>IFERROR(VLOOKUP(B906,'[1]new sheet'!$A$1:$IV$65536,4,FALSE),0)</f>
        <v>86</v>
      </c>
      <c r="G906" s="4">
        <f>IFERROR(VLOOKUP(B906,'[2]new sheet'!$A$1:$IV$65536,2,0),0)</f>
        <v>3830</v>
      </c>
      <c r="H906" s="5">
        <f>IFERROR(VLOOKUP(B906,'[3]new sheet'!$A$1:$IV$65536,2,0),0)</f>
        <v>2380</v>
      </c>
    </row>
    <row r="907" spans="1:8" ht="24" customHeight="1">
      <c r="A907" s="7">
        <v>15010008</v>
      </c>
      <c r="B907" s="7">
        <v>385</v>
      </c>
      <c r="C907" s="8" t="s">
        <v>732</v>
      </c>
      <c r="D907" s="8" t="s">
        <v>1934</v>
      </c>
      <c r="E907" s="2">
        <f>IFERROR(VLOOKUP(B907,'[1]new sheet'!$A$1:$IV$65536,5,FALSE),0)</f>
        <v>0</v>
      </c>
      <c r="F907" s="3">
        <f>IFERROR(VLOOKUP(B907,'[1]new sheet'!$A$1:$IV$65536,4,FALSE),0)</f>
        <v>0</v>
      </c>
      <c r="G907" s="4">
        <f>IFERROR(VLOOKUP(B907,'[2]new sheet'!$A$1:$IV$65536,2,0),0)</f>
        <v>0</v>
      </c>
      <c r="H907" s="5">
        <f>IFERROR(VLOOKUP(B907,'[3]new sheet'!$A$1:$IV$65536,2,0),0)</f>
        <v>0</v>
      </c>
    </row>
    <row r="908" spans="1:8" ht="24" customHeight="1">
      <c r="A908" s="7">
        <v>20010005</v>
      </c>
      <c r="B908" s="7">
        <v>602</v>
      </c>
      <c r="C908" s="8" t="s">
        <v>733</v>
      </c>
      <c r="D908" s="8" t="s">
        <v>1934</v>
      </c>
      <c r="E908" s="2">
        <f>IFERROR(VLOOKUP(B908,'[1]new sheet'!$A$1:$IV$65536,5,FALSE),0)</f>
        <v>792</v>
      </c>
      <c r="F908" s="3">
        <f>IFERROR(VLOOKUP(B908,'[1]new sheet'!$A$1:$IV$65536,4,FALSE),0)</f>
        <v>113</v>
      </c>
      <c r="G908" s="4">
        <f>IFERROR(VLOOKUP(B908,'[2]new sheet'!$A$1:$IV$65536,2,0),0)</f>
        <v>5070</v>
      </c>
      <c r="H908" s="5">
        <f>IFERROR(VLOOKUP(B908,'[3]new sheet'!$A$1:$IV$65536,2,0),0)</f>
        <v>341</v>
      </c>
    </row>
    <row r="909" spans="1:8" ht="24" customHeight="1">
      <c r="A909" s="7">
        <v>502429</v>
      </c>
      <c r="B909" s="7">
        <v>8</v>
      </c>
      <c r="C909" s="8" t="s">
        <v>734</v>
      </c>
      <c r="D909" s="8" t="s">
        <v>1934</v>
      </c>
      <c r="E909" s="2">
        <f>IFERROR(VLOOKUP(B909,'[1]new sheet'!$A$1:$IV$65536,5,FALSE),0)</f>
        <v>0</v>
      </c>
      <c r="F909" s="3">
        <f>IFERROR(VLOOKUP(B909,'[1]new sheet'!$A$1:$IV$65536,4,FALSE),0)</f>
        <v>0</v>
      </c>
      <c r="G909" s="4">
        <f>IFERROR(VLOOKUP(B909,'[2]new sheet'!$A$1:$IV$65536,2,0),0)</f>
        <v>0</v>
      </c>
      <c r="H909" s="5">
        <f>IFERROR(VLOOKUP(B909,'[3]new sheet'!$A$1:$IV$65536,2,0),0)</f>
        <v>0</v>
      </c>
    </row>
    <row r="910" spans="1:8" ht="24" customHeight="1">
      <c r="A910" s="7">
        <v>10317</v>
      </c>
      <c r="B910" s="7">
        <v>9</v>
      </c>
      <c r="C910" s="8" t="s">
        <v>735</v>
      </c>
      <c r="D910" s="8" t="s">
        <v>1934</v>
      </c>
      <c r="E910" s="2">
        <f>IFERROR(VLOOKUP(B910,'[1]new sheet'!$A$1:$IV$65536,5,FALSE),0)</f>
        <v>492</v>
      </c>
      <c r="F910" s="3">
        <f>IFERROR(VLOOKUP(B910,'[1]new sheet'!$A$1:$IV$65536,4,FALSE),0)</f>
        <v>21</v>
      </c>
      <c r="G910" s="4">
        <f>IFERROR(VLOOKUP(B910,'[2]new sheet'!$A$1:$IV$65536,2,0),0)</f>
        <v>630</v>
      </c>
      <c r="H910" s="5">
        <f>IFERROR(VLOOKUP(B910,'[3]new sheet'!$A$1:$IV$65536,2,0),0)</f>
        <v>440</v>
      </c>
    </row>
    <row r="911" spans="1:8" ht="24" customHeight="1">
      <c r="A911" s="7">
        <v>807211810</v>
      </c>
      <c r="B911" s="7">
        <v>1968</v>
      </c>
      <c r="C911" s="8" t="s">
        <v>736</v>
      </c>
      <c r="D911" s="8" t="s">
        <v>1934</v>
      </c>
      <c r="E911" s="2">
        <f>IFERROR(VLOOKUP(B911,'[1]new sheet'!$A$1:$IV$65536,5,FALSE),0)</f>
        <v>0</v>
      </c>
      <c r="F911" s="3">
        <f>IFERROR(VLOOKUP(B911,'[1]new sheet'!$A$1:$IV$65536,4,FALSE),0)</f>
        <v>0</v>
      </c>
      <c r="G911" s="4">
        <f>IFERROR(VLOOKUP(B911,'[2]new sheet'!$A$1:$IV$65536,2,0),0)</f>
        <v>0</v>
      </c>
      <c r="H911" s="5">
        <f>IFERROR(VLOOKUP(B911,'[3]new sheet'!$A$1:$IV$65536,2,0),0)</f>
        <v>0</v>
      </c>
    </row>
    <row r="912" spans="1:8" ht="24" customHeight="1">
      <c r="A912" s="7"/>
      <c r="B912" s="7">
        <v>10</v>
      </c>
      <c r="C912" s="8" t="s">
        <v>737</v>
      </c>
      <c r="D912" s="8" t="s">
        <v>1934</v>
      </c>
      <c r="E912" s="2">
        <f>IFERROR(VLOOKUP(B912,'[1]new sheet'!$A$1:$IV$65536,5,FALSE),0)</f>
        <v>0</v>
      </c>
      <c r="F912" s="3">
        <f>IFERROR(VLOOKUP(B912,'[1]new sheet'!$A$1:$IV$65536,4,FALSE),0)</f>
        <v>0</v>
      </c>
      <c r="G912" s="4">
        <f>IFERROR(VLOOKUP(B912,'[2]new sheet'!$A$1:$IV$65536,2,0),0)</f>
        <v>0</v>
      </c>
      <c r="H912" s="5">
        <f>IFERROR(VLOOKUP(B912,'[3]new sheet'!$A$1:$IV$65536,2,0),0)</f>
        <v>0</v>
      </c>
    </row>
    <row r="913" spans="1:8" ht="24" customHeight="1">
      <c r="A913" s="7"/>
      <c r="B913" s="7">
        <v>821</v>
      </c>
      <c r="C913" s="8" t="s">
        <v>738</v>
      </c>
      <c r="D913" s="8" t="s">
        <v>1934</v>
      </c>
      <c r="E913" s="2">
        <f>IFERROR(VLOOKUP(B913,'[1]new sheet'!$A$1:$IV$65536,5,FALSE),0)</f>
        <v>0</v>
      </c>
      <c r="F913" s="3">
        <f>IFERROR(VLOOKUP(B913,'[1]new sheet'!$A$1:$IV$65536,4,FALSE),0)</f>
        <v>0</v>
      </c>
      <c r="G913" s="4">
        <f>IFERROR(VLOOKUP(B913,'[2]new sheet'!$A$1:$IV$65536,2,0),0)</f>
        <v>0</v>
      </c>
      <c r="H913" s="5">
        <f>IFERROR(VLOOKUP(B913,'[3]new sheet'!$A$1:$IV$65536,2,0),0)</f>
        <v>0</v>
      </c>
    </row>
    <row r="914" spans="1:8" ht="24" customHeight="1">
      <c r="A914" s="7"/>
      <c r="B914" s="7">
        <v>14</v>
      </c>
      <c r="C914" s="8" t="s">
        <v>739</v>
      </c>
      <c r="D914" s="8" t="s">
        <v>1934</v>
      </c>
      <c r="E914" s="2">
        <f>IFERROR(VLOOKUP(B914,'[1]new sheet'!$A$1:$IV$65536,5,FALSE),0)</f>
        <v>0</v>
      </c>
      <c r="F914" s="3">
        <f>IFERROR(VLOOKUP(B914,'[1]new sheet'!$A$1:$IV$65536,4,FALSE),0)</f>
        <v>0</v>
      </c>
      <c r="G914" s="4">
        <f>IFERROR(VLOOKUP(B914,'[2]new sheet'!$A$1:$IV$65536,2,0),0)</f>
        <v>0</v>
      </c>
      <c r="H914" s="5">
        <f>IFERROR(VLOOKUP(B914,'[3]new sheet'!$A$1:$IV$65536,2,0),0)</f>
        <v>0</v>
      </c>
    </row>
    <row r="915" spans="1:8" ht="24" customHeight="1">
      <c r="A915" s="7"/>
      <c r="B915" s="7">
        <v>13</v>
      </c>
      <c r="C915" s="8" t="s">
        <v>740</v>
      </c>
      <c r="D915" s="8" t="s">
        <v>1934</v>
      </c>
      <c r="E915" s="2">
        <f>IFERROR(VLOOKUP(B915,'[1]new sheet'!$A$1:$IV$65536,5,FALSE),0)</f>
        <v>0</v>
      </c>
      <c r="F915" s="3">
        <f>IFERROR(VLOOKUP(B915,'[1]new sheet'!$A$1:$IV$65536,4,FALSE),0)</f>
        <v>0</v>
      </c>
      <c r="G915" s="4">
        <f>IFERROR(VLOOKUP(B915,'[2]new sheet'!$A$1:$IV$65536,2,0),0)</f>
        <v>0</v>
      </c>
      <c r="H915" s="5">
        <f>IFERROR(VLOOKUP(B915,'[3]new sheet'!$A$1:$IV$65536,2,0),0)</f>
        <v>0</v>
      </c>
    </row>
    <row r="916" spans="1:8" ht="24" customHeight="1">
      <c r="A916" s="7">
        <v>15010004</v>
      </c>
      <c r="B916" s="7">
        <v>384</v>
      </c>
      <c r="C916" s="8" t="s">
        <v>741</v>
      </c>
      <c r="D916" s="8" t="s">
        <v>1934</v>
      </c>
      <c r="E916" s="2">
        <f>IFERROR(VLOOKUP(B916,'[1]new sheet'!$A$1:$IV$65536,5,FALSE),0)</f>
        <v>497</v>
      </c>
      <c r="F916" s="3">
        <f>IFERROR(VLOOKUP(B916,'[1]new sheet'!$A$1:$IV$65536,4,FALSE),0)</f>
        <v>3</v>
      </c>
      <c r="G916" s="4">
        <f>IFERROR(VLOOKUP(B916,'[2]new sheet'!$A$1:$IV$65536,2,0),0)</f>
        <v>444</v>
      </c>
      <c r="H916" s="5">
        <f>IFERROR(VLOOKUP(B916,'[3]new sheet'!$A$1:$IV$65536,2,0),0)</f>
        <v>188</v>
      </c>
    </row>
    <row r="917" spans="1:8" ht="24" customHeight="1">
      <c r="A917" s="7">
        <v>12409</v>
      </c>
      <c r="B917" s="7">
        <v>771</v>
      </c>
      <c r="C917" s="8" t="s">
        <v>742</v>
      </c>
      <c r="D917" s="8" t="s">
        <v>1934</v>
      </c>
      <c r="E917" s="2">
        <f>IFERROR(VLOOKUP(B917,'[1]new sheet'!$A$1:$IV$65536,5,FALSE),0)</f>
        <v>122</v>
      </c>
      <c r="F917" s="3">
        <f>IFERROR(VLOOKUP(B917,'[1]new sheet'!$A$1:$IV$65536,4,FALSE),0)</f>
        <v>2</v>
      </c>
      <c r="G917" s="4">
        <f>IFERROR(VLOOKUP(B917,'[2]new sheet'!$A$1:$IV$65536,2,0),0)</f>
        <v>169</v>
      </c>
      <c r="H917" s="5">
        <f>IFERROR(VLOOKUP(B917,'[3]new sheet'!$A$1:$IV$65536,2,0),0)</f>
        <v>33</v>
      </c>
    </row>
    <row r="918" spans="1:8" ht="24" customHeight="1">
      <c r="A918" s="7"/>
      <c r="B918" s="7">
        <v>1970</v>
      </c>
      <c r="C918" s="8" t="s">
        <v>743</v>
      </c>
      <c r="D918" s="8" t="s">
        <v>1934</v>
      </c>
      <c r="E918" s="2">
        <f>IFERROR(VLOOKUP(B918,'[1]new sheet'!$A$1:$IV$65536,5,FALSE),0)</f>
        <v>0</v>
      </c>
      <c r="F918" s="3">
        <f>IFERROR(VLOOKUP(B918,'[1]new sheet'!$A$1:$IV$65536,4,FALSE),0)</f>
        <v>0</v>
      </c>
      <c r="G918" s="4">
        <f>IFERROR(VLOOKUP(B918,'[2]new sheet'!$A$1:$IV$65536,2,0),0)</f>
        <v>0</v>
      </c>
      <c r="H918" s="5">
        <f>IFERROR(VLOOKUP(B918,'[3]new sheet'!$A$1:$IV$65536,2,0),0)</f>
        <v>0</v>
      </c>
    </row>
    <row r="919" spans="1:8" ht="24" customHeight="1">
      <c r="A919" s="7">
        <v>44030</v>
      </c>
      <c r="B919" s="7">
        <v>603</v>
      </c>
      <c r="C919" s="8" t="s">
        <v>744</v>
      </c>
      <c r="D919" s="8" t="s">
        <v>1937</v>
      </c>
      <c r="E919" s="2">
        <f>IFERROR(VLOOKUP(B919,'[1]new sheet'!$A$1:$IV$65536,5,FALSE),0)</f>
        <v>147</v>
      </c>
      <c r="F919" s="3">
        <f>IFERROR(VLOOKUP(B919,'[1]new sheet'!$A$1:$IV$65536,4,FALSE),0)</f>
        <v>1</v>
      </c>
      <c r="G919" s="4">
        <f>IFERROR(VLOOKUP(B919,'[2]new sheet'!$A$1:$IV$65536,2,0),0)</f>
        <v>180</v>
      </c>
      <c r="H919" s="5">
        <f>IFERROR(VLOOKUP(B919,'[3]new sheet'!$A$1:$IV$65536,2,0),0)</f>
        <v>51</v>
      </c>
    </row>
    <row r="920" spans="1:8" ht="24" customHeight="1">
      <c r="A920" s="7">
        <v>999122</v>
      </c>
      <c r="B920" s="7">
        <v>288</v>
      </c>
      <c r="C920" s="8" t="s">
        <v>745</v>
      </c>
      <c r="D920" s="8" t="s">
        <v>1934</v>
      </c>
      <c r="E920" s="2">
        <f>IFERROR(VLOOKUP(B920,'[1]new sheet'!$A$1:$IV$65536,5,FALSE),0)</f>
        <v>0</v>
      </c>
      <c r="F920" s="3">
        <f>IFERROR(VLOOKUP(B920,'[1]new sheet'!$A$1:$IV$65536,4,FALSE),0)</f>
        <v>2</v>
      </c>
      <c r="G920" s="4">
        <f>IFERROR(VLOOKUP(B920,'[2]new sheet'!$A$1:$IV$65536,2,0),0)</f>
        <v>3</v>
      </c>
      <c r="H920" s="5">
        <f>IFERROR(VLOOKUP(B920,'[3]new sheet'!$A$1:$IV$65536,2,0),0)</f>
        <v>0</v>
      </c>
    </row>
    <row r="921" spans="1:8" ht="24" customHeight="1">
      <c r="A921" s="7">
        <v>201809</v>
      </c>
      <c r="B921" s="7">
        <v>822</v>
      </c>
      <c r="C921" s="8" t="s">
        <v>746</v>
      </c>
      <c r="D921" s="8" t="s">
        <v>1934</v>
      </c>
      <c r="E921" s="2">
        <f>IFERROR(VLOOKUP(B921,'[1]new sheet'!$A$1:$IV$65536,5,FALSE),0)</f>
        <v>2</v>
      </c>
      <c r="F921" s="3">
        <f>IFERROR(VLOOKUP(B921,'[1]new sheet'!$A$1:$IV$65536,4,FALSE),0)</f>
        <v>0</v>
      </c>
      <c r="G921" s="4">
        <f>IFERROR(VLOOKUP(B921,'[2]new sheet'!$A$1:$IV$65536,2,0),0)</f>
        <v>2</v>
      </c>
      <c r="H921" s="5">
        <f>IFERROR(VLOOKUP(B921,'[3]new sheet'!$A$1:$IV$65536,2,0),0)</f>
        <v>0</v>
      </c>
    </row>
    <row r="922" spans="1:8" ht="24" customHeight="1">
      <c r="A922" s="7">
        <v>201829</v>
      </c>
      <c r="B922" s="7">
        <v>376</v>
      </c>
      <c r="C922" s="8" t="s">
        <v>747</v>
      </c>
      <c r="D922" s="8" t="s">
        <v>1934</v>
      </c>
      <c r="E922" s="2">
        <f>IFERROR(VLOOKUP(B922,'[1]new sheet'!$A$1:$IV$65536,5,FALSE),0)</f>
        <v>2</v>
      </c>
      <c r="F922" s="3">
        <f>IFERROR(VLOOKUP(B922,'[1]new sheet'!$A$1:$IV$65536,4,FALSE),0)</f>
        <v>0</v>
      </c>
      <c r="G922" s="4">
        <f>IFERROR(VLOOKUP(B922,'[2]new sheet'!$A$1:$IV$65536,2,0),0)</f>
        <v>0</v>
      </c>
      <c r="H922" s="5">
        <f>IFERROR(VLOOKUP(B922,'[3]new sheet'!$A$1:$IV$65536,2,0),0)</f>
        <v>0</v>
      </c>
    </row>
    <row r="923" spans="1:8" ht="24" customHeight="1">
      <c r="A923" s="7">
        <v>996387</v>
      </c>
      <c r="B923" s="7">
        <v>604</v>
      </c>
      <c r="C923" s="8" t="s">
        <v>748</v>
      </c>
      <c r="D923" s="8" t="s">
        <v>1934</v>
      </c>
      <c r="E923" s="2">
        <f>IFERROR(VLOOKUP(B923,'[1]new sheet'!$A$1:$IV$65536,5,FALSE),0)</f>
        <v>0</v>
      </c>
      <c r="F923" s="3">
        <f>IFERROR(VLOOKUP(B923,'[1]new sheet'!$A$1:$IV$65536,4,FALSE),0)</f>
        <v>0</v>
      </c>
      <c r="G923" s="4">
        <f>IFERROR(VLOOKUP(B923,'[2]new sheet'!$A$1:$IV$65536,2,0),0)</f>
        <v>0</v>
      </c>
      <c r="H923" s="5">
        <f>IFERROR(VLOOKUP(B923,'[3]new sheet'!$A$1:$IV$65536,2,0),0)</f>
        <v>0</v>
      </c>
    </row>
    <row r="924" spans="1:8" ht="24" customHeight="1">
      <c r="A924" s="7">
        <v>990289</v>
      </c>
      <c r="B924" s="7">
        <v>3243</v>
      </c>
      <c r="C924" s="8" t="s">
        <v>749</v>
      </c>
      <c r="D924" s="8" t="s">
        <v>1934</v>
      </c>
      <c r="E924" s="2">
        <f>IFERROR(VLOOKUP(B924,'[1]new sheet'!$A$1:$IV$65536,5,FALSE),0)</f>
        <v>166</v>
      </c>
      <c r="F924" s="3">
        <f>IFERROR(VLOOKUP(B924,'[1]new sheet'!$A$1:$IV$65536,4,FALSE),0)</f>
        <v>2</v>
      </c>
      <c r="G924" s="4">
        <f>IFERROR(VLOOKUP(B924,'[2]new sheet'!$A$1:$IV$65536,2,0),0)</f>
        <v>118</v>
      </c>
      <c r="H924" s="5">
        <f>IFERROR(VLOOKUP(B924,'[3]new sheet'!$A$1:$IV$65536,2,0),0)</f>
        <v>62</v>
      </c>
    </row>
    <row r="925" spans="1:8" ht="24" customHeight="1">
      <c r="A925" s="7">
        <v>9000010446</v>
      </c>
      <c r="B925" s="7">
        <v>4117</v>
      </c>
      <c r="C925" s="8" t="s">
        <v>1741</v>
      </c>
      <c r="D925" s="8" t="s">
        <v>1934</v>
      </c>
      <c r="E925" s="2">
        <f>IFERROR(VLOOKUP(B925,'[1]new sheet'!$A$1:$IV$65536,5,FALSE),0)</f>
        <v>1</v>
      </c>
      <c r="F925" s="3">
        <f>IFERROR(VLOOKUP(B925,'[1]new sheet'!$A$1:$IV$65536,4,FALSE),0)</f>
        <v>0</v>
      </c>
      <c r="G925" s="4">
        <f>IFERROR(VLOOKUP(B925,'[2]new sheet'!$A$1:$IV$65536,2,0),0)</f>
        <v>0</v>
      </c>
      <c r="H925" s="5">
        <f>IFERROR(VLOOKUP(B925,'[3]new sheet'!$A$1:$IV$65536,2,0),0)</f>
        <v>0</v>
      </c>
    </row>
    <row r="926" spans="1:8" ht="24" customHeight="1">
      <c r="A926" s="7">
        <v>990448</v>
      </c>
      <c r="B926" s="7">
        <v>3245</v>
      </c>
      <c r="C926" s="8" t="s">
        <v>1559</v>
      </c>
      <c r="D926" s="8" t="s">
        <v>1934</v>
      </c>
      <c r="E926" s="2">
        <f>IFERROR(VLOOKUP(B926,'[1]new sheet'!$A$1:$IV$65536,5,FALSE),0)</f>
        <v>20</v>
      </c>
      <c r="F926" s="3">
        <f>IFERROR(VLOOKUP(B926,'[1]new sheet'!$A$1:$IV$65536,4,FALSE),0)</f>
        <v>0</v>
      </c>
      <c r="G926" s="4">
        <f>IFERROR(VLOOKUP(B926,'[2]new sheet'!$A$1:$IV$65536,2,0),0)</f>
        <v>18</v>
      </c>
      <c r="H926" s="5">
        <f>IFERROR(VLOOKUP(B926,'[3]new sheet'!$A$1:$IV$65536,2,0),0)</f>
        <v>7</v>
      </c>
    </row>
    <row r="927" spans="1:8" ht="24" customHeight="1">
      <c r="A927" s="7">
        <v>96</v>
      </c>
      <c r="B927" s="7">
        <v>1481</v>
      </c>
      <c r="C927" s="8" t="s">
        <v>750</v>
      </c>
      <c r="D927" s="8" t="s">
        <v>1934</v>
      </c>
      <c r="E927" s="2">
        <f>IFERROR(VLOOKUP(B927,'[1]new sheet'!$A$1:$IV$65536,5,FALSE),0)</f>
        <v>0</v>
      </c>
      <c r="F927" s="3">
        <f>IFERROR(VLOOKUP(B927,'[1]new sheet'!$A$1:$IV$65536,4,FALSE),0)</f>
        <v>0</v>
      </c>
      <c r="G927" s="4">
        <f>IFERROR(VLOOKUP(B927,'[2]new sheet'!$A$1:$IV$65536,2,0),0)</f>
        <v>0</v>
      </c>
      <c r="H927" s="5">
        <f>IFERROR(VLOOKUP(B927,'[3]new sheet'!$A$1:$IV$65536,2,0),0)</f>
        <v>0</v>
      </c>
    </row>
    <row r="928" spans="1:8" ht="24" customHeight="1">
      <c r="A928" s="7">
        <v>952020</v>
      </c>
      <c r="B928" s="7">
        <v>2480</v>
      </c>
      <c r="C928" s="8" t="s">
        <v>751</v>
      </c>
      <c r="D928" s="8" t="s">
        <v>1937</v>
      </c>
      <c r="E928" s="2">
        <f>IFERROR(VLOOKUP(B928,'[1]new sheet'!$A$1:$IV$65536,5,FALSE),0)</f>
        <v>0</v>
      </c>
      <c r="F928" s="3">
        <f>IFERROR(VLOOKUP(B928,'[1]new sheet'!$A$1:$IV$65536,4,FALSE),0)</f>
        <v>0</v>
      </c>
      <c r="G928" s="4">
        <f>IFERROR(VLOOKUP(B928,'[2]new sheet'!$A$1:$IV$65536,2,0),0)</f>
        <v>0</v>
      </c>
      <c r="H928" s="5">
        <f>IFERROR(VLOOKUP(B928,'[3]new sheet'!$A$1:$IV$65536,2,0),0)</f>
        <v>0</v>
      </c>
    </row>
    <row r="929" spans="1:8" ht="24" customHeight="1">
      <c r="A929" s="7">
        <v>56393</v>
      </c>
      <c r="B929" s="7">
        <v>1231</v>
      </c>
      <c r="C929" s="8" t="s">
        <v>752</v>
      </c>
      <c r="D929" s="8" t="s">
        <v>1934</v>
      </c>
      <c r="E929" s="2">
        <f>IFERROR(VLOOKUP(B929,'[1]new sheet'!$A$1:$IV$65536,5,FALSE),0)</f>
        <v>0</v>
      </c>
      <c r="F929" s="3">
        <f>IFERROR(VLOOKUP(B929,'[1]new sheet'!$A$1:$IV$65536,4,FALSE),0)</f>
        <v>0</v>
      </c>
      <c r="G929" s="4">
        <f>IFERROR(VLOOKUP(B929,'[2]new sheet'!$A$1:$IV$65536,2,0),0)</f>
        <v>0</v>
      </c>
      <c r="H929" s="5">
        <f>IFERROR(VLOOKUP(B929,'[3]new sheet'!$A$1:$IV$65536,2,0),0)</f>
        <v>0</v>
      </c>
    </row>
    <row r="930" spans="1:8" ht="24" customHeight="1">
      <c r="A930" s="7">
        <v>56388</v>
      </c>
      <c r="B930" s="7">
        <v>605</v>
      </c>
      <c r="C930" s="8" t="s">
        <v>753</v>
      </c>
      <c r="D930" s="8" t="s">
        <v>1934</v>
      </c>
      <c r="E930" s="2">
        <f>IFERROR(VLOOKUP(B930,'[1]new sheet'!$A$1:$IV$65536,5,FALSE),0)</f>
        <v>0</v>
      </c>
      <c r="F930" s="3">
        <f>IFERROR(VLOOKUP(B930,'[1]new sheet'!$A$1:$IV$65536,4,FALSE),0)</f>
        <v>0</v>
      </c>
      <c r="G930" s="4">
        <f>IFERROR(VLOOKUP(B930,'[2]new sheet'!$A$1:$IV$65536,2,0),0)</f>
        <v>664</v>
      </c>
      <c r="H930" s="5">
        <f>IFERROR(VLOOKUP(B930,'[3]new sheet'!$A$1:$IV$65536,2,0),0)</f>
        <v>0</v>
      </c>
    </row>
    <row r="931" spans="1:8" ht="24" customHeight="1">
      <c r="A931" s="7">
        <v>988686</v>
      </c>
      <c r="B931" s="7">
        <v>4191</v>
      </c>
      <c r="C931" s="8" t="s">
        <v>1838</v>
      </c>
      <c r="D931" s="8" t="s">
        <v>1934</v>
      </c>
      <c r="E931" s="2">
        <f>IFERROR(VLOOKUP(B931,'[1]new sheet'!$A$1:$IV$65536,5,FALSE),0)</f>
        <v>1559</v>
      </c>
      <c r="F931" s="3">
        <f>IFERROR(VLOOKUP(B931,'[1]new sheet'!$A$1:$IV$65536,4,FALSE),0)</f>
        <v>7</v>
      </c>
      <c r="G931" s="4">
        <f>IFERROR(VLOOKUP(B931,'[2]new sheet'!$A$1:$IV$65536,2,0),0)</f>
        <v>242</v>
      </c>
      <c r="H931" s="5">
        <f>IFERROR(VLOOKUP(B931,'[3]new sheet'!$A$1:$IV$65536,2,0),0)</f>
        <v>321</v>
      </c>
    </row>
    <row r="932" spans="1:8" ht="24" customHeight="1">
      <c r="A932" s="7">
        <v>952020</v>
      </c>
      <c r="B932" s="7">
        <v>1419</v>
      </c>
      <c r="C932" s="8" t="s">
        <v>754</v>
      </c>
      <c r="D932" s="8" t="s">
        <v>1937</v>
      </c>
      <c r="E932" s="2">
        <f>IFERROR(VLOOKUP(B932,'[1]new sheet'!$A$1:$IV$65536,5,FALSE),0)</f>
        <v>34</v>
      </c>
      <c r="F932" s="3">
        <f>IFERROR(VLOOKUP(B932,'[1]new sheet'!$A$1:$IV$65536,4,FALSE),0)</f>
        <v>1</v>
      </c>
      <c r="G932" s="4">
        <f>IFERROR(VLOOKUP(B932,'[2]new sheet'!$A$1:$IV$65536,2,0),0)</f>
        <v>52</v>
      </c>
      <c r="H932" s="5">
        <f>IFERROR(VLOOKUP(B932,'[3]new sheet'!$A$1:$IV$65536,2,0),0)</f>
        <v>17</v>
      </c>
    </row>
    <row r="933" spans="1:8" ht="24" customHeight="1">
      <c r="A933" s="7">
        <v>227089</v>
      </c>
      <c r="B933" s="7">
        <v>606</v>
      </c>
      <c r="C933" s="8" t="s">
        <v>755</v>
      </c>
      <c r="D933" s="8" t="s">
        <v>1937</v>
      </c>
      <c r="E933" s="2">
        <f>IFERROR(VLOOKUP(B933,'[1]new sheet'!$A$1:$IV$65536,5,FALSE),0)</f>
        <v>0</v>
      </c>
      <c r="F933" s="3">
        <f>IFERROR(VLOOKUP(B933,'[1]new sheet'!$A$1:$IV$65536,4,FALSE),0)</f>
        <v>0</v>
      </c>
      <c r="G933" s="4">
        <f>IFERROR(VLOOKUP(B933,'[2]new sheet'!$A$1:$IV$65536,2,0),0)</f>
        <v>8</v>
      </c>
      <c r="H933" s="5">
        <f>IFERROR(VLOOKUP(B933,'[3]new sheet'!$A$1:$IV$65536,2,0),0)</f>
        <v>11</v>
      </c>
    </row>
    <row r="934" spans="1:8" ht="24" customHeight="1">
      <c r="A934" s="7">
        <v>85808</v>
      </c>
      <c r="B934" s="7">
        <v>1790</v>
      </c>
      <c r="C934" s="8" t="s">
        <v>756</v>
      </c>
      <c r="D934" s="8" t="s">
        <v>1934</v>
      </c>
      <c r="E934" s="2">
        <f>IFERROR(VLOOKUP(B934,'[1]new sheet'!$A$1:$IV$65536,5,FALSE),0)</f>
        <v>0</v>
      </c>
      <c r="F934" s="3">
        <f>IFERROR(VLOOKUP(B934,'[1]new sheet'!$A$1:$IV$65536,4,FALSE),0)</f>
        <v>0</v>
      </c>
      <c r="G934" s="4">
        <f>IFERROR(VLOOKUP(B934,'[2]new sheet'!$A$1:$IV$65536,2,0),0)</f>
        <v>0</v>
      </c>
      <c r="H934" s="5">
        <f>IFERROR(VLOOKUP(B934,'[3]new sheet'!$A$1:$IV$65536,2,0),0)</f>
        <v>0</v>
      </c>
    </row>
    <row r="935" spans="1:8" ht="24" customHeight="1">
      <c r="A935" s="7" t="s">
        <v>757</v>
      </c>
      <c r="B935" s="7">
        <v>393</v>
      </c>
      <c r="C935" s="8" t="s">
        <v>758</v>
      </c>
      <c r="D935" s="8" t="s">
        <v>1937</v>
      </c>
      <c r="E935" s="2">
        <f>IFERROR(VLOOKUP(B935,'[1]new sheet'!$A$1:$IV$65536,5,FALSE),0)</f>
        <v>0</v>
      </c>
      <c r="F935" s="3">
        <f>IFERROR(VLOOKUP(B935,'[1]new sheet'!$A$1:$IV$65536,4,FALSE),0)</f>
        <v>0</v>
      </c>
      <c r="G935" s="4">
        <f>IFERROR(VLOOKUP(B935,'[2]new sheet'!$A$1:$IV$65536,2,0),0)</f>
        <v>0</v>
      </c>
      <c r="H935" s="5">
        <f>IFERROR(VLOOKUP(B935,'[3]new sheet'!$A$1:$IV$65536,2,0),0)</f>
        <v>0</v>
      </c>
    </row>
    <row r="936" spans="1:8" ht="24" customHeight="1">
      <c r="A936" s="7">
        <v>578258</v>
      </c>
      <c r="B936" s="7">
        <v>887</v>
      </c>
      <c r="C936" s="8" t="s">
        <v>759</v>
      </c>
      <c r="D936" s="8" t="s">
        <v>1937</v>
      </c>
      <c r="E936" s="2">
        <f>IFERROR(VLOOKUP(B936,'[1]new sheet'!$A$1:$IV$65536,5,FALSE),0)</f>
        <v>2733</v>
      </c>
      <c r="F936" s="3">
        <f>IFERROR(VLOOKUP(B936,'[1]new sheet'!$A$1:$IV$65536,4,FALSE),0)</f>
        <v>9</v>
      </c>
      <c r="G936" s="4">
        <f>IFERROR(VLOOKUP(B936,'[2]new sheet'!$A$1:$IV$65536,2,0),0)</f>
        <v>2290</v>
      </c>
      <c r="H936" s="5">
        <f>IFERROR(VLOOKUP(B936,'[3]new sheet'!$A$1:$IV$65536,2,0),0)</f>
        <v>450</v>
      </c>
    </row>
    <row r="937" spans="1:8" ht="24" customHeight="1">
      <c r="A937" s="7">
        <v>1000122</v>
      </c>
      <c r="B937" s="7">
        <v>229</v>
      </c>
      <c r="C937" s="8" t="s">
        <v>760</v>
      </c>
      <c r="D937" s="8" t="s">
        <v>1934</v>
      </c>
      <c r="E937" s="2">
        <f>IFERROR(VLOOKUP(B937,'[1]new sheet'!$A$1:$IV$65536,5,FALSE),0)</f>
        <v>0</v>
      </c>
      <c r="F937" s="3">
        <f>IFERROR(VLOOKUP(B937,'[1]new sheet'!$A$1:$IV$65536,4,FALSE),0)</f>
        <v>0</v>
      </c>
      <c r="G937" s="4">
        <f>IFERROR(VLOOKUP(B937,'[2]new sheet'!$A$1:$IV$65536,2,0),0)</f>
        <v>320</v>
      </c>
      <c r="H937" s="5">
        <f>IFERROR(VLOOKUP(B937,'[3]new sheet'!$A$1:$IV$65536,2,0),0)</f>
        <v>5</v>
      </c>
    </row>
    <row r="938" spans="1:8" ht="24" customHeight="1">
      <c r="A938" s="7">
        <v>1000121</v>
      </c>
      <c r="B938" s="7">
        <v>228</v>
      </c>
      <c r="C938" s="8" t="s">
        <v>761</v>
      </c>
      <c r="D938" s="8" t="s">
        <v>1937</v>
      </c>
      <c r="E938" s="2">
        <f>IFERROR(VLOOKUP(B938,'[1]new sheet'!$A$1:$IV$65536,5,FALSE),0)</f>
        <v>0</v>
      </c>
      <c r="F938" s="3">
        <f>IFERROR(VLOOKUP(B938,'[1]new sheet'!$A$1:$IV$65536,4,FALSE),0)</f>
        <v>0</v>
      </c>
      <c r="G938" s="4">
        <f>IFERROR(VLOOKUP(B938,'[2]new sheet'!$A$1:$IV$65536,2,0),0)</f>
        <v>0</v>
      </c>
      <c r="H938" s="5">
        <f>IFERROR(VLOOKUP(B938,'[3]new sheet'!$A$1:$IV$65536,2,0),0)</f>
        <v>0</v>
      </c>
    </row>
    <row r="939" spans="1:8" ht="24" customHeight="1">
      <c r="A939" s="7">
        <v>242658</v>
      </c>
      <c r="B939" s="7">
        <v>609</v>
      </c>
      <c r="C939" s="8" t="s">
        <v>762</v>
      </c>
      <c r="D939" s="8" t="s">
        <v>1934</v>
      </c>
      <c r="E939" s="2">
        <f>IFERROR(VLOOKUP(B939,'[1]new sheet'!$A$1:$IV$65536,5,FALSE),0)</f>
        <v>2</v>
      </c>
      <c r="F939" s="3">
        <f>IFERROR(VLOOKUP(B939,'[1]new sheet'!$A$1:$IV$65536,4,FALSE),0)</f>
        <v>2</v>
      </c>
      <c r="G939" s="4">
        <f>IFERROR(VLOOKUP(B939,'[2]new sheet'!$A$1:$IV$65536,2,0),0)</f>
        <v>5</v>
      </c>
      <c r="H939" s="5">
        <f>IFERROR(VLOOKUP(B939,'[3]new sheet'!$A$1:$IV$65536,2,0),0)</f>
        <v>0</v>
      </c>
    </row>
    <row r="940" spans="1:8" ht="24" customHeight="1">
      <c r="A940" s="7" t="s">
        <v>763</v>
      </c>
      <c r="B940" s="7">
        <v>230</v>
      </c>
      <c r="C940" s="8" t="s">
        <v>764</v>
      </c>
      <c r="D940" s="8" t="s">
        <v>1937</v>
      </c>
      <c r="E940" s="2">
        <f>IFERROR(VLOOKUP(B940,'[1]new sheet'!$A$1:$IV$65536,5,FALSE),0)</f>
        <v>934</v>
      </c>
      <c r="F940" s="3">
        <f>IFERROR(VLOOKUP(B940,'[1]new sheet'!$A$1:$IV$65536,4,FALSE),0)</f>
        <v>11</v>
      </c>
      <c r="G940" s="4">
        <f>IFERROR(VLOOKUP(B940,'[2]new sheet'!$A$1:$IV$65536,2,0),0)</f>
        <v>977</v>
      </c>
      <c r="H940" s="5">
        <f>IFERROR(VLOOKUP(B940,'[3]new sheet'!$A$1:$IV$65536,2,0),0)</f>
        <v>437</v>
      </c>
    </row>
    <row r="941" spans="1:8" ht="24" customHeight="1">
      <c r="A941" s="7"/>
      <c r="B941" s="7">
        <v>1066</v>
      </c>
      <c r="C941" s="8" t="s">
        <v>765</v>
      </c>
      <c r="D941" s="8" t="s">
        <v>1937</v>
      </c>
      <c r="E941" s="2">
        <f>IFERROR(VLOOKUP(B941,'[1]new sheet'!$A$1:$IV$65536,5,FALSE),0)</f>
        <v>0</v>
      </c>
      <c r="F941" s="3">
        <f>IFERROR(VLOOKUP(B941,'[1]new sheet'!$A$1:$IV$65536,4,FALSE),0)</f>
        <v>0</v>
      </c>
      <c r="G941" s="4">
        <f>IFERROR(VLOOKUP(B941,'[2]new sheet'!$A$1:$IV$65536,2,0),0)</f>
        <v>0</v>
      </c>
      <c r="H941" s="5">
        <f>IFERROR(VLOOKUP(B941,'[3]new sheet'!$A$1:$IV$65536,2,0),0)</f>
        <v>0</v>
      </c>
    </row>
    <row r="942" spans="1:8" ht="24" customHeight="1">
      <c r="A942" s="7">
        <v>39529</v>
      </c>
      <c r="B942" s="7">
        <v>1418</v>
      </c>
      <c r="C942" s="8" t="s">
        <v>766</v>
      </c>
      <c r="D942" s="8" t="s">
        <v>1934</v>
      </c>
      <c r="E942" s="2">
        <f>IFERROR(VLOOKUP(B942,'[1]new sheet'!$A$1:$IV$65536,5,FALSE),0)</f>
        <v>0</v>
      </c>
      <c r="F942" s="3">
        <f>IFERROR(VLOOKUP(B942,'[1]new sheet'!$A$1:$IV$65536,4,FALSE),0)</f>
        <v>0</v>
      </c>
      <c r="G942" s="4">
        <f>IFERROR(VLOOKUP(B942,'[2]new sheet'!$A$1:$IV$65536,2,0),0)</f>
        <v>0</v>
      </c>
      <c r="H942" s="5">
        <f>IFERROR(VLOOKUP(B942,'[3]new sheet'!$A$1:$IV$65536,2,0),0)</f>
        <v>0</v>
      </c>
    </row>
    <row r="943" spans="1:8" ht="24" customHeight="1">
      <c r="A943" s="7">
        <v>43108</v>
      </c>
      <c r="B943" s="7">
        <v>610</v>
      </c>
      <c r="C943" s="8" t="s">
        <v>767</v>
      </c>
      <c r="D943" s="8" t="s">
        <v>1937</v>
      </c>
      <c r="E943" s="2">
        <f>IFERROR(VLOOKUP(B943,'[1]new sheet'!$A$1:$IV$65536,5,FALSE),0)</f>
        <v>792</v>
      </c>
      <c r="F943" s="3">
        <f>IFERROR(VLOOKUP(B943,'[1]new sheet'!$A$1:$IV$65536,4,FALSE),0)</f>
        <v>8</v>
      </c>
      <c r="G943" s="4">
        <f>IFERROR(VLOOKUP(B943,'[2]new sheet'!$A$1:$IV$65536,2,0),0)</f>
        <v>1640</v>
      </c>
      <c r="H943" s="5">
        <f>IFERROR(VLOOKUP(B943,'[3]new sheet'!$A$1:$IV$65536,2,0),0)</f>
        <v>750</v>
      </c>
    </row>
    <row r="944" spans="1:8" ht="24" customHeight="1">
      <c r="A944" s="7">
        <v>235269</v>
      </c>
      <c r="B944" s="7">
        <v>1230</v>
      </c>
      <c r="C944" s="8" t="s">
        <v>768</v>
      </c>
      <c r="D944" s="8" t="s">
        <v>1934</v>
      </c>
      <c r="E944" s="2">
        <f>IFERROR(VLOOKUP(B944,'[1]new sheet'!$A$1:$IV$65536,5,FALSE),0)</f>
        <v>16</v>
      </c>
      <c r="F944" s="3">
        <f>IFERROR(VLOOKUP(B944,'[1]new sheet'!$A$1:$IV$65536,4,FALSE),0)</f>
        <v>0</v>
      </c>
      <c r="G944" s="4">
        <f>IFERROR(VLOOKUP(B944,'[2]new sheet'!$A$1:$IV$65536,2,0),0)</f>
        <v>21</v>
      </c>
      <c r="H944" s="5">
        <f>IFERROR(VLOOKUP(B944,'[3]new sheet'!$A$1:$IV$65536,2,0),0)</f>
        <v>1</v>
      </c>
    </row>
    <row r="945" spans="1:8" ht="24" customHeight="1">
      <c r="A945" s="7">
        <v>607011</v>
      </c>
      <c r="B945" s="7">
        <v>3076</v>
      </c>
      <c r="C945" s="8" t="s">
        <v>769</v>
      </c>
      <c r="D945" s="8" t="s">
        <v>1937</v>
      </c>
      <c r="E945" s="2">
        <f>IFERROR(VLOOKUP(B945,'[1]new sheet'!$A$1:$IV$65536,5,FALSE),0)</f>
        <v>0</v>
      </c>
      <c r="F945" s="3">
        <f>IFERROR(VLOOKUP(B945,'[1]new sheet'!$A$1:$IV$65536,4,FALSE),0)</f>
        <v>0</v>
      </c>
      <c r="G945" s="4">
        <f>IFERROR(VLOOKUP(B945,'[2]new sheet'!$A$1:$IV$65536,2,0),0)</f>
        <v>0</v>
      </c>
      <c r="H945" s="5">
        <f>IFERROR(VLOOKUP(B945,'[3]new sheet'!$A$1:$IV$65536,2,0),0)</f>
        <v>0</v>
      </c>
    </row>
    <row r="946" spans="1:8" ht="24" customHeight="1">
      <c r="A946" s="7">
        <v>27158</v>
      </c>
      <c r="B946" s="7">
        <v>611</v>
      </c>
      <c r="C946" s="8" t="s">
        <v>770</v>
      </c>
      <c r="D946" s="8" t="s">
        <v>1934</v>
      </c>
      <c r="E946" s="2">
        <f>IFERROR(VLOOKUP(B946,'[1]new sheet'!$A$1:$IV$65536,5,FALSE),0)</f>
        <v>28</v>
      </c>
      <c r="F946" s="3">
        <f>IFERROR(VLOOKUP(B946,'[1]new sheet'!$A$1:$IV$65536,4,FALSE),0)</f>
        <v>0</v>
      </c>
      <c r="G946" s="4">
        <f>IFERROR(VLOOKUP(B946,'[2]new sheet'!$A$1:$IV$65536,2,0),0)</f>
        <v>29</v>
      </c>
      <c r="H946" s="5">
        <f>IFERROR(VLOOKUP(B946,'[3]new sheet'!$A$1:$IV$65536,2,0),0)</f>
        <v>3</v>
      </c>
    </row>
    <row r="947" spans="1:8" ht="24" customHeight="1">
      <c r="A947" s="7">
        <v>5223</v>
      </c>
      <c r="B947" s="7">
        <v>823</v>
      </c>
      <c r="C947" s="8" t="s">
        <v>771</v>
      </c>
      <c r="D947" s="8" t="s">
        <v>1937</v>
      </c>
      <c r="E947" s="2">
        <f>IFERROR(VLOOKUP(B947,'[1]new sheet'!$A$1:$IV$65536,5,FALSE),0)</f>
        <v>99</v>
      </c>
      <c r="F947" s="3">
        <f>IFERROR(VLOOKUP(B947,'[1]new sheet'!$A$1:$IV$65536,4,FALSE),0)</f>
        <v>5</v>
      </c>
      <c r="G947" s="4">
        <f>IFERROR(VLOOKUP(B947,'[2]new sheet'!$A$1:$IV$65536,2,0),0)</f>
        <v>124</v>
      </c>
      <c r="H947" s="5">
        <f>IFERROR(VLOOKUP(B947,'[3]new sheet'!$A$1:$IV$65536,2,0),0)</f>
        <v>48</v>
      </c>
    </row>
    <row r="948" spans="1:8" ht="24" customHeight="1">
      <c r="A948" s="7">
        <v>2</v>
      </c>
      <c r="B948" s="7">
        <v>231</v>
      </c>
      <c r="C948" s="8" t="s">
        <v>772</v>
      </c>
      <c r="D948" s="8" t="s">
        <v>1937</v>
      </c>
      <c r="E948" s="2">
        <f>IFERROR(VLOOKUP(B948,'[1]new sheet'!$A$1:$IV$65536,5,FALSE),0)</f>
        <v>411</v>
      </c>
      <c r="F948" s="3">
        <f>IFERROR(VLOOKUP(B948,'[1]new sheet'!$A$1:$IV$65536,4,FALSE),0)</f>
        <v>102</v>
      </c>
      <c r="G948" s="4">
        <f>IFERROR(VLOOKUP(B948,'[2]new sheet'!$A$1:$IV$65536,2,0),0)</f>
        <v>4610</v>
      </c>
      <c r="H948" s="5">
        <f>IFERROR(VLOOKUP(B948,'[3]new sheet'!$A$1:$IV$65536,2,0),0)</f>
        <v>1491</v>
      </c>
    </row>
    <row r="949" spans="1:8" ht="24" customHeight="1">
      <c r="A949" s="7">
        <v>1642</v>
      </c>
      <c r="B949" s="7">
        <v>946</v>
      </c>
      <c r="C949" s="8" t="s">
        <v>773</v>
      </c>
      <c r="D949" s="8" t="s">
        <v>1937</v>
      </c>
      <c r="E949" s="2">
        <f>IFERROR(VLOOKUP(B949,'[1]new sheet'!$A$1:$IV$65536,5,FALSE),0)</f>
        <v>0</v>
      </c>
      <c r="F949" s="3">
        <f>IFERROR(VLOOKUP(B949,'[1]new sheet'!$A$1:$IV$65536,4,FALSE),0)</f>
        <v>0</v>
      </c>
      <c r="G949" s="4">
        <f>IFERROR(VLOOKUP(B949,'[2]new sheet'!$A$1:$IV$65536,2,0),0)</f>
        <v>0</v>
      </c>
      <c r="H949" s="5">
        <f>IFERROR(VLOOKUP(B949,'[3]new sheet'!$A$1:$IV$65536,2,0),0)</f>
        <v>0</v>
      </c>
    </row>
    <row r="950" spans="1:8" ht="24" customHeight="1">
      <c r="A950" s="7">
        <v>241999</v>
      </c>
      <c r="B950" s="7">
        <v>612</v>
      </c>
      <c r="C950" s="8" t="s">
        <v>774</v>
      </c>
      <c r="D950" s="8" t="s">
        <v>1934</v>
      </c>
      <c r="E950" s="2">
        <f>IFERROR(VLOOKUP(B950,'[1]new sheet'!$A$1:$IV$65536,5,FALSE),0)</f>
        <v>2</v>
      </c>
      <c r="F950" s="3">
        <f>IFERROR(VLOOKUP(B950,'[1]new sheet'!$A$1:$IV$65536,4,FALSE),0)</f>
        <v>0</v>
      </c>
      <c r="G950" s="4">
        <f>IFERROR(VLOOKUP(B950,'[2]new sheet'!$A$1:$IV$65536,2,0),0)</f>
        <v>1</v>
      </c>
      <c r="H950" s="5">
        <f>IFERROR(VLOOKUP(B950,'[3]new sheet'!$A$1:$IV$65536,2,0),0)</f>
        <v>2</v>
      </c>
    </row>
    <row r="951" spans="1:8" ht="24" customHeight="1">
      <c r="A951" s="7">
        <v>85811</v>
      </c>
      <c r="B951" s="7">
        <v>1840</v>
      </c>
      <c r="C951" s="8" t="s">
        <v>775</v>
      </c>
      <c r="D951" s="8" t="s">
        <v>1934</v>
      </c>
      <c r="E951" s="2">
        <f>IFERROR(VLOOKUP(B951,'[1]new sheet'!$A$1:$IV$65536,5,FALSE),0)</f>
        <v>0</v>
      </c>
      <c r="F951" s="3">
        <f>IFERROR(VLOOKUP(B951,'[1]new sheet'!$A$1:$IV$65536,4,FALSE),0)</f>
        <v>0</v>
      </c>
      <c r="G951" s="4">
        <f>IFERROR(VLOOKUP(B951,'[2]new sheet'!$A$1:$IV$65536,2,0),0)</f>
        <v>0</v>
      </c>
      <c r="H951" s="5">
        <f>IFERROR(VLOOKUP(B951,'[3]new sheet'!$A$1:$IV$65536,2,0),0)</f>
        <v>0</v>
      </c>
    </row>
    <row r="952" spans="1:8" ht="24" customHeight="1">
      <c r="A952" s="7">
        <v>50</v>
      </c>
      <c r="B952" s="7">
        <v>1482</v>
      </c>
      <c r="C952" s="8" t="s">
        <v>776</v>
      </c>
      <c r="D952" s="8" t="s">
        <v>1934</v>
      </c>
      <c r="E952" s="2">
        <f>IFERROR(VLOOKUP(B952,'[1]new sheet'!$A$1:$IV$65536,5,FALSE),0)</f>
        <v>0</v>
      </c>
      <c r="F952" s="3">
        <f>IFERROR(VLOOKUP(B952,'[1]new sheet'!$A$1:$IV$65536,4,FALSE),0)</f>
        <v>0</v>
      </c>
      <c r="G952" s="4">
        <f>IFERROR(VLOOKUP(B952,'[2]new sheet'!$A$1:$IV$65536,2,0),0)</f>
        <v>0</v>
      </c>
      <c r="H952" s="5">
        <f>IFERROR(VLOOKUP(B952,'[3]new sheet'!$A$1:$IV$65536,2,0),0)</f>
        <v>0</v>
      </c>
    </row>
    <row r="953" spans="1:8" ht="24" customHeight="1">
      <c r="A953" s="7">
        <v>104</v>
      </c>
      <c r="B953" s="7">
        <v>2173</v>
      </c>
      <c r="C953" s="8" t="s">
        <v>777</v>
      </c>
      <c r="D953" s="8" t="s">
        <v>1934</v>
      </c>
      <c r="E953" s="2">
        <f>IFERROR(VLOOKUP(B953,'[1]new sheet'!$A$1:$IV$65536,5,FALSE),0)</f>
        <v>0</v>
      </c>
      <c r="F953" s="3">
        <f>IFERROR(VLOOKUP(B953,'[1]new sheet'!$A$1:$IV$65536,4,FALSE),0)</f>
        <v>0</v>
      </c>
      <c r="G953" s="4">
        <f>IFERROR(VLOOKUP(B953,'[2]new sheet'!$A$1:$IV$65536,2,0),0)</f>
        <v>0</v>
      </c>
      <c r="H953" s="5">
        <f>IFERROR(VLOOKUP(B953,'[3]new sheet'!$A$1:$IV$65536,2,0),0)</f>
        <v>0</v>
      </c>
    </row>
    <row r="954" spans="1:8" ht="24" customHeight="1">
      <c r="A954" s="7">
        <v>87787</v>
      </c>
      <c r="B954" s="7">
        <v>4125</v>
      </c>
      <c r="C954" s="8" t="s">
        <v>1881</v>
      </c>
      <c r="D954" s="8" t="s">
        <v>1934</v>
      </c>
      <c r="E954" s="2">
        <f>IFERROR(VLOOKUP(B954,'[1]new sheet'!$A$1:$IV$65536,5,FALSE),0)</f>
        <v>38</v>
      </c>
      <c r="F954" s="3">
        <f>IFERROR(VLOOKUP(B954,'[1]new sheet'!$A$1:$IV$65536,4,FALSE),0)</f>
        <v>2</v>
      </c>
      <c r="G954" s="4">
        <f>IFERROR(VLOOKUP(B954,'[2]new sheet'!$A$1:$IV$65536,2,0),0)</f>
        <v>46</v>
      </c>
      <c r="H954" s="5">
        <f>IFERROR(VLOOKUP(B954,'[3]new sheet'!$A$1:$IV$65536,2,0),0)</f>
        <v>12</v>
      </c>
    </row>
    <row r="955" spans="1:8" ht="24" customHeight="1">
      <c r="A955" s="7">
        <v>1000102</v>
      </c>
      <c r="B955" s="7">
        <v>375</v>
      </c>
      <c r="C955" s="8" t="s">
        <v>778</v>
      </c>
      <c r="D955" s="8" t="s">
        <v>1934</v>
      </c>
      <c r="E955" s="2">
        <f>IFERROR(VLOOKUP(B955,'[1]new sheet'!$A$1:$IV$65536,5,FALSE),0)</f>
        <v>19</v>
      </c>
      <c r="F955" s="3">
        <f>IFERROR(VLOOKUP(B955,'[1]new sheet'!$A$1:$IV$65536,4,FALSE),0)</f>
        <v>1</v>
      </c>
      <c r="G955" s="4">
        <f>IFERROR(VLOOKUP(B955,'[2]new sheet'!$A$1:$IV$65536,2,0),0)</f>
        <v>228</v>
      </c>
      <c r="H955" s="5">
        <f>IFERROR(VLOOKUP(B955,'[3]new sheet'!$A$1:$IV$65536,2,0),0)</f>
        <v>95</v>
      </c>
    </row>
    <row r="956" spans="1:8" ht="24" customHeight="1">
      <c r="A956" s="7">
        <v>808</v>
      </c>
      <c r="B956" s="7">
        <v>824</v>
      </c>
      <c r="C956" s="8" t="s">
        <v>779</v>
      </c>
      <c r="D956" s="8" t="s">
        <v>1934</v>
      </c>
      <c r="E956" s="2">
        <f>IFERROR(VLOOKUP(B956,'[1]new sheet'!$A$1:$IV$65536,5,FALSE),0)</f>
        <v>0</v>
      </c>
      <c r="F956" s="3">
        <f>IFERROR(VLOOKUP(B956,'[1]new sheet'!$A$1:$IV$65536,4,FALSE),0)</f>
        <v>0</v>
      </c>
      <c r="G956" s="4">
        <f>IFERROR(VLOOKUP(B956,'[2]new sheet'!$A$1:$IV$65536,2,0),0)</f>
        <v>0</v>
      </c>
      <c r="H956" s="5">
        <f>IFERROR(VLOOKUP(B956,'[3]new sheet'!$A$1:$IV$65536,2,0),0)</f>
        <v>0</v>
      </c>
    </row>
    <row r="957" spans="1:8" ht="24" customHeight="1">
      <c r="A957" s="7">
        <v>56392</v>
      </c>
      <c r="B957" s="7">
        <v>613</v>
      </c>
      <c r="C957" s="8" t="s">
        <v>1839</v>
      </c>
      <c r="D957" s="8" t="s">
        <v>1934</v>
      </c>
      <c r="E957" s="2">
        <f>IFERROR(VLOOKUP(B957,'[1]new sheet'!$A$1:$IV$65536,5,FALSE),0)</f>
        <v>9</v>
      </c>
      <c r="F957" s="3">
        <f>IFERROR(VLOOKUP(B957,'[1]new sheet'!$A$1:$IV$65536,4,FALSE),0)</f>
        <v>1</v>
      </c>
      <c r="G957" s="4">
        <f>IFERROR(VLOOKUP(B957,'[2]new sheet'!$A$1:$IV$65536,2,0),0)</f>
        <v>26</v>
      </c>
      <c r="H957" s="5">
        <f>IFERROR(VLOOKUP(B957,'[3]new sheet'!$A$1:$IV$65536,2,0),0)</f>
        <v>8</v>
      </c>
    </row>
    <row r="958" spans="1:8" ht="24" customHeight="1">
      <c r="A958" s="7">
        <v>952000</v>
      </c>
      <c r="B958" s="7">
        <v>947</v>
      </c>
      <c r="C958" s="8" t="s">
        <v>780</v>
      </c>
      <c r="D958" s="8" t="s">
        <v>1937</v>
      </c>
      <c r="E958" s="2">
        <f>IFERROR(VLOOKUP(B958,'[1]new sheet'!$A$1:$IV$65536,5,FALSE),0)</f>
        <v>0</v>
      </c>
      <c r="F958" s="3">
        <f>IFERROR(VLOOKUP(B958,'[1]new sheet'!$A$1:$IV$65536,4,FALSE),0)</f>
        <v>0</v>
      </c>
      <c r="G958" s="4">
        <f>IFERROR(VLOOKUP(B958,'[2]new sheet'!$A$1:$IV$65536,2,0),0)</f>
        <v>0</v>
      </c>
      <c r="H958" s="5">
        <f>IFERROR(VLOOKUP(B958,'[3]new sheet'!$A$1:$IV$65536,2,0),0)</f>
        <v>0</v>
      </c>
    </row>
    <row r="959" spans="1:8" ht="24" customHeight="1">
      <c r="A959" s="7">
        <v>164035</v>
      </c>
      <c r="B959" s="7">
        <v>4127</v>
      </c>
      <c r="C959" s="8" t="s">
        <v>1880</v>
      </c>
      <c r="D959" s="8" t="s">
        <v>1934</v>
      </c>
      <c r="E959" s="2">
        <f>IFERROR(VLOOKUP(B959,'[1]new sheet'!$A$1:$IV$65536,5,FALSE),0)</f>
        <v>105</v>
      </c>
      <c r="F959" s="3">
        <f>IFERROR(VLOOKUP(B959,'[1]new sheet'!$A$1:$IV$65536,4,FALSE),0)</f>
        <v>1</v>
      </c>
      <c r="G959" s="4">
        <f>IFERROR(VLOOKUP(B959,'[2]new sheet'!$A$1:$IV$65536,2,0),0)</f>
        <v>20</v>
      </c>
      <c r="H959" s="5">
        <f>IFERROR(VLOOKUP(B959,'[3]new sheet'!$A$1:$IV$65536,2,0),0)</f>
        <v>8</v>
      </c>
    </row>
    <row r="960" spans="1:8" ht="24" customHeight="1">
      <c r="A960" s="7">
        <v>1152</v>
      </c>
      <c r="B960" s="7">
        <v>999</v>
      </c>
      <c r="C960" s="8" t="s">
        <v>781</v>
      </c>
      <c r="D960" s="8" t="s">
        <v>1934</v>
      </c>
      <c r="E960" s="2">
        <f>IFERROR(VLOOKUP(B960,'[1]new sheet'!$A$1:$IV$65536,5,FALSE),0)</f>
        <v>0</v>
      </c>
      <c r="F960" s="3">
        <f>IFERROR(VLOOKUP(B960,'[1]new sheet'!$A$1:$IV$65536,4,FALSE),0)</f>
        <v>0</v>
      </c>
      <c r="G960" s="4">
        <f>IFERROR(VLOOKUP(B960,'[2]new sheet'!$A$1:$IV$65536,2,0),0)</f>
        <v>0</v>
      </c>
      <c r="H960" s="5">
        <f>IFERROR(VLOOKUP(B960,'[3]new sheet'!$A$1:$IV$65536,2,0),0)</f>
        <v>0</v>
      </c>
    </row>
    <row r="961" spans="1:8" ht="24" customHeight="1">
      <c r="A961" s="7">
        <v>1000109</v>
      </c>
      <c r="B961" s="7">
        <v>372</v>
      </c>
      <c r="C961" s="8" t="s">
        <v>782</v>
      </c>
      <c r="D961" s="8" t="s">
        <v>1934</v>
      </c>
      <c r="E961" s="2">
        <f>IFERROR(VLOOKUP(B961,'[1]new sheet'!$A$1:$IV$65536,5,FALSE),0)</f>
        <v>0</v>
      </c>
      <c r="F961" s="3">
        <f>IFERROR(VLOOKUP(B961,'[1]new sheet'!$A$1:$IV$65536,4,FALSE),0)</f>
        <v>0</v>
      </c>
      <c r="G961" s="4">
        <f>IFERROR(VLOOKUP(B961,'[2]new sheet'!$A$1:$IV$65536,2,0),0)</f>
        <v>245</v>
      </c>
      <c r="H961" s="5">
        <f>IFERROR(VLOOKUP(B961,'[3]new sheet'!$A$1:$IV$65536,2,0),0)</f>
        <v>80</v>
      </c>
    </row>
    <row r="962" spans="1:8" ht="24" customHeight="1">
      <c r="A962" s="7">
        <v>1000123</v>
      </c>
      <c r="B962" s="7">
        <v>232</v>
      </c>
      <c r="C962" s="8" t="s">
        <v>783</v>
      </c>
      <c r="D962" s="8" t="s">
        <v>1937</v>
      </c>
      <c r="E962" s="2">
        <f>IFERROR(VLOOKUP(B962,'[1]new sheet'!$A$1:$IV$65536,5,FALSE),0)</f>
        <v>0</v>
      </c>
      <c r="F962" s="3">
        <f>IFERROR(VLOOKUP(B962,'[1]new sheet'!$A$1:$IV$65536,4,FALSE),0)</f>
        <v>0</v>
      </c>
      <c r="G962" s="4">
        <f>IFERROR(VLOOKUP(B962,'[2]new sheet'!$A$1:$IV$65536,2,0),0)</f>
        <v>173</v>
      </c>
      <c r="H962" s="5">
        <f>IFERROR(VLOOKUP(B962,'[3]new sheet'!$A$1:$IV$65536,2,0),0)</f>
        <v>0</v>
      </c>
    </row>
    <row r="963" spans="1:8" ht="24" customHeight="1">
      <c r="A963" s="7">
        <v>990591</v>
      </c>
      <c r="B963" s="7">
        <v>3248</v>
      </c>
      <c r="C963" s="8" t="s">
        <v>1560</v>
      </c>
      <c r="D963" s="8" t="s">
        <v>1934</v>
      </c>
      <c r="E963" s="2">
        <f>IFERROR(VLOOKUP(B963,'[1]new sheet'!$A$1:$IV$65536,5,FALSE),0)</f>
        <v>24</v>
      </c>
      <c r="F963" s="3">
        <f>IFERROR(VLOOKUP(B963,'[1]new sheet'!$A$1:$IV$65536,4,FALSE),0)</f>
        <v>2</v>
      </c>
      <c r="G963" s="4">
        <f>IFERROR(VLOOKUP(B963,'[2]new sheet'!$A$1:$IV$65536,2,0),0)</f>
        <v>42</v>
      </c>
      <c r="H963" s="5">
        <f>IFERROR(VLOOKUP(B963,'[3]new sheet'!$A$1:$IV$65536,2,0),0)</f>
        <v>12</v>
      </c>
    </row>
    <row r="964" spans="1:8" ht="24" customHeight="1">
      <c r="A964" s="7">
        <v>56394</v>
      </c>
      <c r="B964" s="7">
        <v>825</v>
      </c>
      <c r="C964" s="8" t="s">
        <v>784</v>
      </c>
      <c r="D964" s="8" t="s">
        <v>1934</v>
      </c>
      <c r="E964" s="2">
        <f>IFERROR(VLOOKUP(B964,'[1]new sheet'!$A$1:$IV$65536,5,FALSE),0)</f>
        <v>0</v>
      </c>
      <c r="F964" s="3">
        <f>IFERROR(VLOOKUP(B964,'[1]new sheet'!$A$1:$IV$65536,4,FALSE),0)</f>
        <v>0</v>
      </c>
      <c r="G964" s="4">
        <f>IFERROR(VLOOKUP(B964,'[2]new sheet'!$A$1:$IV$65536,2,0),0)</f>
        <v>0</v>
      </c>
      <c r="H964" s="5">
        <f>IFERROR(VLOOKUP(B964,'[3]new sheet'!$A$1:$IV$65536,2,0),0)</f>
        <v>0</v>
      </c>
    </row>
    <row r="965" spans="1:8" ht="24" customHeight="1">
      <c r="A965" s="7">
        <v>5185</v>
      </c>
      <c r="B965" s="7">
        <v>891</v>
      </c>
      <c r="C965" s="8" t="s">
        <v>785</v>
      </c>
      <c r="D965" s="8" t="s">
        <v>1937</v>
      </c>
      <c r="E965" s="2">
        <f>IFERROR(VLOOKUP(B965,'[1]new sheet'!$A$1:$IV$65536,5,FALSE),0)</f>
        <v>95</v>
      </c>
      <c r="F965" s="3">
        <f>IFERROR(VLOOKUP(B965,'[1]new sheet'!$A$1:$IV$65536,4,FALSE),0)</f>
        <v>7</v>
      </c>
      <c r="G965" s="4">
        <f>IFERROR(VLOOKUP(B965,'[2]new sheet'!$A$1:$IV$65536,2,0),0)</f>
        <v>289</v>
      </c>
      <c r="H965" s="5">
        <f>IFERROR(VLOOKUP(B965,'[3]new sheet'!$A$1:$IV$65536,2,0),0)</f>
        <v>135</v>
      </c>
    </row>
    <row r="966" spans="1:8" ht="24" customHeight="1">
      <c r="A966" s="7">
        <v>60744</v>
      </c>
      <c r="B966" s="7">
        <v>373</v>
      </c>
      <c r="C966" s="8" t="s">
        <v>786</v>
      </c>
      <c r="D966" s="8" t="s">
        <v>1934</v>
      </c>
      <c r="E966" s="2">
        <f>IFERROR(VLOOKUP(B966,'[1]new sheet'!$A$1:$IV$65536,5,FALSE),0)</f>
        <v>0</v>
      </c>
      <c r="F966" s="3">
        <f>IFERROR(VLOOKUP(B966,'[1]new sheet'!$A$1:$IV$65536,4,FALSE),0)</f>
        <v>0</v>
      </c>
      <c r="G966" s="4">
        <f>IFERROR(VLOOKUP(B966,'[2]new sheet'!$A$1:$IV$65536,2,0),0)</f>
        <v>0</v>
      </c>
      <c r="H966" s="5">
        <f>IFERROR(VLOOKUP(B966,'[3]new sheet'!$A$1:$IV$65536,2,0),0)</f>
        <v>0</v>
      </c>
    </row>
    <row r="967" spans="1:8" ht="24" customHeight="1">
      <c r="A967" s="7">
        <v>2100022001139</v>
      </c>
      <c r="B967" s="7">
        <v>233</v>
      </c>
      <c r="C967" s="8" t="s">
        <v>787</v>
      </c>
      <c r="D967" s="8" t="s">
        <v>1934</v>
      </c>
      <c r="E967" s="2">
        <f>IFERROR(VLOOKUP(B967,'[1]new sheet'!$A$1:$IV$65536,5,FALSE),0)</f>
        <v>563</v>
      </c>
      <c r="F967" s="3">
        <f>IFERROR(VLOOKUP(B967,'[1]new sheet'!$A$1:$IV$65536,4,FALSE),0)</f>
        <v>12</v>
      </c>
      <c r="G967" s="4">
        <f>IFERROR(VLOOKUP(B967,'[2]new sheet'!$A$1:$IV$65536,2,0),0)</f>
        <v>521</v>
      </c>
      <c r="H967" s="5">
        <f>IFERROR(VLOOKUP(B967,'[3]new sheet'!$A$1:$IV$65536,2,0),0)</f>
        <v>158</v>
      </c>
    </row>
    <row r="968" spans="1:8" ht="24" customHeight="1">
      <c r="A968" s="7">
        <v>60743</v>
      </c>
      <c r="B968" s="7">
        <v>374</v>
      </c>
      <c r="C968" s="8" t="s">
        <v>788</v>
      </c>
      <c r="D968" s="8" t="s">
        <v>1934</v>
      </c>
      <c r="E968" s="2">
        <f>IFERROR(VLOOKUP(B968,'[1]new sheet'!$A$1:$IV$65536,5,FALSE),0)</f>
        <v>69</v>
      </c>
      <c r="F968" s="3">
        <f>IFERROR(VLOOKUP(B968,'[1]new sheet'!$A$1:$IV$65536,4,FALSE),0)</f>
        <v>1</v>
      </c>
      <c r="G968" s="4">
        <f>IFERROR(VLOOKUP(B968,'[2]new sheet'!$A$1:$IV$65536,2,0),0)</f>
        <v>99</v>
      </c>
      <c r="H968" s="5">
        <f>IFERROR(VLOOKUP(B968,'[3]new sheet'!$A$1:$IV$65536,2,0),0)</f>
        <v>0</v>
      </c>
    </row>
    <row r="969" spans="1:8" ht="24" customHeight="1">
      <c r="A969" s="7">
        <v>60742</v>
      </c>
      <c r="B969" s="7">
        <v>615</v>
      </c>
      <c r="C969" s="8" t="s">
        <v>789</v>
      </c>
      <c r="D969" s="8" t="s">
        <v>1934</v>
      </c>
      <c r="E969" s="2">
        <f>IFERROR(VLOOKUP(B969,'[1]new sheet'!$A$1:$IV$65536,5,FALSE),0)</f>
        <v>13</v>
      </c>
      <c r="F969" s="3">
        <f>IFERROR(VLOOKUP(B969,'[1]new sheet'!$A$1:$IV$65536,4,FALSE),0)</f>
        <v>1</v>
      </c>
      <c r="G969" s="4">
        <f>IFERROR(VLOOKUP(B969,'[2]new sheet'!$A$1:$IV$65536,2,0),0)</f>
        <v>69</v>
      </c>
      <c r="H969" s="5">
        <f>IFERROR(VLOOKUP(B969,'[3]new sheet'!$A$1:$IV$65536,2,0),0)</f>
        <v>25</v>
      </c>
    </row>
    <row r="970" spans="1:8" ht="24" customHeight="1">
      <c r="A970" s="7"/>
      <c r="B970" s="7">
        <v>826</v>
      </c>
      <c r="C970" s="8" t="s">
        <v>790</v>
      </c>
      <c r="D970" s="8" t="s">
        <v>1934</v>
      </c>
      <c r="E970" s="2">
        <f>IFERROR(VLOOKUP(B970,'[1]new sheet'!$A$1:$IV$65536,5,FALSE),0)</f>
        <v>0</v>
      </c>
      <c r="F970" s="3">
        <f>IFERROR(VLOOKUP(B970,'[1]new sheet'!$A$1:$IV$65536,4,FALSE),0)</f>
        <v>0</v>
      </c>
      <c r="G970" s="4">
        <f>IFERROR(VLOOKUP(B970,'[2]new sheet'!$A$1:$IV$65536,2,0),0)</f>
        <v>0</v>
      </c>
      <c r="H970" s="5">
        <f>IFERROR(VLOOKUP(B970,'[3]new sheet'!$A$1:$IV$65536,2,0),0)</f>
        <v>0</v>
      </c>
    </row>
    <row r="971" spans="1:8" ht="24" customHeight="1">
      <c r="A971" s="7">
        <v>1154</v>
      </c>
      <c r="B971" s="7">
        <v>1000</v>
      </c>
      <c r="C971" s="8" t="s">
        <v>791</v>
      </c>
      <c r="D971" s="8" t="s">
        <v>1934</v>
      </c>
      <c r="E971" s="2">
        <f>IFERROR(VLOOKUP(B971,'[1]new sheet'!$A$1:$IV$65536,5,FALSE),0)</f>
        <v>0</v>
      </c>
      <c r="F971" s="3">
        <f>IFERROR(VLOOKUP(B971,'[1]new sheet'!$A$1:$IV$65536,4,FALSE),0)</f>
        <v>0</v>
      </c>
      <c r="G971" s="4">
        <f>IFERROR(VLOOKUP(B971,'[2]new sheet'!$A$1:$IV$65536,2,0),0)</f>
        <v>0</v>
      </c>
      <c r="H971" s="5">
        <f>IFERROR(VLOOKUP(B971,'[3]new sheet'!$A$1:$IV$65536,2,0),0)</f>
        <v>0</v>
      </c>
    </row>
    <row r="972" spans="1:8" ht="24" customHeight="1">
      <c r="A972" s="7">
        <v>60579</v>
      </c>
      <c r="B972" s="7">
        <v>2682</v>
      </c>
      <c r="C972" s="8" t="s">
        <v>792</v>
      </c>
      <c r="D972" s="8" t="s">
        <v>1934</v>
      </c>
      <c r="E972" s="2">
        <f>IFERROR(VLOOKUP(B972,'[1]new sheet'!$A$1:$IV$65536,5,FALSE),0)</f>
        <v>0</v>
      </c>
      <c r="F972" s="3">
        <f>IFERROR(VLOOKUP(B972,'[1]new sheet'!$A$1:$IV$65536,4,FALSE),0)</f>
        <v>0</v>
      </c>
      <c r="G972" s="4">
        <f>IFERROR(VLOOKUP(B972,'[2]new sheet'!$A$1:$IV$65536,2,0),0)</f>
        <v>0</v>
      </c>
      <c r="H972" s="5">
        <f>IFERROR(VLOOKUP(B972,'[3]new sheet'!$A$1:$IV$65536,2,0),0)</f>
        <v>0</v>
      </c>
    </row>
    <row r="973" spans="1:8" ht="24" customHeight="1">
      <c r="A973" s="7" t="s">
        <v>793</v>
      </c>
      <c r="B973" s="7">
        <v>239</v>
      </c>
      <c r="C973" s="8" t="s">
        <v>794</v>
      </c>
      <c r="D973" s="8" t="s">
        <v>1934</v>
      </c>
      <c r="E973" s="2">
        <f>IFERROR(VLOOKUP(B973,'[1]new sheet'!$A$1:$IV$65536,5,FALSE),0)</f>
        <v>0</v>
      </c>
      <c r="F973" s="3">
        <f>IFERROR(VLOOKUP(B973,'[1]new sheet'!$A$1:$IV$65536,4,FALSE),0)</f>
        <v>0</v>
      </c>
      <c r="G973" s="4">
        <f>IFERROR(VLOOKUP(B973,'[2]new sheet'!$A$1:$IV$65536,2,0),0)</f>
        <v>0</v>
      </c>
      <c r="H973" s="5">
        <f>IFERROR(VLOOKUP(B973,'[3]new sheet'!$A$1:$IV$65536,2,0),0)</f>
        <v>0</v>
      </c>
    </row>
    <row r="974" spans="1:8" ht="24" customHeight="1">
      <c r="A974" s="7">
        <v>54242</v>
      </c>
      <c r="B974" s="7">
        <v>616</v>
      </c>
      <c r="C974" s="8" t="s">
        <v>795</v>
      </c>
      <c r="D974" s="8" t="s">
        <v>1934</v>
      </c>
      <c r="E974" s="2">
        <f>IFERROR(VLOOKUP(B974,'[1]new sheet'!$A$1:$IV$65536,5,FALSE),0)</f>
        <v>0</v>
      </c>
      <c r="F974" s="3">
        <f>IFERROR(VLOOKUP(B974,'[1]new sheet'!$A$1:$IV$65536,4,FALSE),0)</f>
        <v>0</v>
      </c>
      <c r="G974" s="4">
        <f>IFERROR(VLOOKUP(B974,'[2]new sheet'!$A$1:$IV$65536,2,0),0)</f>
        <v>0</v>
      </c>
      <c r="H974" s="5">
        <f>IFERROR(VLOOKUP(B974,'[3]new sheet'!$A$1:$IV$65536,2,0),0)</f>
        <v>0</v>
      </c>
    </row>
    <row r="975" spans="1:8" ht="24" customHeight="1">
      <c r="A975" s="7"/>
      <c r="B975" s="7">
        <v>563</v>
      </c>
      <c r="C975" s="8" t="s">
        <v>796</v>
      </c>
      <c r="D975" s="8" t="s">
        <v>1934</v>
      </c>
      <c r="E975" s="2">
        <f>IFERROR(VLOOKUP(B975,'[1]new sheet'!$A$1:$IV$65536,5,FALSE),0)</f>
        <v>0</v>
      </c>
      <c r="F975" s="3">
        <f>IFERROR(VLOOKUP(B975,'[1]new sheet'!$A$1:$IV$65536,4,FALSE),0)</f>
        <v>0</v>
      </c>
      <c r="G975" s="4">
        <f>IFERROR(VLOOKUP(B975,'[2]new sheet'!$A$1:$IV$65536,2,0),0)</f>
        <v>0</v>
      </c>
      <c r="H975" s="5">
        <f>IFERROR(VLOOKUP(B975,'[3]new sheet'!$A$1:$IV$65536,2,0),0)</f>
        <v>0</v>
      </c>
    </row>
    <row r="976" spans="1:8" ht="24" customHeight="1">
      <c r="A976" s="7">
        <v>998560</v>
      </c>
      <c r="B976" s="7">
        <v>617</v>
      </c>
      <c r="C976" s="8" t="s">
        <v>797</v>
      </c>
      <c r="D976" s="8" t="s">
        <v>1937</v>
      </c>
      <c r="E976" s="2">
        <f>IFERROR(VLOOKUP(B976,'[1]new sheet'!$A$1:$IV$65536,5,FALSE),0)</f>
        <v>0</v>
      </c>
      <c r="F976" s="3">
        <f>IFERROR(VLOOKUP(B976,'[1]new sheet'!$A$1:$IV$65536,4,FALSE),0)</f>
        <v>0</v>
      </c>
      <c r="G976" s="4">
        <f>IFERROR(VLOOKUP(B976,'[2]new sheet'!$A$1:$IV$65536,2,0),0)</f>
        <v>0</v>
      </c>
      <c r="H976" s="5">
        <f>IFERROR(VLOOKUP(B976,'[3]new sheet'!$A$1:$IV$65536,2,0),0)</f>
        <v>0</v>
      </c>
    </row>
    <row r="977" spans="1:8" ht="24" customHeight="1">
      <c r="A977" s="7">
        <v>990589</v>
      </c>
      <c r="B977" s="7">
        <v>3246</v>
      </c>
      <c r="C977" s="8" t="s">
        <v>1561</v>
      </c>
      <c r="D977" s="8" t="s">
        <v>1934</v>
      </c>
      <c r="E977" s="2">
        <f>IFERROR(VLOOKUP(B977,'[1]new sheet'!$A$1:$IV$65536,5,FALSE),0)</f>
        <v>38</v>
      </c>
      <c r="F977" s="3">
        <f>IFERROR(VLOOKUP(B977,'[1]new sheet'!$A$1:$IV$65536,4,FALSE),0)</f>
        <v>3</v>
      </c>
      <c r="G977" s="4">
        <f>IFERROR(VLOOKUP(B977,'[2]new sheet'!$A$1:$IV$65536,2,0),0)</f>
        <v>32</v>
      </c>
      <c r="H977" s="5">
        <f>IFERROR(VLOOKUP(B977,'[3]new sheet'!$A$1:$IV$65536,2,0),0)</f>
        <v>15</v>
      </c>
    </row>
    <row r="978" spans="1:8" ht="24" customHeight="1">
      <c r="A978" s="7">
        <v>56389</v>
      </c>
      <c r="B978" s="7">
        <v>618</v>
      </c>
      <c r="C978" s="8" t="s">
        <v>798</v>
      </c>
      <c r="D978" s="8" t="s">
        <v>1934</v>
      </c>
      <c r="E978" s="2">
        <f>IFERROR(VLOOKUP(B978,'[1]new sheet'!$A$1:$IV$65536,5,FALSE),0)</f>
        <v>0</v>
      </c>
      <c r="F978" s="3">
        <f>IFERROR(VLOOKUP(B978,'[1]new sheet'!$A$1:$IV$65536,4,FALSE),0)</f>
        <v>0</v>
      </c>
      <c r="G978" s="4">
        <f>IFERROR(VLOOKUP(B978,'[2]new sheet'!$A$1:$IV$65536,2,0),0)</f>
        <v>0</v>
      </c>
      <c r="H978" s="5">
        <f>IFERROR(VLOOKUP(B978,'[3]new sheet'!$A$1:$IV$65536,2,0),0)</f>
        <v>0</v>
      </c>
    </row>
    <row r="979" spans="1:8" ht="24" customHeight="1">
      <c r="A979" s="7">
        <v>5061</v>
      </c>
      <c r="B979" s="7">
        <v>1415</v>
      </c>
      <c r="C979" s="8" t="s">
        <v>799</v>
      </c>
      <c r="D979" s="8" t="s">
        <v>1937</v>
      </c>
      <c r="E979" s="2">
        <f>IFERROR(VLOOKUP(B979,'[1]new sheet'!$A$1:$IV$65536,5,FALSE),0)</f>
        <v>153</v>
      </c>
      <c r="F979" s="3">
        <f>IFERROR(VLOOKUP(B979,'[1]new sheet'!$A$1:$IV$65536,4,FALSE),0)</f>
        <v>1</v>
      </c>
      <c r="G979" s="4">
        <f>IFERROR(VLOOKUP(B979,'[2]new sheet'!$A$1:$IV$65536,2,0),0)</f>
        <v>39</v>
      </c>
      <c r="H979" s="5">
        <f>IFERROR(VLOOKUP(B979,'[3]new sheet'!$A$1:$IV$65536,2,0),0)</f>
        <v>7</v>
      </c>
    </row>
    <row r="980" spans="1:8" ht="24" customHeight="1">
      <c r="A980" s="7">
        <v>242439</v>
      </c>
      <c r="B980" s="7">
        <v>287</v>
      </c>
      <c r="C980" s="8" t="s">
        <v>1562</v>
      </c>
      <c r="D980" s="8" t="s">
        <v>1934</v>
      </c>
      <c r="E980" s="2">
        <f>IFERROR(VLOOKUP(B980,'[1]new sheet'!$A$1:$IV$65536,5,FALSE),0)</f>
        <v>2</v>
      </c>
      <c r="F980" s="3">
        <f>IFERROR(VLOOKUP(B980,'[1]new sheet'!$A$1:$IV$65536,4,FALSE),0)</f>
        <v>0</v>
      </c>
      <c r="G980" s="4">
        <f>IFERROR(VLOOKUP(B980,'[2]new sheet'!$A$1:$IV$65536,2,0),0)</f>
        <v>2</v>
      </c>
      <c r="H980" s="5">
        <f>IFERROR(VLOOKUP(B980,'[3]new sheet'!$A$1:$IV$65536,2,0),0)</f>
        <v>0</v>
      </c>
    </row>
    <row r="981" spans="1:8" ht="24" customHeight="1">
      <c r="A981" s="7">
        <v>422</v>
      </c>
      <c r="B981" s="7">
        <v>234</v>
      </c>
      <c r="C981" s="8" t="s">
        <v>800</v>
      </c>
      <c r="D981" s="8" t="s">
        <v>1937</v>
      </c>
      <c r="E981" s="2">
        <f>IFERROR(VLOOKUP(B981,'[1]new sheet'!$A$1:$IV$65536,5,FALSE),0)</f>
        <v>879</v>
      </c>
      <c r="F981" s="3">
        <f>IFERROR(VLOOKUP(B981,'[1]new sheet'!$A$1:$IV$65536,4,FALSE),0)</f>
        <v>61</v>
      </c>
      <c r="G981" s="4">
        <f>IFERROR(VLOOKUP(B981,'[2]new sheet'!$A$1:$IV$65536,2,0),0)</f>
        <v>2786</v>
      </c>
      <c r="H981" s="5">
        <f>IFERROR(VLOOKUP(B981,'[3]new sheet'!$A$1:$IV$65536,2,0),0)</f>
        <v>956</v>
      </c>
    </row>
    <row r="982" spans="1:8" ht="24" customHeight="1">
      <c r="A982" s="7">
        <v>990288</v>
      </c>
      <c r="B982" s="7">
        <v>3244</v>
      </c>
      <c r="C982" s="8" t="s">
        <v>1563</v>
      </c>
      <c r="D982" s="8" t="s">
        <v>1934</v>
      </c>
      <c r="E982" s="2">
        <f>IFERROR(VLOOKUP(B982,'[1]new sheet'!$A$1:$IV$65536,5,FALSE),0)</f>
        <v>34</v>
      </c>
      <c r="F982" s="3">
        <f>IFERROR(VLOOKUP(B982,'[1]new sheet'!$A$1:$IV$65536,4,FALSE),0)</f>
        <v>0</v>
      </c>
      <c r="G982" s="4">
        <f>IFERROR(VLOOKUP(B982,'[2]new sheet'!$A$1:$IV$65536,2,0),0)</f>
        <v>14</v>
      </c>
      <c r="H982" s="5">
        <f>IFERROR(VLOOKUP(B982,'[3]new sheet'!$A$1:$IV$65536,2,0),0)</f>
        <v>3</v>
      </c>
    </row>
    <row r="983" spans="1:8" ht="24" customHeight="1">
      <c r="A983" s="7">
        <v>40500090</v>
      </c>
      <c r="B983" s="7">
        <v>4303</v>
      </c>
      <c r="C983" s="8" t="s">
        <v>1922</v>
      </c>
      <c r="D983" s="8" t="s">
        <v>1937</v>
      </c>
      <c r="E983" s="2">
        <f>IFERROR(VLOOKUP(B983,'[1]new sheet'!$A$1:$IV$65536,5,FALSE),0)</f>
        <v>580</v>
      </c>
      <c r="F983" s="3">
        <f>IFERROR(VLOOKUP(B983,'[1]new sheet'!$A$1:$IV$65536,4,FALSE),0)</f>
        <v>0</v>
      </c>
      <c r="G983" s="4">
        <f>IFERROR(VLOOKUP(B983,'[2]new sheet'!$A$1:$IV$65536,2,0),0)</f>
        <v>6</v>
      </c>
      <c r="H983" s="5">
        <f>IFERROR(VLOOKUP(B983,'[3]new sheet'!$A$1:$IV$65536,2,0),0)</f>
        <v>26</v>
      </c>
    </row>
    <row r="984" spans="1:8" ht="24" customHeight="1">
      <c r="A984" s="7">
        <v>2100021001324</v>
      </c>
      <c r="B984" s="7">
        <v>4105</v>
      </c>
      <c r="C984" s="8" t="s">
        <v>1733</v>
      </c>
      <c r="D984" s="32" t="s">
        <v>1934</v>
      </c>
      <c r="E984" s="23">
        <f>IFERROR(VLOOKUP(B984,'[1]new sheet'!$A$1:$IV$65536,5,FALSE),0)</f>
        <v>0</v>
      </c>
      <c r="F984" s="3">
        <f>IFERROR(VLOOKUP(B984,'[1]new sheet'!$A$1:$IV$65536,4,FALSE),0)</f>
        <v>0</v>
      </c>
      <c r="G984" s="4">
        <f>IFERROR(VLOOKUP(B984,'[2]new sheet'!$A$1:$IV$65536,2,0),0)</f>
        <v>0</v>
      </c>
      <c r="H984" s="5">
        <f>IFERROR(VLOOKUP(B984,'[3]new sheet'!$A$1:$IV$65536,2,0),0)</f>
        <v>0</v>
      </c>
    </row>
    <row r="985" spans="1:8" ht="24" customHeight="1">
      <c r="A985" s="24">
        <v>31300</v>
      </c>
      <c r="B985" s="24">
        <v>1983</v>
      </c>
      <c r="C985" s="25" t="s">
        <v>801</v>
      </c>
      <c r="D985" s="25" t="s">
        <v>1937</v>
      </c>
      <c r="E985" s="2">
        <f>IFERROR(VLOOKUP(B985,'[1]new sheet'!$A$1:$IV$65536,5,FALSE),0)</f>
        <v>0</v>
      </c>
      <c r="F985" s="3">
        <f>IFERROR(VLOOKUP(B985,'[1]new sheet'!$A$1:$IV$65536,4,FALSE),0)</f>
        <v>0</v>
      </c>
      <c r="G985" s="4">
        <f>IFERROR(VLOOKUP(B985,'[2]new sheet'!$A$1:$IV$65536,2,0),0)</f>
        <v>0</v>
      </c>
      <c r="H985" s="5">
        <f>IFERROR(VLOOKUP(B985,'[3]new sheet'!$A$1:$IV$65536,2,0),0)</f>
        <v>0</v>
      </c>
    </row>
    <row r="986" spans="1:8" ht="24" customHeight="1">
      <c r="A986" s="7">
        <v>952064</v>
      </c>
      <c r="B986" s="7">
        <v>614</v>
      </c>
      <c r="C986" s="8" t="s">
        <v>802</v>
      </c>
      <c r="D986" s="8" t="s">
        <v>1937</v>
      </c>
      <c r="E986" s="2">
        <f>IFERROR(VLOOKUP(B986,'[1]new sheet'!$A$1:$IV$65536,5,FALSE),0)</f>
        <v>0</v>
      </c>
      <c r="F986" s="3">
        <f>IFERROR(VLOOKUP(B986,'[1]new sheet'!$A$1:$IV$65536,4,FALSE),0)</f>
        <v>0</v>
      </c>
      <c r="G986" s="4">
        <f>IFERROR(VLOOKUP(B986,'[2]new sheet'!$A$1:$IV$65536,2,0),0)</f>
        <v>0</v>
      </c>
      <c r="H986" s="5">
        <f>IFERROR(VLOOKUP(B986,'[3]new sheet'!$A$1:$IV$65536,2,0),0)</f>
        <v>0</v>
      </c>
    </row>
    <row r="987" spans="1:8" ht="24" customHeight="1">
      <c r="A987" s="7">
        <v>210</v>
      </c>
      <c r="B987" s="7">
        <v>1075</v>
      </c>
      <c r="C987" s="8" t="s">
        <v>803</v>
      </c>
      <c r="D987" s="8" t="s">
        <v>1934</v>
      </c>
      <c r="E987" s="2">
        <f>IFERROR(VLOOKUP(B987,'[1]new sheet'!$A$1:$IV$65536,5,FALSE),0)</f>
        <v>0</v>
      </c>
      <c r="F987" s="3">
        <f>IFERROR(VLOOKUP(B987,'[1]new sheet'!$A$1:$IV$65536,4,FALSE),0)</f>
        <v>0</v>
      </c>
      <c r="G987" s="4">
        <f>IFERROR(VLOOKUP(B987,'[2]new sheet'!$A$1:$IV$65536,2,0),0)</f>
        <v>0</v>
      </c>
      <c r="H987" s="5">
        <f>IFERROR(VLOOKUP(B987,'[3]new sheet'!$A$1:$IV$65536,2,0),0)</f>
        <v>0</v>
      </c>
    </row>
    <row r="988" spans="1:8" ht="24" customHeight="1">
      <c r="A988" s="7"/>
      <c r="B988" s="7">
        <v>2373</v>
      </c>
      <c r="C988" s="8" t="s">
        <v>804</v>
      </c>
      <c r="D988" s="8" t="s">
        <v>1934</v>
      </c>
      <c r="E988" s="2">
        <f>IFERROR(VLOOKUP(B988,'[1]new sheet'!$A$1:$IV$65536,5,FALSE),0)</f>
        <v>0</v>
      </c>
      <c r="F988" s="3">
        <f>IFERROR(VLOOKUP(B988,'[1]new sheet'!$A$1:$IV$65536,4,FALSE),0)</f>
        <v>0</v>
      </c>
      <c r="G988" s="4">
        <f>IFERROR(VLOOKUP(B988,'[2]new sheet'!$A$1:$IV$65536,2,0),0)</f>
        <v>0</v>
      </c>
      <c r="H988" s="5">
        <f>IFERROR(VLOOKUP(B988,'[3]new sheet'!$A$1:$IV$65536,2,0),0)</f>
        <v>0</v>
      </c>
    </row>
    <row r="989" spans="1:8" ht="24" customHeight="1">
      <c r="A989" s="7">
        <v>60579</v>
      </c>
      <c r="B989" s="7">
        <v>240</v>
      </c>
      <c r="C989" s="8" t="s">
        <v>805</v>
      </c>
      <c r="D989" s="8" t="s">
        <v>1934</v>
      </c>
      <c r="E989" s="2">
        <f>IFERROR(VLOOKUP(B989,'[1]new sheet'!$A$1:$IV$65536,5,FALSE),0)</f>
        <v>114</v>
      </c>
      <c r="F989" s="3">
        <f>IFERROR(VLOOKUP(B989,'[1]new sheet'!$A$1:$IV$65536,4,FALSE),0)</f>
        <v>0</v>
      </c>
      <c r="G989" s="4">
        <f>IFERROR(VLOOKUP(B989,'[2]new sheet'!$A$1:$IV$65536,2,0),0)</f>
        <v>244</v>
      </c>
      <c r="H989" s="5">
        <f>IFERROR(VLOOKUP(B989,'[3]new sheet'!$A$1:$IV$65536,2,0),0)</f>
        <v>112</v>
      </c>
    </row>
    <row r="990" spans="1:8" ht="24" customHeight="1">
      <c r="A990" s="7">
        <v>988681</v>
      </c>
      <c r="B990" s="7">
        <v>4224</v>
      </c>
      <c r="C990" s="8" t="s">
        <v>1923</v>
      </c>
      <c r="D990" s="8" t="s">
        <v>1934</v>
      </c>
      <c r="E990" s="2">
        <f>IFERROR(VLOOKUP(B990,'[1]new sheet'!$A$1:$IV$65536,5,FALSE),0)</f>
        <v>49</v>
      </c>
      <c r="F990" s="3">
        <f>IFERROR(VLOOKUP(B990,'[1]new sheet'!$A$1:$IV$65536,4,FALSE),0)</f>
        <v>0</v>
      </c>
      <c r="G990" s="4">
        <f>IFERROR(VLOOKUP(B990,'[2]new sheet'!$A$1:$IV$65536,2,0),0)</f>
        <v>0</v>
      </c>
      <c r="H990" s="5">
        <f>IFERROR(VLOOKUP(B990,'[3]new sheet'!$A$1:$IV$65536,2,0),0)</f>
        <v>1</v>
      </c>
    </row>
    <row r="991" spans="1:8" ht="24" customHeight="1">
      <c r="A991" s="7">
        <v>56398</v>
      </c>
      <c r="B991" s="7">
        <v>619</v>
      </c>
      <c r="C991" s="8" t="s">
        <v>806</v>
      </c>
      <c r="D991" s="8" t="s">
        <v>1934</v>
      </c>
      <c r="E991" s="2">
        <f>IFERROR(VLOOKUP(B991,'[1]new sheet'!$A$1:$IV$65536,5,FALSE),0)</f>
        <v>60</v>
      </c>
      <c r="F991" s="3">
        <f>IFERROR(VLOOKUP(B991,'[1]new sheet'!$A$1:$IV$65536,4,FALSE),0)</f>
        <v>17</v>
      </c>
      <c r="G991" s="4">
        <f>IFERROR(VLOOKUP(B991,'[2]new sheet'!$A$1:$IV$65536,2,0),0)</f>
        <v>37</v>
      </c>
      <c r="H991" s="5">
        <f>IFERROR(VLOOKUP(B991,'[3]new sheet'!$A$1:$IV$65536,2,0),0)</f>
        <v>17</v>
      </c>
    </row>
    <row r="992" spans="1:8" ht="24" customHeight="1">
      <c r="A992" s="7">
        <v>202853</v>
      </c>
      <c r="B992" s="7">
        <v>2602</v>
      </c>
      <c r="C992" s="8" t="s">
        <v>807</v>
      </c>
      <c r="D992" s="8" t="s">
        <v>1937</v>
      </c>
      <c r="E992" s="2">
        <f>IFERROR(VLOOKUP(B992,'[1]new sheet'!$A$1:$IV$65536,5,FALSE),0)</f>
        <v>0</v>
      </c>
      <c r="F992" s="3">
        <f>IFERROR(VLOOKUP(B992,'[1]new sheet'!$A$1:$IV$65536,4,FALSE),0)</f>
        <v>0</v>
      </c>
      <c r="G992" s="4">
        <f>IFERROR(VLOOKUP(B992,'[2]new sheet'!$A$1:$IV$65536,2,0),0)</f>
        <v>0</v>
      </c>
      <c r="H992" s="5">
        <f>IFERROR(VLOOKUP(B992,'[3]new sheet'!$A$1:$IV$65536,2,0),0)</f>
        <v>0</v>
      </c>
    </row>
    <row r="993" spans="1:8" ht="24" customHeight="1">
      <c r="A993" s="7">
        <v>990595</v>
      </c>
      <c r="B993" s="7">
        <v>3247</v>
      </c>
      <c r="C993" s="8" t="s">
        <v>1564</v>
      </c>
      <c r="D993" s="8" t="s">
        <v>1934</v>
      </c>
      <c r="E993" s="2">
        <f>IFERROR(VLOOKUP(B993,'[1]new sheet'!$A$1:$IV$65536,5,FALSE),0)</f>
        <v>40</v>
      </c>
      <c r="F993" s="3">
        <f>IFERROR(VLOOKUP(B993,'[1]new sheet'!$A$1:$IV$65536,4,FALSE),0)</f>
        <v>2</v>
      </c>
      <c r="G993" s="4">
        <f>IFERROR(VLOOKUP(B993,'[2]new sheet'!$A$1:$IV$65536,2,0),0)</f>
        <v>63</v>
      </c>
      <c r="H993" s="5">
        <f>IFERROR(VLOOKUP(B993,'[3]new sheet'!$A$1:$IV$65536,2,0),0)</f>
        <v>35</v>
      </c>
    </row>
    <row r="994" spans="1:8" ht="24" customHeight="1">
      <c r="A994" s="7">
        <v>56386</v>
      </c>
      <c r="B994" s="7">
        <v>607</v>
      </c>
      <c r="C994" s="8" t="s">
        <v>808</v>
      </c>
      <c r="D994" s="8" t="s">
        <v>1934</v>
      </c>
      <c r="E994" s="2">
        <f>IFERROR(VLOOKUP(B994,'[1]new sheet'!$A$1:$IV$65536,5,FALSE),0)</f>
        <v>0</v>
      </c>
      <c r="F994" s="3">
        <f>IFERROR(VLOOKUP(B994,'[1]new sheet'!$A$1:$IV$65536,4,FALSE),0)</f>
        <v>0</v>
      </c>
      <c r="G994" s="4">
        <f>IFERROR(VLOOKUP(B994,'[2]new sheet'!$A$1:$IV$65536,2,0),0)</f>
        <v>0</v>
      </c>
      <c r="H994" s="5">
        <f>IFERROR(VLOOKUP(B994,'[3]new sheet'!$A$1:$IV$65536,2,0),0)</f>
        <v>0</v>
      </c>
    </row>
    <row r="995" spans="1:8" ht="24" customHeight="1">
      <c r="A995" s="7">
        <v>84220</v>
      </c>
      <c r="B995" s="7">
        <v>286</v>
      </c>
      <c r="C995" s="8" t="s">
        <v>809</v>
      </c>
      <c r="D995" s="8" t="s">
        <v>1937</v>
      </c>
      <c r="E995" s="2">
        <f>IFERROR(VLOOKUP(B995,'[1]new sheet'!$A$1:$IV$65536,5,FALSE),0)</f>
        <v>5030</v>
      </c>
      <c r="F995" s="3">
        <f>IFERROR(VLOOKUP(B995,'[1]new sheet'!$A$1:$IV$65536,4,FALSE),0)</f>
        <v>11</v>
      </c>
      <c r="G995" s="4">
        <f>IFERROR(VLOOKUP(B995,'[2]new sheet'!$A$1:$IV$65536,2,0),0)</f>
        <v>2037</v>
      </c>
      <c r="H995" s="5">
        <f>IFERROR(VLOOKUP(B995,'[3]new sheet'!$A$1:$IV$65536,2,0),0)</f>
        <v>684</v>
      </c>
    </row>
    <row r="996" spans="1:8" ht="24" customHeight="1">
      <c r="A996" s="7">
        <v>40513</v>
      </c>
      <c r="B996" s="7">
        <v>3083</v>
      </c>
      <c r="C996" s="8" t="s">
        <v>810</v>
      </c>
      <c r="D996" s="8" t="s">
        <v>1937</v>
      </c>
      <c r="E996" s="2">
        <f>IFERROR(VLOOKUP(B996,'[1]new sheet'!$A$1:$IV$65536,5,FALSE),0)</f>
        <v>0</v>
      </c>
      <c r="F996" s="3">
        <f>IFERROR(VLOOKUP(B996,'[1]new sheet'!$A$1:$IV$65536,4,FALSE),0)</f>
        <v>0</v>
      </c>
      <c r="G996" s="4">
        <f>IFERROR(VLOOKUP(B996,'[2]new sheet'!$A$1:$IV$65536,2,0),0)</f>
        <v>0</v>
      </c>
      <c r="H996" s="5">
        <f>IFERROR(VLOOKUP(B996,'[3]new sheet'!$A$1:$IV$65536,2,0),0)</f>
        <v>0</v>
      </c>
    </row>
    <row r="997" spans="1:8" ht="24" customHeight="1">
      <c r="A997" s="7" t="s">
        <v>811</v>
      </c>
      <c r="B997" s="7">
        <v>235</v>
      </c>
      <c r="C997" s="8" t="s">
        <v>812</v>
      </c>
      <c r="D997" s="8" t="s">
        <v>1937</v>
      </c>
      <c r="E997" s="2">
        <f>IFERROR(VLOOKUP(B997,'[1]new sheet'!$A$1:$IV$65536,5,FALSE),0)</f>
        <v>689</v>
      </c>
      <c r="F997" s="3">
        <f>IFERROR(VLOOKUP(B997,'[1]new sheet'!$A$1:$IV$65536,4,FALSE),0)</f>
        <v>11</v>
      </c>
      <c r="G997" s="4">
        <f>IFERROR(VLOOKUP(B997,'[2]new sheet'!$A$1:$IV$65536,2,0),0)</f>
        <v>942</v>
      </c>
      <c r="H997" s="5">
        <f>IFERROR(VLOOKUP(B997,'[3]new sheet'!$A$1:$IV$65536,2,0),0)</f>
        <v>465</v>
      </c>
    </row>
    <row r="998" spans="1:8" ht="24" customHeight="1">
      <c r="A998" s="7">
        <v>990829</v>
      </c>
      <c r="B998" s="7">
        <v>3645</v>
      </c>
      <c r="C998" s="8" t="s">
        <v>1726</v>
      </c>
      <c r="D998" s="8" t="s">
        <v>1934</v>
      </c>
      <c r="E998" s="2">
        <f>IFERROR(VLOOKUP(B998,'[1]new sheet'!$A$1:$IV$65536,5,FALSE),0)</f>
        <v>36</v>
      </c>
      <c r="F998" s="3">
        <f>IFERROR(VLOOKUP(B998,'[1]new sheet'!$A$1:$IV$65536,4,FALSE),0)</f>
        <v>3</v>
      </c>
      <c r="G998" s="4">
        <f>IFERROR(VLOOKUP(B998,'[2]new sheet'!$A$1:$IV$65536,2,0),0)</f>
        <v>33</v>
      </c>
      <c r="H998" s="5">
        <f>IFERROR(VLOOKUP(B998,'[3]new sheet'!$A$1:$IV$65536,2,0),0)</f>
        <v>9</v>
      </c>
    </row>
    <row r="999" spans="1:8" ht="24" customHeight="1">
      <c r="A999" s="7">
        <v>43611</v>
      </c>
      <c r="B999" s="7">
        <v>827</v>
      </c>
      <c r="C999" s="8" t="s">
        <v>813</v>
      </c>
      <c r="D999" s="8" t="s">
        <v>1937</v>
      </c>
      <c r="E999" s="2">
        <f>IFERROR(VLOOKUP(B999,'[1]new sheet'!$A$1:$IV$65536,5,FALSE),0)</f>
        <v>0</v>
      </c>
      <c r="F999" s="3">
        <f>IFERROR(VLOOKUP(B999,'[1]new sheet'!$A$1:$IV$65536,4,FALSE),0)</f>
        <v>0</v>
      </c>
      <c r="G999" s="4">
        <f>IFERROR(VLOOKUP(B999,'[2]new sheet'!$A$1:$IV$65536,2,0),0)</f>
        <v>12</v>
      </c>
      <c r="H999" s="5">
        <f>IFERROR(VLOOKUP(B999,'[3]new sheet'!$A$1:$IV$65536,2,0),0)</f>
        <v>12</v>
      </c>
    </row>
    <row r="1000" spans="1:8" ht="24" customHeight="1">
      <c r="A1000" s="7">
        <v>9687</v>
      </c>
      <c r="B1000" s="7">
        <v>1059</v>
      </c>
      <c r="C1000" s="8" t="s">
        <v>814</v>
      </c>
      <c r="D1000" s="8" t="s">
        <v>1937</v>
      </c>
      <c r="E1000" s="2">
        <f>IFERROR(VLOOKUP(B1000,'[1]new sheet'!$A$1:$IV$65536,5,FALSE),0)</f>
        <v>0</v>
      </c>
      <c r="F1000" s="3">
        <f>IFERROR(VLOOKUP(B1000,'[1]new sheet'!$A$1:$IV$65536,4,FALSE),0)</f>
        <v>0</v>
      </c>
      <c r="G1000" s="4">
        <f>IFERROR(VLOOKUP(B1000,'[2]new sheet'!$A$1:$IV$65536,2,0),0)</f>
        <v>0</v>
      </c>
      <c r="H1000" s="5">
        <f>IFERROR(VLOOKUP(B1000,'[3]new sheet'!$A$1:$IV$65536,2,0),0)</f>
        <v>0</v>
      </c>
    </row>
    <row r="1001" spans="1:8" ht="24" customHeight="1">
      <c r="A1001" s="7">
        <v>999051</v>
      </c>
      <c r="B1001" s="7">
        <v>898</v>
      </c>
      <c r="C1001" s="8" t="s">
        <v>815</v>
      </c>
      <c r="D1001" s="8" t="s">
        <v>1937</v>
      </c>
      <c r="E1001" s="2">
        <f>IFERROR(VLOOKUP(B1001,'[1]new sheet'!$A$1:$IV$65536,5,FALSE),0)</f>
        <v>0</v>
      </c>
      <c r="F1001" s="3">
        <f>IFERROR(VLOOKUP(B1001,'[1]new sheet'!$A$1:$IV$65536,4,FALSE),0)</f>
        <v>0</v>
      </c>
      <c r="G1001" s="4">
        <f>IFERROR(VLOOKUP(B1001,'[2]new sheet'!$A$1:$IV$65536,2,0),0)</f>
        <v>255</v>
      </c>
      <c r="H1001" s="5">
        <f>IFERROR(VLOOKUP(B1001,'[3]new sheet'!$A$1:$IV$65536,2,0),0)</f>
        <v>0</v>
      </c>
    </row>
    <row r="1002" spans="1:8" ht="24" customHeight="1">
      <c r="A1002" s="7">
        <v>235279</v>
      </c>
      <c r="B1002" s="7">
        <v>1966</v>
      </c>
      <c r="C1002" s="8" t="s">
        <v>1727</v>
      </c>
      <c r="D1002" s="8" t="s">
        <v>1934</v>
      </c>
      <c r="E1002" s="2">
        <f>IFERROR(VLOOKUP(B1002,'[1]new sheet'!$A$1:$IV$65536,5,FALSE),0)</f>
        <v>0</v>
      </c>
      <c r="F1002" s="3">
        <f>IFERROR(VLOOKUP(B1002,'[1]new sheet'!$A$1:$IV$65536,4,FALSE),0)</f>
        <v>0</v>
      </c>
      <c r="G1002" s="4">
        <f>IFERROR(VLOOKUP(B1002,'[2]new sheet'!$A$1:$IV$65536,2,0),0)</f>
        <v>0</v>
      </c>
      <c r="H1002" s="5">
        <f>IFERROR(VLOOKUP(B1002,'[3]new sheet'!$A$1:$IV$65536,2,0),0)</f>
        <v>0</v>
      </c>
    </row>
    <row r="1003" spans="1:8" ht="24" customHeight="1">
      <c r="A1003" s="7">
        <v>43118</v>
      </c>
      <c r="B1003" s="7">
        <v>620</v>
      </c>
      <c r="C1003" s="8" t="s">
        <v>816</v>
      </c>
      <c r="D1003" s="8" t="s">
        <v>1937</v>
      </c>
      <c r="E1003" s="2">
        <f>IFERROR(VLOOKUP(B1003,'[1]new sheet'!$A$1:$IV$65536,5,FALSE),0)</f>
        <v>1308</v>
      </c>
      <c r="F1003" s="3">
        <f>IFERROR(VLOOKUP(B1003,'[1]new sheet'!$A$1:$IV$65536,4,FALSE),0)</f>
        <v>81</v>
      </c>
      <c r="G1003" s="4">
        <f>IFERROR(VLOOKUP(B1003,'[2]new sheet'!$A$1:$IV$65536,2,0),0)</f>
        <v>3250</v>
      </c>
      <c r="H1003" s="5">
        <f>IFERROR(VLOOKUP(B1003,'[3]new sheet'!$A$1:$IV$65536,2,0),0)</f>
        <v>978</v>
      </c>
    </row>
    <row r="1004" spans="1:8" ht="24" customHeight="1">
      <c r="A1004" s="7">
        <v>43072</v>
      </c>
      <c r="B1004" s="7">
        <v>1076</v>
      </c>
      <c r="C1004" s="8" t="s">
        <v>817</v>
      </c>
      <c r="D1004" s="8" t="s">
        <v>1937</v>
      </c>
      <c r="E1004" s="2">
        <f>IFERROR(VLOOKUP(B1004,'[1]new sheet'!$A$1:$IV$65536,5,FALSE),0)</f>
        <v>0</v>
      </c>
      <c r="F1004" s="3">
        <f>IFERROR(VLOOKUP(B1004,'[1]new sheet'!$A$1:$IV$65536,4,FALSE),0)</f>
        <v>0</v>
      </c>
      <c r="G1004" s="4">
        <f>IFERROR(VLOOKUP(B1004,'[2]new sheet'!$A$1:$IV$65536,2,0),0)</f>
        <v>0</v>
      </c>
      <c r="H1004" s="5">
        <f>IFERROR(VLOOKUP(B1004,'[3]new sheet'!$A$1:$IV$65536,2,0),0)</f>
        <v>0</v>
      </c>
    </row>
    <row r="1005" spans="1:8" ht="24" customHeight="1">
      <c r="A1005" s="7">
        <v>10188</v>
      </c>
      <c r="B1005" s="7">
        <v>3224</v>
      </c>
      <c r="C1005" s="8" t="s">
        <v>818</v>
      </c>
      <c r="D1005" s="8" t="s">
        <v>1937</v>
      </c>
      <c r="E1005" s="2">
        <f>IFERROR(VLOOKUP(B1005,'[1]new sheet'!$A$1:$IV$65536,5,FALSE),0)</f>
        <v>0</v>
      </c>
      <c r="F1005" s="3">
        <f>IFERROR(VLOOKUP(B1005,'[1]new sheet'!$A$1:$IV$65536,4,FALSE),0)</f>
        <v>0</v>
      </c>
      <c r="G1005" s="4">
        <f>IFERROR(VLOOKUP(B1005,'[2]new sheet'!$A$1:$IV$65536,2,0),0)</f>
        <v>0</v>
      </c>
      <c r="H1005" s="5">
        <f>IFERROR(VLOOKUP(B1005,'[3]new sheet'!$A$1:$IV$65536,2,0),0)</f>
        <v>0</v>
      </c>
    </row>
    <row r="1006" spans="1:8" ht="24" customHeight="1">
      <c r="A1006" s="7">
        <v>578193</v>
      </c>
      <c r="B1006" s="7">
        <v>621</v>
      </c>
      <c r="C1006" s="8" t="s">
        <v>819</v>
      </c>
      <c r="D1006" s="8" t="s">
        <v>1937</v>
      </c>
      <c r="E1006" s="2">
        <f>IFERROR(VLOOKUP(B1006,'[1]new sheet'!$A$1:$IV$65536,5,FALSE),0)</f>
        <v>77</v>
      </c>
      <c r="F1006" s="3">
        <f>IFERROR(VLOOKUP(B1006,'[1]new sheet'!$A$1:$IV$65536,4,FALSE),0)</f>
        <v>7</v>
      </c>
      <c r="G1006" s="4">
        <f>IFERROR(VLOOKUP(B1006,'[2]new sheet'!$A$1:$IV$65536,2,0),0)</f>
        <v>251</v>
      </c>
      <c r="H1006" s="5">
        <f>IFERROR(VLOOKUP(B1006,'[3]new sheet'!$A$1:$IV$65536,2,0),0)</f>
        <v>50</v>
      </c>
    </row>
    <row r="1007" spans="1:8" ht="24" customHeight="1">
      <c r="A1007" s="7">
        <v>228659</v>
      </c>
      <c r="B1007" s="7">
        <v>1058</v>
      </c>
      <c r="C1007" s="8" t="s">
        <v>820</v>
      </c>
      <c r="D1007" s="8" t="s">
        <v>1937</v>
      </c>
      <c r="E1007" s="2">
        <f>IFERROR(VLOOKUP(B1007,'[1]new sheet'!$A$1:$IV$65536,5,FALSE),0)</f>
        <v>18</v>
      </c>
      <c r="F1007" s="3">
        <f>IFERROR(VLOOKUP(B1007,'[1]new sheet'!$A$1:$IV$65536,4,FALSE),0)</f>
        <v>24</v>
      </c>
      <c r="G1007" s="4">
        <f>IFERROR(VLOOKUP(B1007,'[2]new sheet'!$A$1:$IV$65536,2,0),0)</f>
        <v>165</v>
      </c>
      <c r="H1007" s="5">
        <f>IFERROR(VLOOKUP(B1007,'[3]new sheet'!$A$1:$IV$65536,2,0),0)</f>
        <v>95</v>
      </c>
    </row>
    <row r="1008" spans="1:8" ht="24" customHeight="1">
      <c r="A1008" s="7">
        <v>9687</v>
      </c>
      <c r="B1008" s="7">
        <v>236</v>
      </c>
      <c r="C1008" s="8" t="s">
        <v>821</v>
      </c>
      <c r="D1008" s="8" t="s">
        <v>1937</v>
      </c>
      <c r="E1008" s="2">
        <f>IFERROR(VLOOKUP(B1008,'[1]new sheet'!$A$1:$IV$65536,5,FALSE),0)</f>
        <v>0</v>
      </c>
      <c r="F1008" s="3">
        <f>IFERROR(VLOOKUP(B1008,'[1]new sheet'!$A$1:$IV$65536,4,FALSE),0)</f>
        <v>0</v>
      </c>
      <c r="G1008" s="4">
        <f>IFERROR(VLOOKUP(B1008,'[2]new sheet'!$A$1:$IV$65536,2,0),0)</f>
        <v>1767</v>
      </c>
      <c r="H1008" s="5">
        <f>IFERROR(VLOOKUP(B1008,'[3]new sheet'!$A$1:$IV$65536,2,0),0)</f>
        <v>371</v>
      </c>
    </row>
    <row r="1009" spans="1:8" ht="24" customHeight="1">
      <c r="A1009" s="7">
        <v>578169</v>
      </c>
      <c r="B1009" s="7">
        <v>961</v>
      </c>
      <c r="C1009" s="8" t="s">
        <v>822</v>
      </c>
      <c r="D1009" s="8" t="s">
        <v>1937</v>
      </c>
      <c r="E1009" s="2">
        <f>IFERROR(VLOOKUP(B1009,'[1]new sheet'!$A$1:$IV$65536,5,FALSE),0)</f>
        <v>0</v>
      </c>
      <c r="F1009" s="3">
        <f>IFERROR(VLOOKUP(B1009,'[1]new sheet'!$A$1:$IV$65536,4,FALSE),0)</f>
        <v>0</v>
      </c>
      <c r="G1009" s="4">
        <f>IFERROR(VLOOKUP(B1009,'[2]new sheet'!$A$1:$IV$65536,2,0),0)</f>
        <v>130</v>
      </c>
      <c r="H1009" s="5">
        <f>IFERROR(VLOOKUP(B1009,'[3]new sheet'!$A$1:$IV$65536,2,0),0)</f>
        <v>166</v>
      </c>
    </row>
    <row r="1010" spans="1:8" ht="24" customHeight="1">
      <c r="A1010" s="7">
        <v>235259</v>
      </c>
      <c r="B1010" s="7">
        <v>1474</v>
      </c>
      <c r="C1010" s="8" t="s">
        <v>823</v>
      </c>
      <c r="D1010" s="8" t="s">
        <v>1934</v>
      </c>
      <c r="E1010" s="2">
        <f>IFERROR(VLOOKUP(B1010,'[1]new sheet'!$A$1:$IV$65536,5,FALSE),0)</f>
        <v>1</v>
      </c>
      <c r="F1010" s="3">
        <f>IFERROR(VLOOKUP(B1010,'[1]new sheet'!$A$1:$IV$65536,4,FALSE),0)</f>
        <v>0</v>
      </c>
      <c r="G1010" s="4">
        <f>IFERROR(VLOOKUP(B1010,'[2]new sheet'!$A$1:$IV$65536,2,0),0)</f>
        <v>25</v>
      </c>
      <c r="H1010" s="5">
        <f>IFERROR(VLOOKUP(B1010,'[3]new sheet'!$A$1:$IV$65536,2,0),0)</f>
        <v>0</v>
      </c>
    </row>
    <row r="1011" spans="1:8" ht="24" customHeight="1">
      <c r="A1011" s="7"/>
      <c r="B1011" s="7">
        <v>622</v>
      </c>
      <c r="C1011" s="8" t="s">
        <v>823</v>
      </c>
      <c r="D1011" s="8" t="s">
        <v>1934</v>
      </c>
      <c r="E1011" s="2">
        <f>IFERROR(VLOOKUP(B1011,'[1]new sheet'!$A$1:$IV$65536,5,FALSE),0)</f>
        <v>0</v>
      </c>
      <c r="F1011" s="3">
        <f>IFERROR(VLOOKUP(B1011,'[1]new sheet'!$A$1:$IV$65536,4,FALSE),0)</f>
        <v>0</v>
      </c>
      <c r="G1011" s="4">
        <f>IFERROR(VLOOKUP(B1011,'[2]new sheet'!$A$1:$IV$65536,2,0),0)</f>
        <v>0</v>
      </c>
      <c r="H1011" s="5">
        <f>IFERROR(VLOOKUP(B1011,'[3]new sheet'!$A$1:$IV$65536,2,0),0)</f>
        <v>0</v>
      </c>
    </row>
    <row r="1012" spans="1:8" ht="24" customHeight="1">
      <c r="A1012" s="7">
        <v>9865</v>
      </c>
      <c r="B1012" s="7">
        <v>624</v>
      </c>
      <c r="C1012" s="8" t="s">
        <v>824</v>
      </c>
      <c r="D1012" s="8" t="s">
        <v>1934</v>
      </c>
      <c r="E1012" s="2">
        <f>IFERROR(VLOOKUP(B1012,'[1]new sheet'!$A$1:$IV$65536,5,FALSE),0)</f>
        <v>26</v>
      </c>
      <c r="F1012" s="3">
        <f>IFERROR(VLOOKUP(B1012,'[1]new sheet'!$A$1:$IV$65536,4,FALSE),0)</f>
        <v>0</v>
      </c>
      <c r="G1012" s="4">
        <f>IFERROR(VLOOKUP(B1012,'[2]new sheet'!$A$1:$IV$65536,2,0),0)</f>
        <v>39</v>
      </c>
      <c r="H1012" s="5">
        <f>IFERROR(VLOOKUP(B1012,'[3]new sheet'!$A$1:$IV$65536,2,0),0)</f>
        <v>14</v>
      </c>
    </row>
    <row r="1013" spans="1:8" ht="24" customHeight="1">
      <c r="A1013" s="7">
        <v>9741</v>
      </c>
      <c r="B1013" s="7">
        <v>625</v>
      </c>
      <c r="C1013" s="8" t="s">
        <v>825</v>
      </c>
      <c r="D1013" s="8" t="s">
        <v>1937</v>
      </c>
      <c r="E1013" s="2">
        <f>IFERROR(VLOOKUP(B1013,'[1]new sheet'!$A$1:$IV$65536,5,FALSE),0)</f>
        <v>0</v>
      </c>
      <c r="F1013" s="3">
        <f>IFERROR(VLOOKUP(B1013,'[1]new sheet'!$A$1:$IV$65536,4,FALSE),0)</f>
        <v>0</v>
      </c>
      <c r="G1013" s="4">
        <f>IFERROR(VLOOKUP(B1013,'[2]new sheet'!$A$1:$IV$65536,2,0),0)</f>
        <v>1844</v>
      </c>
      <c r="H1013" s="5">
        <f>IFERROR(VLOOKUP(B1013,'[3]new sheet'!$A$1:$IV$65536,2,0),0)</f>
        <v>523</v>
      </c>
    </row>
    <row r="1014" spans="1:8" ht="24" customHeight="1">
      <c r="A1014" s="7">
        <v>966177</v>
      </c>
      <c r="B1014" s="7">
        <v>285</v>
      </c>
      <c r="C1014" s="8" t="s">
        <v>826</v>
      </c>
      <c r="D1014" s="8" t="s">
        <v>1934</v>
      </c>
      <c r="E1014" s="2">
        <f>IFERROR(VLOOKUP(B1014,'[1]new sheet'!$A$1:$IV$65536,5,FALSE),0)</f>
        <v>1</v>
      </c>
      <c r="F1014" s="3">
        <f>IFERROR(VLOOKUP(B1014,'[1]new sheet'!$A$1:$IV$65536,4,FALSE),0)</f>
        <v>0</v>
      </c>
      <c r="G1014" s="4">
        <f>IFERROR(VLOOKUP(B1014,'[2]new sheet'!$A$1:$IV$65536,2,0),0)</f>
        <v>4</v>
      </c>
      <c r="H1014" s="5">
        <f>IFERROR(VLOOKUP(B1014,'[3]new sheet'!$A$1:$IV$65536,2,0),0)</f>
        <v>4</v>
      </c>
    </row>
    <row r="1015" spans="1:8" ht="24" customHeight="1">
      <c r="A1015" s="7">
        <v>9318</v>
      </c>
      <c r="B1015" s="7">
        <v>2004</v>
      </c>
      <c r="C1015" s="8" t="s">
        <v>827</v>
      </c>
      <c r="D1015" s="8" t="s">
        <v>1937</v>
      </c>
      <c r="E1015" s="2">
        <f>IFERROR(VLOOKUP(B1015,'[1]new sheet'!$A$1:$IV$65536,5,FALSE),0)</f>
        <v>0</v>
      </c>
      <c r="F1015" s="3">
        <f>IFERROR(VLOOKUP(B1015,'[1]new sheet'!$A$1:$IV$65536,4,FALSE),0)</f>
        <v>0</v>
      </c>
      <c r="G1015" s="4">
        <f>IFERROR(VLOOKUP(B1015,'[2]new sheet'!$A$1:$IV$65536,2,0),0)</f>
        <v>36</v>
      </c>
      <c r="H1015" s="5">
        <f>IFERROR(VLOOKUP(B1015,'[3]new sheet'!$A$1:$IV$65536,2,0),0)</f>
        <v>23</v>
      </c>
    </row>
    <row r="1016" spans="1:8" ht="24" customHeight="1">
      <c r="A1016" s="7">
        <v>996372</v>
      </c>
      <c r="B1016" s="7">
        <v>828</v>
      </c>
      <c r="C1016" s="8" t="s">
        <v>828</v>
      </c>
      <c r="D1016" s="8" t="s">
        <v>1934</v>
      </c>
      <c r="E1016" s="2">
        <f>IFERROR(VLOOKUP(B1016,'[1]new sheet'!$A$1:$IV$65536,5,FALSE),0)</f>
        <v>0</v>
      </c>
      <c r="F1016" s="3">
        <f>IFERROR(VLOOKUP(B1016,'[1]new sheet'!$A$1:$IV$65536,4,FALSE),0)</f>
        <v>0</v>
      </c>
      <c r="G1016" s="4">
        <f>IFERROR(VLOOKUP(B1016,'[2]new sheet'!$A$1:$IV$65536,2,0),0)</f>
        <v>0</v>
      </c>
      <c r="H1016" s="5">
        <f>IFERROR(VLOOKUP(B1016,'[3]new sheet'!$A$1:$IV$65536,2,0),0)</f>
        <v>0</v>
      </c>
    </row>
    <row r="1017" spans="1:8" ht="24" customHeight="1">
      <c r="A1017" s="7">
        <v>996388</v>
      </c>
      <c r="B1017" s="7">
        <v>608</v>
      </c>
      <c r="C1017" s="8" t="s">
        <v>829</v>
      </c>
      <c r="D1017" s="8" t="s">
        <v>1934</v>
      </c>
      <c r="E1017" s="2">
        <f>IFERROR(VLOOKUP(B1017,'[1]new sheet'!$A$1:$IV$65536,5,FALSE),0)</f>
        <v>0</v>
      </c>
      <c r="F1017" s="3">
        <f>IFERROR(VLOOKUP(B1017,'[1]new sheet'!$A$1:$IV$65536,4,FALSE),0)</f>
        <v>0</v>
      </c>
      <c r="G1017" s="4">
        <f>IFERROR(VLOOKUP(B1017,'[2]new sheet'!$A$1:$IV$65536,2,0),0)</f>
        <v>0</v>
      </c>
      <c r="H1017" s="5">
        <f>IFERROR(VLOOKUP(B1017,'[3]new sheet'!$A$1:$IV$65536,2,0),0)</f>
        <v>0</v>
      </c>
    </row>
    <row r="1018" spans="1:8" ht="24" customHeight="1">
      <c r="A1018" s="7">
        <v>996385</v>
      </c>
      <c r="B1018" s="7">
        <v>627</v>
      </c>
      <c r="C1018" s="8" t="s">
        <v>830</v>
      </c>
      <c r="D1018" s="8" t="s">
        <v>1934</v>
      </c>
      <c r="E1018" s="2">
        <f>IFERROR(VLOOKUP(B1018,'[1]new sheet'!$A$1:$IV$65536,5,FALSE),0)</f>
        <v>0</v>
      </c>
      <c r="F1018" s="3">
        <f>IFERROR(VLOOKUP(B1018,'[1]new sheet'!$A$1:$IV$65536,4,FALSE),0)</f>
        <v>0</v>
      </c>
      <c r="G1018" s="4">
        <f>IFERROR(VLOOKUP(B1018,'[2]new sheet'!$A$1:$IV$65536,2,0),0)</f>
        <v>0</v>
      </c>
      <c r="H1018" s="5">
        <f>IFERROR(VLOOKUP(B1018,'[3]new sheet'!$A$1:$IV$65536,2,0),0)</f>
        <v>0</v>
      </c>
    </row>
    <row r="1019" spans="1:8" ht="24" customHeight="1">
      <c r="A1019" s="7">
        <v>1702660</v>
      </c>
      <c r="B1019" s="7">
        <v>3088</v>
      </c>
      <c r="C1019" s="8" t="s">
        <v>1565</v>
      </c>
      <c r="D1019" s="8" t="s">
        <v>1937</v>
      </c>
      <c r="E1019" s="2">
        <f>IFERROR(VLOOKUP(B1019,'[1]new sheet'!$A$1:$IV$65536,5,FALSE),0)</f>
        <v>107</v>
      </c>
      <c r="F1019" s="3">
        <f>IFERROR(VLOOKUP(B1019,'[1]new sheet'!$A$1:$IV$65536,4,FALSE),0)</f>
        <v>5</v>
      </c>
      <c r="G1019" s="4">
        <f>IFERROR(VLOOKUP(B1019,'[2]new sheet'!$A$1:$IV$65536,2,0),0)</f>
        <v>1012</v>
      </c>
      <c r="H1019" s="5">
        <f>IFERROR(VLOOKUP(B1019,'[3]new sheet'!$A$1:$IV$65536,2,0),0)</f>
        <v>348</v>
      </c>
    </row>
    <row r="1020" spans="1:8" ht="24" customHeight="1">
      <c r="A1020" s="7">
        <v>995431</v>
      </c>
      <c r="B1020" s="7">
        <v>1333</v>
      </c>
      <c r="C1020" s="8" t="s">
        <v>831</v>
      </c>
      <c r="D1020" s="8" t="s">
        <v>1937</v>
      </c>
      <c r="E1020" s="2">
        <f>IFERROR(VLOOKUP(B1020,'[1]new sheet'!$A$1:$IV$65536,5,FALSE),0)</f>
        <v>19</v>
      </c>
      <c r="F1020" s="3">
        <f>IFERROR(VLOOKUP(B1020,'[1]new sheet'!$A$1:$IV$65536,4,FALSE),0)</f>
        <v>0</v>
      </c>
      <c r="G1020" s="4">
        <f>IFERROR(VLOOKUP(B1020,'[2]new sheet'!$A$1:$IV$65536,2,0),0)</f>
        <v>8</v>
      </c>
      <c r="H1020" s="5">
        <f>IFERROR(VLOOKUP(B1020,'[3]new sheet'!$A$1:$IV$65536,2,0),0)</f>
        <v>3</v>
      </c>
    </row>
    <row r="1021" spans="1:8" ht="24" customHeight="1">
      <c r="A1021" s="7"/>
      <c r="B1021" s="7">
        <v>238</v>
      </c>
      <c r="C1021" s="8" t="s">
        <v>832</v>
      </c>
      <c r="D1021" s="8" t="s">
        <v>1934</v>
      </c>
      <c r="E1021" s="2">
        <f>IFERROR(VLOOKUP(B1021,'[1]new sheet'!$A$1:$IV$65536,5,FALSE),0)</f>
        <v>0</v>
      </c>
      <c r="F1021" s="3">
        <f>IFERROR(VLOOKUP(B1021,'[1]new sheet'!$A$1:$IV$65536,4,FALSE),0)</f>
        <v>0</v>
      </c>
      <c r="G1021" s="4">
        <f>IFERROR(VLOOKUP(B1021,'[2]new sheet'!$A$1:$IV$65536,2,0),0)</f>
        <v>0</v>
      </c>
      <c r="H1021" s="5">
        <f>IFERROR(VLOOKUP(B1021,'[3]new sheet'!$A$1:$IV$65536,2,0),0)</f>
        <v>0</v>
      </c>
    </row>
    <row r="1022" spans="1:8" ht="24" customHeight="1">
      <c r="A1022" s="7">
        <v>9288</v>
      </c>
      <c r="B1022" s="7">
        <v>237</v>
      </c>
      <c r="C1022" s="8" t="s">
        <v>1706</v>
      </c>
      <c r="D1022" s="8" t="s">
        <v>1937</v>
      </c>
      <c r="E1022" s="2">
        <f>IFERROR(VLOOKUP(B1022,'[1]new sheet'!$A$1:$IV$65536,5,FALSE),0)</f>
        <v>0</v>
      </c>
      <c r="F1022" s="3">
        <f>IFERROR(VLOOKUP(B1022,'[1]new sheet'!$A$1:$IV$65536,4,FALSE),0)</f>
        <v>0</v>
      </c>
      <c r="G1022" s="4">
        <f>IFERROR(VLOOKUP(B1022,'[2]new sheet'!$A$1:$IV$65536,2,0),0)</f>
        <v>96</v>
      </c>
      <c r="H1022" s="5">
        <f>IFERROR(VLOOKUP(B1022,'[3]new sheet'!$A$1:$IV$65536,2,0),0)</f>
        <v>101</v>
      </c>
    </row>
    <row r="1023" spans="1:8" ht="24" customHeight="1">
      <c r="A1023" s="7">
        <v>990596</v>
      </c>
      <c r="B1023" s="7">
        <v>3249</v>
      </c>
      <c r="C1023" s="8" t="s">
        <v>1566</v>
      </c>
      <c r="D1023" s="8" t="s">
        <v>1934</v>
      </c>
      <c r="E1023" s="2">
        <f>IFERROR(VLOOKUP(B1023,'[1]new sheet'!$A$1:$IV$65536,5,FALSE),0)</f>
        <v>51</v>
      </c>
      <c r="F1023" s="3">
        <f>IFERROR(VLOOKUP(B1023,'[1]new sheet'!$A$1:$IV$65536,4,FALSE),0)</f>
        <v>0</v>
      </c>
      <c r="G1023" s="4">
        <f>IFERROR(VLOOKUP(B1023,'[2]new sheet'!$A$1:$IV$65536,2,0),0)</f>
        <v>17</v>
      </c>
      <c r="H1023" s="5">
        <f>IFERROR(VLOOKUP(B1023,'[3]new sheet'!$A$1:$IV$65536,2,0),0)</f>
        <v>5</v>
      </c>
    </row>
    <row r="1024" spans="1:8" ht="24" customHeight="1">
      <c r="A1024" s="7">
        <v>56390</v>
      </c>
      <c r="B1024" s="7">
        <v>628</v>
      </c>
      <c r="C1024" s="8" t="s">
        <v>833</v>
      </c>
      <c r="D1024" s="8" t="s">
        <v>1934</v>
      </c>
      <c r="E1024" s="2">
        <f>IFERROR(VLOOKUP(B1024,'[1]new sheet'!$A$1:$IV$65536,5,FALSE),0)</f>
        <v>0</v>
      </c>
      <c r="F1024" s="3">
        <f>IFERROR(VLOOKUP(B1024,'[1]new sheet'!$A$1:$IV$65536,4,FALSE),0)</f>
        <v>0</v>
      </c>
      <c r="G1024" s="4">
        <f>IFERROR(VLOOKUP(B1024,'[2]new sheet'!$A$1:$IV$65536,2,0),0)</f>
        <v>0</v>
      </c>
      <c r="H1024" s="5">
        <f>IFERROR(VLOOKUP(B1024,'[3]new sheet'!$A$1:$IV$65536,2,0),0)</f>
        <v>0</v>
      </c>
    </row>
    <row r="1025" spans="1:8" ht="24" customHeight="1">
      <c r="A1025" s="7">
        <v>996383</v>
      </c>
      <c r="B1025" s="7">
        <v>284</v>
      </c>
      <c r="C1025" s="8" t="s">
        <v>834</v>
      </c>
      <c r="D1025" s="8" t="s">
        <v>1934</v>
      </c>
      <c r="E1025" s="2">
        <f>IFERROR(VLOOKUP(B1025,'[1]new sheet'!$A$1:$IV$65536,5,FALSE),0)</f>
        <v>0</v>
      </c>
      <c r="F1025" s="3">
        <f>IFERROR(VLOOKUP(B1025,'[1]new sheet'!$A$1:$IV$65536,4,FALSE),0)</f>
        <v>0</v>
      </c>
      <c r="G1025" s="4">
        <f>IFERROR(VLOOKUP(B1025,'[2]new sheet'!$A$1:$IV$65536,2,0),0)</f>
        <v>0</v>
      </c>
      <c r="H1025" s="5">
        <f>IFERROR(VLOOKUP(B1025,'[3]new sheet'!$A$1:$IV$65536,2,0),0)</f>
        <v>0</v>
      </c>
    </row>
    <row r="1026" spans="1:8" ht="24" customHeight="1">
      <c r="A1026" s="7">
        <v>199</v>
      </c>
      <c r="B1026" s="7">
        <v>766</v>
      </c>
      <c r="C1026" s="8" t="s">
        <v>835</v>
      </c>
      <c r="D1026" s="8" t="s">
        <v>1935</v>
      </c>
      <c r="E1026" s="2">
        <f>IFERROR(VLOOKUP(B1026,'[1]new sheet'!$A$1:$IV$65536,5,FALSE),0)</f>
        <v>0</v>
      </c>
      <c r="F1026" s="3">
        <f>IFERROR(VLOOKUP(B1026,'[1]new sheet'!$A$1:$IV$65536,4,FALSE),0)</f>
        <v>0</v>
      </c>
      <c r="G1026" s="4">
        <f>IFERROR(VLOOKUP(B1026,'[2]new sheet'!$A$1:$IV$65536,2,0),0)</f>
        <v>0</v>
      </c>
      <c r="H1026" s="5">
        <f>IFERROR(VLOOKUP(B1026,'[3]new sheet'!$A$1:$IV$65536,2,0),0)</f>
        <v>0</v>
      </c>
    </row>
    <row r="1027" spans="1:8" ht="24" customHeight="1">
      <c r="A1027" s="7">
        <v>60735</v>
      </c>
      <c r="B1027" s="7">
        <v>629</v>
      </c>
      <c r="C1027" s="8" t="s">
        <v>836</v>
      </c>
      <c r="D1027" s="8" t="s">
        <v>1934</v>
      </c>
      <c r="E1027" s="2">
        <f>IFERROR(VLOOKUP(B1027,'[1]new sheet'!$A$1:$IV$65536,5,FALSE),0)</f>
        <v>3</v>
      </c>
      <c r="F1027" s="3">
        <f>IFERROR(VLOOKUP(B1027,'[1]new sheet'!$A$1:$IV$65536,4,FALSE),0)</f>
        <v>0</v>
      </c>
      <c r="G1027" s="4">
        <f>IFERROR(VLOOKUP(B1027,'[2]new sheet'!$A$1:$IV$65536,2,0),0)</f>
        <v>0</v>
      </c>
      <c r="H1027" s="5">
        <f>IFERROR(VLOOKUP(B1027,'[3]new sheet'!$A$1:$IV$65536,2,0),0)</f>
        <v>0</v>
      </c>
    </row>
    <row r="1028" spans="1:8" ht="24" customHeight="1">
      <c r="A1028" s="7" t="s">
        <v>837</v>
      </c>
      <c r="B1028" s="7">
        <v>3192</v>
      </c>
      <c r="C1028" s="8" t="s">
        <v>838</v>
      </c>
      <c r="D1028" s="8" t="s">
        <v>1935</v>
      </c>
      <c r="E1028" s="2">
        <f>IFERROR(VLOOKUP(B1028,'[1]new sheet'!$A$1:$IV$65536,5,FALSE),0)</f>
        <v>0</v>
      </c>
      <c r="F1028" s="3">
        <f>IFERROR(VLOOKUP(B1028,'[1]new sheet'!$A$1:$IV$65536,4,FALSE),0)</f>
        <v>0</v>
      </c>
      <c r="G1028" s="4">
        <f>IFERROR(VLOOKUP(B1028,'[2]new sheet'!$A$1:$IV$65536,2,0),0)</f>
        <v>0</v>
      </c>
      <c r="H1028" s="5">
        <f>IFERROR(VLOOKUP(B1028,'[3]new sheet'!$A$1:$IV$65536,2,0),0)</f>
        <v>0</v>
      </c>
    </row>
    <row r="1029" spans="1:8" ht="24" customHeight="1">
      <c r="A1029" s="7">
        <v>33105</v>
      </c>
      <c r="B1029" s="7">
        <v>2676</v>
      </c>
      <c r="C1029" s="8" t="s">
        <v>839</v>
      </c>
      <c r="D1029" s="8" t="s">
        <v>1935</v>
      </c>
      <c r="E1029" s="2">
        <f>IFERROR(VLOOKUP(B1029,'[1]new sheet'!$A$1:$IV$65536,5,FALSE),0)</f>
        <v>0</v>
      </c>
      <c r="F1029" s="3">
        <f>IFERROR(VLOOKUP(B1029,'[1]new sheet'!$A$1:$IV$65536,4,FALSE),0)</f>
        <v>0</v>
      </c>
      <c r="G1029" s="4">
        <f>IFERROR(VLOOKUP(B1029,'[2]new sheet'!$A$1:$IV$65536,2,0),0)</f>
        <v>0</v>
      </c>
      <c r="H1029" s="5">
        <f>IFERROR(VLOOKUP(B1029,'[3]new sheet'!$A$1:$IV$65536,2,0),0)</f>
        <v>0</v>
      </c>
    </row>
    <row r="1030" spans="1:8" ht="24" customHeight="1">
      <c r="A1030" s="7">
        <v>11</v>
      </c>
      <c r="B1030" s="7">
        <v>2416</v>
      </c>
      <c r="C1030" s="8" t="s">
        <v>840</v>
      </c>
      <c r="D1030" s="8" t="s">
        <v>1935</v>
      </c>
      <c r="E1030" s="2">
        <f>IFERROR(VLOOKUP(B1030,'[1]new sheet'!$A$1:$IV$65536,5,FALSE),0)</f>
        <v>0</v>
      </c>
      <c r="F1030" s="3">
        <f>IFERROR(VLOOKUP(B1030,'[1]new sheet'!$A$1:$IV$65536,4,FALSE),0)</f>
        <v>0</v>
      </c>
      <c r="G1030" s="4">
        <f>IFERROR(VLOOKUP(B1030,'[2]new sheet'!$A$1:$IV$65536,2,0),0)</f>
        <v>0</v>
      </c>
      <c r="H1030" s="5">
        <f>IFERROR(VLOOKUP(B1030,'[3]new sheet'!$A$1:$IV$65536,2,0),0)</f>
        <v>0</v>
      </c>
    </row>
    <row r="1031" spans="1:8" ht="24" customHeight="1">
      <c r="A1031" s="7">
        <v>246</v>
      </c>
      <c r="B1031" s="7">
        <v>4080</v>
      </c>
      <c r="C1031" s="8" t="s">
        <v>1707</v>
      </c>
      <c r="D1031" s="8" t="s">
        <v>1935</v>
      </c>
      <c r="E1031" s="2">
        <f>IFERROR(VLOOKUP(B1031,'[1]new sheet'!$A$1:$IV$65536,5,FALSE),0)</f>
        <v>0</v>
      </c>
      <c r="F1031" s="3">
        <f>IFERROR(VLOOKUP(B1031,'[1]new sheet'!$A$1:$IV$65536,4,FALSE),0)</f>
        <v>0</v>
      </c>
      <c r="G1031" s="4">
        <f>IFERROR(VLOOKUP(B1031,'[2]new sheet'!$A$1:$IV$65536,2,0),0)</f>
        <v>0</v>
      </c>
      <c r="H1031" s="5">
        <f>IFERROR(VLOOKUP(B1031,'[3]new sheet'!$A$1:$IV$65536,2,0),0)</f>
        <v>0</v>
      </c>
    </row>
    <row r="1032" spans="1:8" ht="24" customHeight="1">
      <c r="A1032" s="7">
        <v>0</v>
      </c>
      <c r="B1032" s="7">
        <v>773</v>
      </c>
      <c r="C1032" s="8" t="s">
        <v>841</v>
      </c>
      <c r="D1032" s="8" t="s">
        <v>1935</v>
      </c>
      <c r="E1032" s="2">
        <f>IFERROR(VLOOKUP(B1032,'[1]new sheet'!$A$1:$IV$65536,5,FALSE),0)</f>
        <v>0</v>
      </c>
      <c r="F1032" s="3">
        <f>IFERROR(VLOOKUP(B1032,'[1]new sheet'!$A$1:$IV$65536,4,FALSE),0)</f>
        <v>0.01</v>
      </c>
      <c r="G1032" s="4">
        <f>IFERROR(VLOOKUP(B1032,'[2]new sheet'!$A$1:$IV$65536,2,0),0)</f>
        <v>0</v>
      </c>
      <c r="H1032" s="5">
        <f>IFERROR(VLOOKUP(B1032,'[3]new sheet'!$A$1:$IV$65536,2,0),0)</f>
        <v>0</v>
      </c>
    </row>
    <row r="1033" spans="1:8" ht="24" customHeight="1">
      <c r="A1033" s="7">
        <v>100028</v>
      </c>
      <c r="B1033" s="7">
        <v>3572</v>
      </c>
      <c r="C1033" s="8" t="s">
        <v>842</v>
      </c>
      <c r="D1033" s="8" t="s">
        <v>1934</v>
      </c>
      <c r="E1033" s="2">
        <f>IFERROR(VLOOKUP(B1033,'[1]new sheet'!$A$1:$IV$65536,5,FALSE),0)</f>
        <v>0</v>
      </c>
      <c r="F1033" s="3">
        <f>IFERROR(VLOOKUP(B1033,'[1]new sheet'!$A$1:$IV$65536,4,FALSE),0)</f>
        <v>0</v>
      </c>
      <c r="G1033" s="4">
        <f>IFERROR(VLOOKUP(B1033,'[2]new sheet'!$A$1:$IV$65536,2,0),0)</f>
        <v>0</v>
      </c>
      <c r="H1033" s="5">
        <f>IFERROR(VLOOKUP(B1033,'[3]new sheet'!$A$1:$IV$65536,2,0),0)</f>
        <v>0</v>
      </c>
    </row>
    <row r="1034" spans="1:8" ht="24" customHeight="1">
      <c r="A1034" s="7">
        <v>207002</v>
      </c>
      <c r="B1034" s="7">
        <v>89</v>
      </c>
      <c r="C1034" s="8" t="s">
        <v>843</v>
      </c>
      <c r="D1034" s="8" t="s">
        <v>1935</v>
      </c>
      <c r="E1034" s="2">
        <f>IFERROR(VLOOKUP(B1034,'[1]new sheet'!$A$1:$IV$65536,5,FALSE),0)</f>
        <v>0</v>
      </c>
      <c r="F1034" s="3">
        <f>IFERROR(VLOOKUP(B1034,'[1]new sheet'!$A$1:$IV$65536,4,FALSE),0)</f>
        <v>0</v>
      </c>
      <c r="G1034" s="4">
        <f>IFERROR(VLOOKUP(B1034,'[2]new sheet'!$A$1:$IV$65536,2,0),0)</f>
        <v>0</v>
      </c>
      <c r="H1034" s="5">
        <f>IFERROR(VLOOKUP(B1034,'[3]new sheet'!$A$1:$IV$65536,2,0),0)</f>
        <v>0</v>
      </c>
    </row>
    <row r="1035" spans="1:8" ht="24" customHeight="1">
      <c r="A1035" s="7">
        <v>22110001</v>
      </c>
      <c r="B1035" s="7">
        <v>3994</v>
      </c>
      <c r="C1035" s="8" t="s">
        <v>1840</v>
      </c>
      <c r="D1035" s="8" t="s">
        <v>1935</v>
      </c>
      <c r="E1035" s="2">
        <f>IFERROR(VLOOKUP(B1035,'[1]new sheet'!$A$1:$IV$65536,5,FALSE),0)</f>
        <v>3290.41</v>
      </c>
      <c r="F1035" s="3">
        <f>IFERROR(VLOOKUP(B1035,'[1]new sheet'!$A$1:$IV$65536,4,FALSE),0)</f>
        <v>60</v>
      </c>
      <c r="G1035" s="4">
        <f>IFERROR(VLOOKUP(B1035,'[2]new sheet'!$A$1:$IV$65536,2,0),0)</f>
        <v>5230.1099999999997</v>
      </c>
      <c r="H1035" s="5">
        <f>IFERROR(VLOOKUP(B1035,'[3]new sheet'!$A$1:$IV$65536,2,0),0)</f>
        <v>1579.55</v>
      </c>
    </row>
    <row r="1036" spans="1:8" ht="24" customHeight="1">
      <c r="A1036" s="7">
        <v>60807</v>
      </c>
      <c r="B1036" s="7">
        <v>630</v>
      </c>
      <c r="C1036" s="8" t="s">
        <v>1528</v>
      </c>
      <c r="D1036" s="8" t="s">
        <v>1934</v>
      </c>
      <c r="E1036" s="2">
        <f>IFERROR(VLOOKUP(B1036,'[1]new sheet'!$A$1:$IV$65536,5,FALSE),0)</f>
        <v>319</v>
      </c>
      <c r="F1036" s="3">
        <f>IFERROR(VLOOKUP(B1036,'[1]new sheet'!$A$1:$IV$65536,4,FALSE),0)</f>
        <v>2</v>
      </c>
      <c r="G1036" s="4">
        <f>IFERROR(VLOOKUP(B1036,'[2]new sheet'!$A$1:$IV$65536,2,0),0)</f>
        <v>83</v>
      </c>
      <c r="H1036" s="5">
        <f>IFERROR(VLOOKUP(B1036,'[3]new sheet'!$A$1:$IV$65536,2,0),0)</f>
        <v>44</v>
      </c>
    </row>
    <row r="1037" spans="1:8" ht="24" customHeight="1">
      <c r="A1037" s="7">
        <v>100204</v>
      </c>
      <c r="B1037" s="7">
        <v>3680</v>
      </c>
      <c r="C1037" s="8" t="s">
        <v>1529</v>
      </c>
      <c r="D1037" s="8" t="s">
        <v>1934</v>
      </c>
      <c r="E1037" s="2">
        <f>IFERROR(VLOOKUP(B1037,'[1]new sheet'!$A$1:$IV$65536,5,FALSE),0)</f>
        <v>0</v>
      </c>
      <c r="F1037" s="3">
        <f>IFERROR(VLOOKUP(B1037,'[1]new sheet'!$A$1:$IV$65536,4,FALSE),0)</f>
        <v>0</v>
      </c>
      <c r="G1037" s="4">
        <f>IFERROR(VLOOKUP(B1037,'[2]new sheet'!$A$1:$IV$65536,2,0),0)</f>
        <v>0</v>
      </c>
      <c r="H1037" s="5">
        <f>IFERROR(VLOOKUP(B1037,'[3]new sheet'!$A$1:$IV$65536,2,0),0)</f>
        <v>0</v>
      </c>
    </row>
    <row r="1038" spans="1:8" ht="24" customHeight="1">
      <c r="A1038" s="7" t="s">
        <v>844</v>
      </c>
      <c r="B1038" s="7">
        <v>2270</v>
      </c>
      <c r="C1038" s="8" t="s">
        <v>845</v>
      </c>
      <c r="D1038" s="8" t="s">
        <v>1935</v>
      </c>
      <c r="E1038" s="2">
        <f>IFERROR(VLOOKUP(B1038,'[1]new sheet'!$A$1:$IV$65536,5,FALSE),0)</f>
        <v>0</v>
      </c>
      <c r="F1038" s="3">
        <f>IFERROR(VLOOKUP(B1038,'[1]new sheet'!$A$1:$IV$65536,4,FALSE),0)</f>
        <v>0</v>
      </c>
      <c r="G1038" s="4">
        <f>IFERROR(VLOOKUP(B1038,'[2]new sheet'!$A$1:$IV$65536,2,0),0)</f>
        <v>0</v>
      </c>
      <c r="H1038" s="5">
        <f>IFERROR(VLOOKUP(B1038,'[3]new sheet'!$A$1:$IV$65536,2,0),0)</f>
        <v>0</v>
      </c>
    </row>
    <row r="1039" spans="1:8" ht="24" customHeight="1">
      <c r="A1039" s="7">
        <v>221100250</v>
      </c>
      <c r="B1039" s="7">
        <v>4021</v>
      </c>
      <c r="C1039" s="8" t="s">
        <v>1651</v>
      </c>
      <c r="D1039" s="8" t="s">
        <v>1935</v>
      </c>
      <c r="E1039" s="2">
        <f>IFERROR(VLOOKUP(B1039,'[1]new sheet'!$A$1:$IV$65536,5,FALSE),0)</f>
        <v>0</v>
      </c>
      <c r="F1039" s="3">
        <f>IFERROR(VLOOKUP(B1039,'[1]new sheet'!$A$1:$IV$65536,4,FALSE),0)</f>
        <v>0</v>
      </c>
      <c r="G1039" s="4">
        <f>IFERROR(VLOOKUP(B1039,'[2]new sheet'!$A$1:$IV$65536,2,0),0)</f>
        <v>0</v>
      </c>
      <c r="H1039" s="5">
        <f>IFERROR(VLOOKUP(B1039,'[3]new sheet'!$A$1:$IV$65536,2,0),0)</f>
        <v>0</v>
      </c>
    </row>
    <row r="1040" spans="1:8" ht="24" customHeight="1">
      <c r="A1040" s="7">
        <v>564305</v>
      </c>
      <c r="B1040" s="7">
        <v>2386</v>
      </c>
      <c r="C1040" s="8" t="s">
        <v>846</v>
      </c>
      <c r="D1040" s="8" t="s">
        <v>1934</v>
      </c>
      <c r="E1040" s="2">
        <f>IFERROR(VLOOKUP(B1040,'[1]new sheet'!$A$1:$IV$65536,5,FALSE),0)</f>
        <v>0</v>
      </c>
      <c r="F1040" s="3">
        <f>IFERROR(VLOOKUP(B1040,'[1]new sheet'!$A$1:$IV$65536,4,FALSE),0)</f>
        <v>0</v>
      </c>
      <c r="G1040" s="4">
        <f>IFERROR(VLOOKUP(B1040,'[2]new sheet'!$A$1:$IV$65536,2,0),0)</f>
        <v>0</v>
      </c>
      <c r="H1040" s="5">
        <f>IFERROR(VLOOKUP(B1040,'[3]new sheet'!$A$1:$IV$65536,2,0),0)</f>
        <v>0</v>
      </c>
    </row>
    <row r="1041" spans="1:8" ht="24" customHeight="1">
      <c r="A1041" s="7" t="s">
        <v>847</v>
      </c>
      <c r="B1041" s="7">
        <v>1266</v>
      </c>
      <c r="C1041" s="8" t="s">
        <v>848</v>
      </c>
      <c r="D1041" s="8" t="s">
        <v>1934</v>
      </c>
      <c r="E1041" s="2">
        <f>IFERROR(VLOOKUP(B1041,'[1]new sheet'!$A$1:$IV$65536,5,FALSE),0)</f>
        <v>0</v>
      </c>
      <c r="F1041" s="3">
        <f>IFERROR(VLOOKUP(B1041,'[1]new sheet'!$A$1:$IV$65536,4,FALSE),0)</f>
        <v>0</v>
      </c>
      <c r="G1041" s="4">
        <f>IFERROR(VLOOKUP(B1041,'[2]new sheet'!$A$1:$IV$65536,2,0),0)</f>
        <v>0</v>
      </c>
      <c r="H1041" s="5">
        <f>IFERROR(VLOOKUP(B1041,'[3]new sheet'!$A$1:$IV$65536,2,0),0)</f>
        <v>0</v>
      </c>
    </row>
    <row r="1042" spans="1:8" ht="24" customHeight="1">
      <c r="A1042" s="7">
        <v>999362</v>
      </c>
      <c r="B1042" s="7">
        <v>283</v>
      </c>
      <c r="C1042" s="8" t="s">
        <v>849</v>
      </c>
      <c r="D1042" s="8" t="s">
        <v>1934</v>
      </c>
      <c r="E1042" s="2">
        <f>IFERROR(VLOOKUP(B1042,'[1]new sheet'!$A$1:$IV$65536,5,FALSE),0)</f>
        <v>0</v>
      </c>
      <c r="F1042" s="3">
        <f>IFERROR(VLOOKUP(B1042,'[1]new sheet'!$A$1:$IV$65536,4,FALSE),0)</f>
        <v>0</v>
      </c>
      <c r="G1042" s="4">
        <f>IFERROR(VLOOKUP(B1042,'[2]new sheet'!$A$1:$IV$65536,2,0),0)</f>
        <v>26</v>
      </c>
      <c r="H1042" s="5">
        <f>IFERROR(VLOOKUP(B1042,'[3]new sheet'!$A$1:$IV$65536,2,0),0)</f>
        <v>0</v>
      </c>
    </row>
    <row r="1043" spans="1:8" ht="24" customHeight="1">
      <c r="A1043" s="7">
        <v>60361</v>
      </c>
      <c r="B1043" s="7">
        <v>631</v>
      </c>
      <c r="C1043" s="8" t="s">
        <v>850</v>
      </c>
      <c r="D1043" s="8" t="s">
        <v>1934</v>
      </c>
      <c r="E1043" s="2">
        <f>IFERROR(VLOOKUP(B1043,'[1]new sheet'!$A$1:$IV$65536,5,FALSE),0)</f>
        <v>21</v>
      </c>
      <c r="F1043" s="3">
        <f>IFERROR(VLOOKUP(B1043,'[1]new sheet'!$A$1:$IV$65536,4,FALSE),0)</f>
        <v>0</v>
      </c>
      <c r="G1043" s="4">
        <f>IFERROR(VLOOKUP(B1043,'[2]new sheet'!$A$1:$IV$65536,2,0),0)</f>
        <v>49</v>
      </c>
      <c r="H1043" s="5">
        <f>IFERROR(VLOOKUP(B1043,'[3]new sheet'!$A$1:$IV$65536,2,0),0)</f>
        <v>24</v>
      </c>
    </row>
    <row r="1044" spans="1:8" ht="24" customHeight="1">
      <c r="A1044" s="7">
        <v>60795</v>
      </c>
      <c r="B1044" s="7">
        <v>1105</v>
      </c>
      <c r="C1044" s="8" t="s">
        <v>851</v>
      </c>
      <c r="D1044" s="8" t="s">
        <v>1934</v>
      </c>
      <c r="E1044" s="2">
        <f>IFERROR(VLOOKUP(B1044,'[1]new sheet'!$A$1:$IV$65536,5,FALSE),0)</f>
        <v>4</v>
      </c>
      <c r="F1044" s="3">
        <f>IFERROR(VLOOKUP(B1044,'[1]new sheet'!$A$1:$IV$65536,4,FALSE),0)</f>
        <v>0</v>
      </c>
      <c r="G1044" s="4">
        <f>IFERROR(VLOOKUP(B1044,'[2]new sheet'!$A$1:$IV$65536,2,0),0)</f>
        <v>6</v>
      </c>
      <c r="H1044" s="5">
        <f>IFERROR(VLOOKUP(B1044,'[3]new sheet'!$A$1:$IV$65536,2,0),0)</f>
        <v>0</v>
      </c>
    </row>
    <row r="1045" spans="1:8" ht="24" customHeight="1">
      <c r="A1045" s="7">
        <v>6220</v>
      </c>
      <c r="B1045" s="7">
        <v>632</v>
      </c>
      <c r="C1045" s="8" t="s">
        <v>852</v>
      </c>
      <c r="D1045" s="8" t="s">
        <v>1936</v>
      </c>
      <c r="E1045" s="2">
        <f>IFERROR(VLOOKUP(B1045,'[1]new sheet'!$A$1:$IV$65536,5,FALSE),0)</f>
        <v>0</v>
      </c>
      <c r="F1045" s="3">
        <f>IFERROR(VLOOKUP(B1045,'[1]new sheet'!$A$1:$IV$65536,4,FALSE),0)</f>
        <v>0</v>
      </c>
      <c r="G1045" s="4">
        <f>IFERROR(VLOOKUP(B1045,'[2]new sheet'!$A$1:$IV$65536,2,0),0)</f>
        <v>255</v>
      </c>
      <c r="H1045" s="5">
        <f>IFERROR(VLOOKUP(B1045,'[3]new sheet'!$A$1:$IV$65536,2,0),0)</f>
        <v>0</v>
      </c>
    </row>
    <row r="1046" spans="1:8" ht="24" customHeight="1">
      <c r="A1046" s="7">
        <v>7293</v>
      </c>
      <c r="B1046" s="7">
        <v>1760</v>
      </c>
      <c r="C1046" s="8" t="s">
        <v>853</v>
      </c>
      <c r="D1046" s="8" t="s">
        <v>1935</v>
      </c>
      <c r="E1046" s="2">
        <f>IFERROR(VLOOKUP(B1046,'[1]new sheet'!$A$1:$IV$65536,5,FALSE),0)</f>
        <v>0</v>
      </c>
      <c r="F1046" s="3">
        <f>IFERROR(VLOOKUP(B1046,'[1]new sheet'!$A$1:$IV$65536,4,FALSE),0)</f>
        <v>0</v>
      </c>
      <c r="G1046" s="4">
        <f>IFERROR(VLOOKUP(B1046,'[2]new sheet'!$A$1:$IV$65536,2,0),0)</f>
        <v>0</v>
      </c>
      <c r="H1046" s="5">
        <f>IFERROR(VLOOKUP(B1046,'[3]new sheet'!$A$1:$IV$65536,2,0),0)</f>
        <v>0</v>
      </c>
    </row>
    <row r="1047" spans="1:8" ht="24" customHeight="1">
      <c r="A1047" s="7">
        <v>40964</v>
      </c>
      <c r="B1047" s="7">
        <v>633</v>
      </c>
      <c r="C1047" s="8" t="s">
        <v>854</v>
      </c>
      <c r="D1047" s="8" t="s">
        <v>1934</v>
      </c>
      <c r="E1047" s="2">
        <f>IFERROR(VLOOKUP(B1047,'[1]new sheet'!$A$1:$IV$65536,5,FALSE),0)</f>
        <v>2</v>
      </c>
      <c r="F1047" s="3">
        <f>IFERROR(VLOOKUP(B1047,'[1]new sheet'!$A$1:$IV$65536,4,FALSE),0)</f>
        <v>0</v>
      </c>
      <c r="G1047" s="4">
        <f>IFERROR(VLOOKUP(B1047,'[2]new sheet'!$A$1:$IV$65536,2,0),0)</f>
        <v>1</v>
      </c>
      <c r="H1047" s="5">
        <f>IFERROR(VLOOKUP(B1047,'[3]new sheet'!$A$1:$IV$65536,2,0),0)</f>
        <v>1</v>
      </c>
    </row>
    <row r="1048" spans="1:8" ht="24" customHeight="1">
      <c r="A1048" s="7">
        <v>41184</v>
      </c>
      <c r="B1048" s="7">
        <v>282</v>
      </c>
      <c r="C1048" s="8" t="s">
        <v>855</v>
      </c>
      <c r="D1048" s="8" t="s">
        <v>1934</v>
      </c>
      <c r="E1048" s="2">
        <f>IFERROR(VLOOKUP(B1048,'[1]new sheet'!$A$1:$IV$65536,5,FALSE),0)</f>
        <v>2</v>
      </c>
      <c r="F1048" s="3">
        <f>IFERROR(VLOOKUP(B1048,'[1]new sheet'!$A$1:$IV$65536,4,FALSE),0)</f>
        <v>0</v>
      </c>
      <c r="G1048" s="4">
        <f>IFERROR(VLOOKUP(B1048,'[2]new sheet'!$A$1:$IV$65536,2,0),0)</f>
        <v>0</v>
      </c>
      <c r="H1048" s="5">
        <f>IFERROR(VLOOKUP(B1048,'[3]new sheet'!$A$1:$IV$65536,2,0),0)</f>
        <v>1</v>
      </c>
    </row>
    <row r="1049" spans="1:8" ht="24" customHeight="1">
      <c r="A1049" s="7">
        <v>9000011761</v>
      </c>
      <c r="B1049" s="7">
        <v>3169</v>
      </c>
      <c r="C1049" s="8" t="s">
        <v>856</v>
      </c>
      <c r="D1049" s="8" t="s">
        <v>1935</v>
      </c>
      <c r="E1049" s="2">
        <f>IFERROR(VLOOKUP(B1049,'[1]new sheet'!$A$1:$IV$65536,5,FALSE),0)</f>
        <v>2935.78</v>
      </c>
      <c r="F1049" s="3">
        <f>IFERROR(VLOOKUP(B1049,'[1]new sheet'!$A$1:$IV$65536,4,FALSE),0)</f>
        <v>0</v>
      </c>
      <c r="G1049" s="4">
        <f>IFERROR(VLOOKUP(B1049,'[2]new sheet'!$A$1:$IV$65536,2,0),0)</f>
        <v>257.72000000000003</v>
      </c>
      <c r="H1049" s="5">
        <f>IFERROR(VLOOKUP(B1049,'[3]new sheet'!$A$1:$IV$65536,2,0),0)</f>
        <v>149.76</v>
      </c>
    </row>
    <row r="1050" spans="1:8" ht="24" customHeight="1">
      <c r="A1050" s="7"/>
      <c r="B1050" s="7">
        <v>635</v>
      </c>
      <c r="C1050" s="8" t="s">
        <v>857</v>
      </c>
      <c r="D1050" s="8" t="s">
        <v>1935</v>
      </c>
      <c r="E1050" s="2">
        <f>IFERROR(VLOOKUP(B1050,'[1]new sheet'!$A$1:$IV$65536,5,FALSE),0)</f>
        <v>0</v>
      </c>
      <c r="F1050" s="3">
        <f>IFERROR(VLOOKUP(B1050,'[1]new sheet'!$A$1:$IV$65536,4,FALSE),0)</f>
        <v>0</v>
      </c>
      <c r="G1050" s="4">
        <f>IFERROR(VLOOKUP(B1050,'[2]new sheet'!$A$1:$IV$65536,2,0),0)</f>
        <v>0</v>
      </c>
      <c r="H1050" s="5">
        <f>IFERROR(VLOOKUP(B1050,'[3]new sheet'!$A$1:$IV$65536,2,0),0)</f>
        <v>0</v>
      </c>
    </row>
    <row r="1051" spans="1:8" ht="24" customHeight="1">
      <c r="A1051" s="7" t="s">
        <v>858</v>
      </c>
      <c r="B1051" s="7">
        <v>2401</v>
      </c>
      <c r="C1051" s="8" t="s">
        <v>859</v>
      </c>
      <c r="D1051" s="8" t="s">
        <v>1935</v>
      </c>
      <c r="E1051" s="2">
        <f>IFERROR(VLOOKUP(B1051,'[1]new sheet'!$A$1:$IV$65536,5,FALSE),0)</f>
        <v>0</v>
      </c>
      <c r="F1051" s="3">
        <f>IFERROR(VLOOKUP(B1051,'[1]new sheet'!$A$1:$IV$65536,4,FALSE),0)</f>
        <v>0</v>
      </c>
      <c r="G1051" s="4">
        <f>IFERROR(VLOOKUP(B1051,'[2]new sheet'!$A$1:$IV$65536,2,0),0)</f>
        <v>0</v>
      </c>
      <c r="H1051" s="5">
        <f>IFERROR(VLOOKUP(B1051,'[3]new sheet'!$A$1:$IV$65536,2,0),0)</f>
        <v>0</v>
      </c>
    </row>
    <row r="1052" spans="1:8" ht="24" customHeight="1">
      <c r="A1052" s="7">
        <v>140002</v>
      </c>
      <c r="B1052" s="7">
        <v>90</v>
      </c>
      <c r="C1052" s="8" t="s">
        <v>860</v>
      </c>
      <c r="D1052" s="8" t="s">
        <v>1935</v>
      </c>
      <c r="E1052" s="2">
        <f>IFERROR(VLOOKUP(B1052,'[1]new sheet'!$A$1:$IV$65536,5,FALSE),0)</f>
        <v>0</v>
      </c>
      <c r="F1052" s="3">
        <f>IFERROR(VLOOKUP(B1052,'[1]new sheet'!$A$1:$IV$65536,4,FALSE),0)</f>
        <v>51.89</v>
      </c>
      <c r="G1052" s="4">
        <f>IFERROR(VLOOKUP(B1052,'[2]new sheet'!$A$1:$IV$65536,2,0),0)</f>
        <v>4024.81</v>
      </c>
      <c r="H1052" s="5">
        <f>IFERROR(VLOOKUP(B1052,'[3]new sheet'!$A$1:$IV$65536,2,0),0)</f>
        <v>872.84</v>
      </c>
    </row>
    <row r="1053" spans="1:8" ht="24" customHeight="1">
      <c r="A1053" s="7" t="s">
        <v>861</v>
      </c>
      <c r="B1053" s="7">
        <v>1490</v>
      </c>
      <c r="C1053" s="8" t="s">
        <v>862</v>
      </c>
      <c r="D1053" s="8" t="s">
        <v>1935</v>
      </c>
      <c r="E1053" s="2">
        <f>IFERROR(VLOOKUP(B1053,'[1]new sheet'!$A$1:$IV$65536,5,FALSE),0)</f>
        <v>0.01</v>
      </c>
      <c r="F1053" s="3">
        <f>IFERROR(VLOOKUP(B1053,'[1]new sheet'!$A$1:$IV$65536,4,FALSE),0)</f>
        <v>0</v>
      </c>
      <c r="G1053" s="4">
        <f>IFERROR(VLOOKUP(B1053,'[2]new sheet'!$A$1:$IV$65536,2,0),0)</f>
        <v>0</v>
      </c>
      <c r="H1053" s="5">
        <f>IFERROR(VLOOKUP(B1053,'[3]new sheet'!$A$1:$IV$65536,2,0),0)</f>
        <v>0</v>
      </c>
    </row>
    <row r="1054" spans="1:8" ht="24" customHeight="1">
      <c r="A1054" s="7">
        <v>356</v>
      </c>
      <c r="B1054" s="7">
        <v>1211</v>
      </c>
      <c r="C1054" s="8" t="s">
        <v>863</v>
      </c>
      <c r="D1054" s="8" t="s">
        <v>1935</v>
      </c>
      <c r="E1054" s="2">
        <f>IFERROR(VLOOKUP(B1054,'[1]new sheet'!$A$1:$IV$65536,5,FALSE),0)</f>
        <v>0</v>
      </c>
      <c r="F1054" s="3">
        <f>IFERROR(VLOOKUP(B1054,'[1]new sheet'!$A$1:$IV$65536,4,FALSE),0)</f>
        <v>0</v>
      </c>
      <c r="G1054" s="4">
        <f>IFERROR(VLOOKUP(B1054,'[2]new sheet'!$A$1:$IV$65536,2,0),0)</f>
        <v>0</v>
      </c>
      <c r="H1054" s="5">
        <f>IFERROR(VLOOKUP(B1054,'[3]new sheet'!$A$1:$IV$65536,2,0),0)</f>
        <v>0</v>
      </c>
    </row>
    <row r="1055" spans="1:8" ht="24" customHeight="1">
      <c r="A1055" s="7">
        <v>114311</v>
      </c>
      <c r="B1055" s="7">
        <v>2719</v>
      </c>
      <c r="C1055" s="8" t="s">
        <v>864</v>
      </c>
      <c r="D1055" s="8" t="s">
        <v>1935</v>
      </c>
      <c r="E1055" s="2">
        <f>IFERROR(VLOOKUP(B1055,'[1]new sheet'!$A$1:$IV$65536,5,FALSE),0)</f>
        <v>0</v>
      </c>
      <c r="F1055" s="3">
        <f>IFERROR(VLOOKUP(B1055,'[1]new sheet'!$A$1:$IV$65536,4,FALSE),0)</f>
        <v>0</v>
      </c>
      <c r="G1055" s="4">
        <f>IFERROR(VLOOKUP(B1055,'[2]new sheet'!$A$1:$IV$65536,2,0),0)</f>
        <v>0</v>
      </c>
      <c r="H1055" s="5">
        <f>IFERROR(VLOOKUP(B1055,'[3]new sheet'!$A$1:$IV$65536,2,0),0)</f>
        <v>0</v>
      </c>
    </row>
    <row r="1056" spans="1:8" ht="24" customHeight="1">
      <c r="A1056" s="7" t="s">
        <v>865</v>
      </c>
      <c r="B1056" s="7">
        <v>636</v>
      </c>
      <c r="C1056" s="8" t="s">
        <v>866</v>
      </c>
      <c r="D1056" s="8" t="s">
        <v>1935</v>
      </c>
      <c r="E1056" s="2">
        <f>IFERROR(VLOOKUP(B1056,'[1]new sheet'!$A$1:$IV$65536,5,FALSE),0)</f>
        <v>0</v>
      </c>
      <c r="F1056" s="3">
        <f>IFERROR(VLOOKUP(B1056,'[1]new sheet'!$A$1:$IV$65536,4,FALSE),0)</f>
        <v>0</v>
      </c>
      <c r="G1056" s="4">
        <f>IFERROR(VLOOKUP(B1056,'[2]new sheet'!$A$1:$IV$65536,2,0),0)</f>
        <v>0</v>
      </c>
      <c r="H1056" s="5">
        <f>IFERROR(VLOOKUP(B1056,'[3]new sheet'!$A$1:$IV$65536,2,0),0)</f>
        <v>0</v>
      </c>
    </row>
    <row r="1057" spans="1:8" ht="24" customHeight="1">
      <c r="A1057" s="7" t="s">
        <v>867</v>
      </c>
      <c r="B1057" s="7">
        <v>1198</v>
      </c>
      <c r="C1057" s="8" t="s">
        <v>868</v>
      </c>
      <c r="D1057" s="8" t="s">
        <v>1935</v>
      </c>
      <c r="E1057" s="2">
        <f>IFERROR(VLOOKUP(B1057,'[1]new sheet'!$A$1:$IV$65536,5,FALSE),0)</f>
        <v>0</v>
      </c>
      <c r="F1057" s="3">
        <f>IFERROR(VLOOKUP(B1057,'[1]new sheet'!$A$1:$IV$65536,4,FALSE),0)</f>
        <v>0</v>
      </c>
      <c r="G1057" s="4">
        <f>IFERROR(VLOOKUP(B1057,'[2]new sheet'!$A$1:$IV$65536,2,0),0)</f>
        <v>0</v>
      </c>
      <c r="H1057" s="5">
        <f>IFERROR(VLOOKUP(B1057,'[3]new sheet'!$A$1:$IV$65536,2,0),0)</f>
        <v>0</v>
      </c>
    </row>
    <row r="1058" spans="1:8" ht="24" customHeight="1">
      <c r="A1058" s="7">
        <v>140202</v>
      </c>
      <c r="B1058" s="7">
        <v>91</v>
      </c>
      <c r="C1058" s="8" t="s">
        <v>869</v>
      </c>
      <c r="D1058" s="8" t="s">
        <v>1935</v>
      </c>
      <c r="E1058" s="2">
        <f>IFERROR(VLOOKUP(B1058,'[1]new sheet'!$A$1:$IV$65536,5,FALSE),0)</f>
        <v>112.29</v>
      </c>
      <c r="F1058" s="3">
        <f>IFERROR(VLOOKUP(B1058,'[1]new sheet'!$A$1:$IV$65536,4,FALSE),0)</f>
        <v>105</v>
      </c>
      <c r="G1058" s="4">
        <f>IFERROR(VLOOKUP(B1058,'[2]new sheet'!$A$1:$IV$65536,2,0),0)</f>
        <v>2905.72</v>
      </c>
      <c r="H1058" s="5">
        <f>IFERROR(VLOOKUP(B1058,'[3]new sheet'!$A$1:$IV$65536,2,0),0)</f>
        <v>1346.58</v>
      </c>
    </row>
    <row r="1059" spans="1:8" ht="24" customHeight="1">
      <c r="A1059" s="7">
        <v>0</v>
      </c>
      <c r="B1059" s="7">
        <v>63</v>
      </c>
      <c r="C1059" s="8" t="s">
        <v>870</v>
      </c>
      <c r="D1059" s="8" t="s">
        <v>1935</v>
      </c>
      <c r="E1059" s="2">
        <f>IFERROR(VLOOKUP(B1059,'[1]new sheet'!$A$1:$IV$65536,5,FALSE),0)</f>
        <v>0</v>
      </c>
      <c r="F1059" s="3">
        <f>IFERROR(VLOOKUP(B1059,'[1]new sheet'!$A$1:$IV$65536,4,FALSE),0)</f>
        <v>0</v>
      </c>
      <c r="G1059" s="4">
        <f>IFERROR(VLOOKUP(B1059,'[2]new sheet'!$A$1:$IV$65536,2,0),0)</f>
        <v>0</v>
      </c>
      <c r="H1059" s="5">
        <f>IFERROR(VLOOKUP(B1059,'[3]new sheet'!$A$1:$IV$65536,2,0),0)</f>
        <v>0</v>
      </c>
    </row>
    <row r="1060" spans="1:8" ht="24" customHeight="1">
      <c r="A1060" s="7" t="s">
        <v>1672</v>
      </c>
      <c r="B1060" s="7">
        <v>4047</v>
      </c>
      <c r="C1060" s="8" t="s">
        <v>1673</v>
      </c>
      <c r="D1060" s="8" t="s">
        <v>1934</v>
      </c>
      <c r="E1060" s="2">
        <f>IFERROR(VLOOKUP(B1060,'[1]new sheet'!$A$1:$IV$65536,5,FALSE),0)</f>
        <v>37</v>
      </c>
      <c r="F1060" s="3">
        <f>IFERROR(VLOOKUP(B1060,'[1]new sheet'!$A$1:$IV$65536,4,FALSE),0)</f>
        <v>0</v>
      </c>
      <c r="G1060" s="4">
        <f>IFERROR(VLOOKUP(B1060,'[2]new sheet'!$A$1:$IV$65536,2,0),0)</f>
        <v>0</v>
      </c>
      <c r="H1060" s="5">
        <f>IFERROR(VLOOKUP(B1060,'[3]new sheet'!$A$1:$IV$65536,2,0),0)</f>
        <v>0</v>
      </c>
    </row>
    <row r="1061" spans="1:8" ht="24" customHeight="1">
      <c r="A1061" s="7">
        <v>2550</v>
      </c>
      <c r="B1061" s="7">
        <v>1133</v>
      </c>
      <c r="C1061" s="8" t="s">
        <v>871</v>
      </c>
      <c r="D1061" s="8" t="s">
        <v>1937</v>
      </c>
      <c r="E1061" s="2">
        <f>IFERROR(VLOOKUP(B1061,'[1]new sheet'!$A$1:$IV$65536,5,FALSE),0)</f>
        <v>0</v>
      </c>
      <c r="F1061" s="3">
        <f>IFERROR(VLOOKUP(B1061,'[1]new sheet'!$A$1:$IV$65536,4,FALSE),0)</f>
        <v>0</v>
      </c>
      <c r="G1061" s="4">
        <f>IFERROR(VLOOKUP(B1061,'[2]new sheet'!$A$1:$IV$65536,2,0),0)</f>
        <v>0</v>
      </c>
      <c r="H1061" s="5">
        <f>IFERROR(VLOOKUP(B1061,'[3]new sheet'!$A$1:$IV$65536,2,0),0)</f>
        <v>0</v>
      </c>
    </row>
    <row r="1062" spans="1:8" ht="24" customHeight="1">
      <c r="A1062" s="7">
        <v>2030011</v>
      </c>
      <c r="B1062" s="7">
        <v>169</v>
      </c>
      <c r="C1062" s="8" t="s">
        <v>872</v>
      </c>
      <c r="D1062" s="8" t="s">
        <v>1939</v>
      </c>
      <c r="E1062" s="2">
        <f>IFERROR(VLOOKUP(B1062,'[1]new sheet'!$A$1:$IV$65536,5,FALSE),0)</f>
        <v>0</v>
      </c>
      <c r="F1062" s="3">
        <f>IFERROR(VLOOKUP(B1062,'[1]new sheet'!$A$1:$IV$65536,4,FALSE),0)</f>
        <v>0</v>
      </c>
      <c r="G1062" s="4">
        <f>IFERROR(VLOOKUP(B1062,'[2]new sheet'!$A$1:$IV$65536,2,0),0)</f>
        <v>0</v>
      </c>
      <c r="H1062" s="5">
        <f>IFERROR(VLOOKUP(B1062,'[3]new sheet'!$A$1:$IV$65536,2,0),0)</f>
        <v>0</v>
      </c>
    </row>
    <row r="1063" spans="1:8" ht="24" customHeight="1">
      <c r="A1063" s="7">
        <v>997898</v>
      </c>
      <c r="B1063" s="7">
        <v>2488</v>
      </c>
      <c r="C1063" s="8" t="s">
        <v>873</v>
      </c>
      <c r="D1063" s="8" t="s">
        <v>1937</v>
      </c>
      <c r="E1063" s="2">
        <f>IFERROR(VLOOKUP(B1063,'[1]new sheet'!$A$1:$IV$65536,5,FALSE),0)</f>
        <v>2</v>
      </c>
      <c r="F1063" s="3">
        <f>IFERROR(VLOOKUP(B1063,'[1]new sheet'!$A$1:$IV$65536,4,FALSE),0)</f>
        <v>21</v>
      </c>
      <c r="G1063" s="4">
        <f>IFERROR(VLOOKUP(B1063,'[2]new sheet'!$A$1:$IV$65536,2,0),0)</f>
        <v>715</v>
      </c>
      <c r="H1063" s="5">
        <f>IFERROR(VLOOKUP(B1063,'[3]new sheet'!$A$1:$IV$65536,2,0),0)</f>
        <v>184</v>
      </c>
    </row>
    <row r="1064" spans="1:8" ht="24" customHeight="1">
      <c r="A1064" s="7"/>
      <c r="B1064" s="7">
        <v>637</v>
      </c>
      <c r="C1064" s="8" t="s">
        <v>874</v>
      </c>
      <c r="D1064" s="8" t="s">
        <v>1934</v>
      </c>
      <c r="E1064" s="2">
        <f>IFERROR(VLOOKUP(B1064,'[1]new sheet'!$A$1:$IV$65536,5,FALSE),0)</f>
        <v>0</v>
      </c>
      <c r="F1064" s="3">
        <f>IFERROR(VLOOKUP(B1064,'[1]new sheet'!$A$1:$IV$65536,4,FALSE),0)</f>
        <v>0</v>
      </c>
      <c r="G1064" s="4">
        <f>IFERROR(VLOOKUP(B1064,'[2]new sheet'!$A$1:$IV$65536,2,0),0)</f>
        <v>0</v>
      </c>
      <c r="H1064" s="5">
        <f>IFERROR(VLOOKUP(B1064,'[3]new sheet'!$A$1:$IV$65536,2,0),0)</f>
        <v>0</v>
      </c>
    </row>
    <row r="1065" spans="1:8" ht="24" customHeight="1">
      <c r="A1065" s="7">
        <v>2300</v>
      </c>
      <c r="B1065" s="7">
        <v>170</v>
      </c>
      <c r="C1065" s="8" t="s">
        <v>875</v>
      </c>
      <c r="D1065" s="8" t="s">
        <v>1937</v>
      </c>
      <c r="E1065" s="2">
        <f>IFERROR(VLOOKUP(B1065,'[1]new sheet'!$A$1:$IV$65536,5,FALSE),0)</f>
        <v>0</v>
      </c>
      <c r="F1065" s="3">
        <f>IFERROR(VLOOKUP(B1065,'[1]new sheet'!$A$1:$IV$65536,4,FALSE),0)</f>
        <v>0</v>
      </c>
      <c r="G1065" s="4">
        <f>IFERROR(VLOOKUP(B1065,'[2]new sheet'!$A$1:$IV$65536,2,0),0)</f>
        <v>186</v>
      </c>
      <c r="H1065" s="5">
        <f>IFERROR(VLOOKUP(B1065,'[3]new sheet'!$A$1:$IV$65536,2,0),0)</f>
        <v>2</v>
      </c>
    </row>
    <row r="1066" spans="1:8" ht="24" customHeight="1">
      <c r="A1066" s="7" t="s">
        <v>1674</v>
      </c>
      <c r="B1066" s="7">
        <v>4046</v>
      </c>
      <c r="C1066" s="8" t="s">
        <v>1675</v>
      </c>
      <c r="D1066" s="8" t="s">
        <v>1934</v>
      </c>
      <c r="E1066" s="2">
        <f>IFERROR(VLOOKUP(B1066,'[1]new sheet'!$A$1:$IV$65536,5,FALSE),0)</f>
        <v>44</v>
      </c>
      <c r="F1066" s="3">
        <f>IFERROR(VLOOKUP(B1066,'[1]new sheet'!$A$1:$IV$65536,4,FALSE),0)</f>
        <v>0</v>
      </c>
      <c r="G1066" s="4">
        <f>IFERROR(VLOOKUP(B1066,'[2]new sheet'!$A$1:$IV$65536,2,0),0)</f>
        <v>0</v>
      </c>
      <c r="H1066" s="5">
        <f>IFERROR(VLOOKUP(B1066,'[3]new sheet'!$A$1:$IV$65536,2,0),0)</f>
        <v>0</v>
      </c>
    </row>
    <row r="1067" spans="1:8" ht="24" customHeight="1">
      <c r="A1067" s="7"/>
      <c r="B1067" s="7">
        <v>638</v>
      </c>
      <c r="C1067" s="8" t="s">
        <v>876</v>
      </c>
      <c r="D1067" s="8" t="s">
        <v>1934</v>
      </c>
      <c r="E1067" s="2">
        <f>IFERROR(VLOOKUP(B1067,'[1]new sheet'!$A$1:$IV$65536,5,FALSE),0)</f>
        <v>0</v>
      </c>
      <c r="F1067" s="3">
        <f>IFERROR(VLOOKUP(B1067,'[1]new sheet'!$A$1:$IV$65536,4,FALSE),0)</f>
        <v>0</v>
      </c>
      <c r="G1067" s="4">
        <f>IFERROR(VLOOKUP(B1067,'[2]new sheet'!$A$1:$IV$65536,2,0),0)</f>
        <v>0</v>
      </c>
      <c r="H1067" s="5">
        <f>IFERROR(VLOOKUP(B1067,'[3]new sheet'!$A$1:$IV$65536,2,0),0)</f>
        <v>0</v>
      </c>
    </row>
    <row r="1068" spans="1:8" ht="24" customHeight="1">
      <c r="A1068" s="7">
        <v>68004</v>
      </c>
      <c r="B1068" s="7">
        <v>171</v>
      </c>
      <c r="C1068" s="8" t="s">
        <v>877</v>
      </c>
      <c r="D1068" s="8" t="s">
        <v>1934</v>
      </c>
      <c r="E1068" s="2">
        <f>IFERROR(VLOOKUP(B1068,'[1]new sheet'!$A$1:$IV$65536,5,FALSE),0)</f>
        <v>402</v>
      </c>
      <c r="F1068" s="3">
        <f>IFERROR(VLOOKUP(B1068,'[1]new sheet'!$A$1:$IV$65536,4,FALSE),0)</f>
        <v>5</v>
      </c>
      <c r="G1068" s="4">
        <f>IFERROR(VLOOKUP(B1068,'[2]new sheet'!$A$1:$IV$65536,2,0),0)</f>
        <v>219</v>
      </c>
      <c r="H1068" s="5">
        <f>IFERROR(VLOOKUP(B1068,'[3]new sheet'!$A$1:$IV$65536,2,0),0)</f>
        <v>74</v>
      </c>
    </row>
    <row r="1069" spans="1:8" ht="24" customHeight="1">
      <c r="A1069" s="7"/>
      <c r="B1069" s="7">
        <v>172</v>
      </c>
      <c r="C1069" s="8" t="s">
        <v>878</v>
      </c>
      <c r="D1069" s="8" t="s">
        <v>1934</v>
      </c>
      <c r="E1069" s="2">
        <f>IFERROR(VLOOKUP(B1069,'[1]new sheet'!$A$1:$IV$65536,5,FALSE),0)</f>
        <v>0</v>
      </c>
      <c r="F1069" s="3">
        <f>IFERROR(VLOOKUP(B1069,'[1]new sheet'!$A$1:$IV$65536,4,FALSE),0)</f>
        <v>0</v>
      </c>
      <c r="G1069" s="4">
        <f>IFERROR(VLOOKUP(B1069,'[2]new sheet'!$A$1:$IV$65536,2,0),0)</f>
        <v>0</v>
      </c>
      <c r="H1069" s="5">
        <f>IFERROR(VLOOKUP(B1069,'[3]new sheet'!$A$1:$IV$65536,2,0),0)</f>
        <v>0</v>
      </c>
    </row>
    <row r="1070" spans="1:8" ht="24" customHeight="1">
      <c r="A1070" s="7"/>
      <c r="B1070" s="7">
        <v>639</v>
      </c>
      <c r="C1070" s="8" t="s">
        <v>879</v>
      </c>
      <c r="D1070" s="8" t="s">
        <v>1934</v>
      </c>
      <c r="E1070" s="2">
        <f>IFERROR(VLOOKUP(B1070,'[1]new sheet'!$A$1:$IV$65536,5,FALSE),0)</f>
        <v>0</v>
      </c>
      <c r="F1070" s="3">
        <f>IFERROR(VLOOKUP(B1070,'[1]new sheet'!$A$1:$IV$65536,4,FALSE),0)</f>
        <v>0</v>
      </c>
      <c r="G1070" s="4">
        <f>IFERROR(VLOOKUP(B1070,'[2]new sheet'!$A$1:$IV$65536,2,0),0)</f>
        <v>0</v>
      </c>
      <c r="H1070" s="5">
        <f>IFERROR(VLOOKUP(B1070,'[3]new sheet'!$A$1:$IV$65536,2,0),0)</f>
        <v>0</v>
      </c>
    </row>
    <row r="1071" spans="1:8" ht="24" customHeight="1">
      <c r="A1071" s="7">
        <v>997896</v>
      </c>
      <c r="B1071" s="7">
        <v>2487</v>
      </c>
      <c r="C1071" s="8" t="s">
        <v>880</v>
      </c>
      <c r="D1071" s="8" t="s">
        <v>1934</v>
      </c>
      <c r="E1071" s="2">
        <f>IFERROR(VLOOKUP(B1071,'[1]new sheet'!$A$1:$IV$65536,5,FALSE),0)</f>
        <v>96</v>
      </c>
      <c r="F1071" s="3">
        <f>IFERROR(VLOOKUP(B1071,'[1]new sheet'!$A$1:$IV$65536,4,FALSE),0)</f>
        <v>2</v>
      </c>
      <c r="G1071" s="4">
        <f>IFERROR(VLOOKUP(B1071,'[2]new sheet'!$A$1:$IV$65536,2,0),0)</f>
        <v>145</v>
      </c>
      <c r="H1071" s="5">
        <f>IFERROR(VLOOKUP(B1071,'[3]new sheet'!$A$1:$IV$65536,2,0),0)</f>
        <v>45</v>
      </c>
    </row>
    <row r="1072" spans="1:8" ht="24" customHeight="1">
      <c r="A1072" s="7"/>
      <c r="B1072" s="7">
        <v>1094</v>
      </c>
      <c r="C1072" s="8" t="s">
        <v>881</v>
      </c>
      <c r="D1072" s="8" t="s">
        <v>1937</v>
      </c>
      <c r="E1072" s="2">
        <f>IFERROR(VLOOKUP(B1072,'[1]new sheet'!$A$1:$IV$65536,5,FALSE),0)</f>
        <v>0</v>
      </c>
      <c r="F1072" s="3">
        <f>IFERROR(VLOOKUP(B1072,'[1]new sheet'!$A$1:$IV$65536,4,FALSE),0)</f>
        <v>0</v>
      </c>
      <c r="G1072" s="4">
        <f>IFERROR(VLOOKUP(B1072,'[2]new sheet'!$A$1:$IV$65536,2,0),0)</f>
        <v>0</v>
      </c>
      <c r="H1072" s="5">
        <f>IFERROR(VLOOKUP(B1072,'[3]new sheet'!$A$1:$IV$65536,2,0),0)</f>
        <v>0</v>
      </c>
    </row>
    <row r="1073" spans="1:8" ht="24" customHeight="1">
      <c r="A1073" s="7">
        <v>6043</v>
      </c>
      <c r="B1073" s="7">
        <v>3623</v>
      </c>
      <c r="C1073" s="8" t="s">
        <v>882</v>
      </c>
      <c r="D1073" s="8" t="s">
        <v>1934</v>
      </c>
      <c r="E1073" s="2">
        <f>IFERROR(VLOOKUP(B1073,'[1]new sheet'!$A$1:$IV$65536,5,FALSE),0)</f>
        <v>48</v>
      </c>
      <c r="F1073" s="3">
        <f>IFERROR(VLOOKUP(B1073,'[1]new sheet'!$A$1:$IV$65536,4,FALSE),0)</f>
        <v>0</v>
      </c>
      <c r="G1073" s="4">
        <f>IFERROR(VLOOKUP(B1073,'[2]new sheet'!$A$1:$IV$65536,2,0),0)</f>
        <v>15</v>
      </c>
      <c r="H1073" s="5">
        <f>IFERROR(VLOOKUP(B1073,'[3]new sheet'!$A$1:$IV$65536,2,0),0)</f>
        <v>5</v>
      </c>
    </row>
    <row r="1074" spans="1:8" ht="24" customHeight="1">
      <c r="A1074" s="7">
        <v>2030020</v>
      </c>
      <c r="B1074" s="7">
        <v>174</v>
      </c>
      <c r="C1074" s="8" t="s">
        <v>883</v>
      </c>
      <c r="D1074" s="8" t="s">
        <v>1934</v>
      </c>
      <c r="E1074" s="2">
        <f>IFERROR(VLOOKUP(B1074,'[1]new sheet'!$A$1:$IV$65536,5,FALSE),0)</f>
        <v>0</v>
      </c>
      <c r="F1074" s="3">
        <f>IFERROR(VLOOKUP(B1074,'[1]new sheet'!$A$1:$IV$65536,4,FALSE),0)</f>
        <v>0</v>
      </c>
      <c r="G1074" s="4">
        <f>IFERROR(VLOOKUP(B1074,'[2]new sheet'!$A$1:$IV$65536,2,0),0)</f>
        <v>0</v>
      </c>
      <c r="H1074" s="5">
        <f>IFERROR(VLOOKUP(B1074,'[3]new sheet'!$A$1:$IV$65536,2,0),0)</f>
        <v>0</v>
      </c>
    </row>
    <row r="1075" spans="1:8" ht="24" customHeight="1">
      <c r="A1075" s="7"/>
      <c r="B1075" s="7">
        <v>173</v>
      </c>
      <c r="C1075" s="8" t="s">
        <v>884</v>
      </c>
      <c r="D1075" s="8" t="s">
        <v>1934</v>
      </c>
      <c r="E1075" s="2">
        <f>IFERROR(VLOOKUP(B1075,'[1]new sheet'!$A$1:$IV$65536,5,FALSE),0)</f>
        <v>0</v>
      </c>
      <c r="F1075" s="3">
        <f>IFERROR(VLOOKUP(B1075,'[1]new sheet'!$A$1:$IV$65536,4,FALSE),0)</f>
        <v>0</v>
      </c>
      <c r="G1075" s="4">
        <f>IFERROR(VLOOKUP(B1075,'[2]new sheet'!$A$1:$IV$65536,2,0),0)</f>
        <v>0</v>
      </c>
      <c r="H1075" s="5">
        <f>IFERROR(VLOOKUP(B1075,'[3]new sheet'!$A$1:$IV$65536,2,0),0)</f>
        <v>0</v>
      </c>
    </row>
    <row r="1076" spans="1:8" ht="24" customHeight="1">
      <c r="A1076" s="7"/>
      <c r="B1076" s="7">
        <v>175</v>
      </c>
      <c r="C1076" s="8" t="s">
        <v>885</v>
      </c>
      <c r="D1076" s="8" t="s">
        <v>1934</v>
      </c>
      <c r="E1076" s="2">
        <f>IFERROR(VLOOKUP(B1076,'[1]new sheet'!$A$1:$IV$65536,5,FALSE),0)</f>
        <v>0</v>
      </c>
      <c r="F1076" s="3">
        <f>IFERROR(VLOOKUP(B1076,'[1]new sheet'!$A$1:$IV$65536,4,FALSE),0)</f>
        <v>0</v>
      </c>
      <c r="G1076" s="4">
        <f>IFERROR(VLOOKUP(B1076,'[2]new sheet'!$A$1:$IV$65536,2,0),0)</f>
        <v>0</v>
      </c>
      <c r="H1076" s="5">
        <f>IFERROR(VLOOKUP(B1076,'[3]new sheet'!$A$1:$IV$65536,2,0),0)</f>
        <v>0</v>
      </c>
    </row>
    <row r="1077" spans="1:8" ht="24" customHeight="1">
      <c r="A1077" s="7">
        <v>2293</v>
      </c>
      <c r="B1077" s="7">
        <v>640</v>
      </c>
      <c r="C1077" s="8" t="s">
        <v>886</v>
      </c>
      <c r="D1077" s="8" t="s">
        <v>1934</v>
      </c>
      <c r="E1077" s="2">
        <f>IFERROR(VLOOKUP(B1077,'[1]new sheet'!$A$1:$IV$65536,5,FALSE),0)</f>
        <v>0</v>
      </c>
      <c r="F1077" s="3">
        <f>IFERROR(VLOOKUP(B1077,'[1]new sheet'!$A$1:$IV$65536,4,FALSE),0)</f>
        <v>0</v>
      </c>
      <c r="G1077" s="4">
        <f>IFERROR(VLOOKUP(B1077,'[2]new sheet'!$A$1:$IV$65536,2,0),0)</f>
        <v>698</v>
      </c>
      <c r="H1077" s="5">
        <f>IFERROR(VLOOKUP(B1077,'[3]new sheet'!$A$1:$IV$65536,2,0),0)</f>
        <v>0</v>
      </c>
    </row>
    <row r="1078" spans="1:8" ht="24" customHeight="1">
      <c r="A1078" s="7"/>
      <c r="B1078" s="7">
        <v>176</v>
      </c>
      <c r="C1078" s="8" t="s">
        <v>887</v>
      </c>
      <c r="D1078" s="8" t="s">
        <v>1934</v>
      </c>
      <c r="E1078" s="2">
        <f>IFERROR(VLOOKUP(B1078,'[1]new sheet'!$A$1:$IV$65536,5,FALSE),0)</f>
        <v>0</v>
      </c>
      <c r="F1078" s="3">
        <f>IFERROR(VLOOKUP(B1078,'[1]new sheet'!$A$1:$IV$65536,4,FALSE),0)</f>
        <v>0</v>
      </c>
      <c r="G1078" s="4">
        <f>IFERROR(VLOOKUP(B1078,'[2]new sheet'!$A$1:$IV$65536,2,0),0)</f>
        <v>0</v>
      </c>
      <c r="H1078" s="5">
        <f>IFERROR(VLOOKUP(B1078,'[3]new sheet'!$A$1:$IV$65536,2,0),0)</f>
        <v>0</v>
      </c>
    </row>
    <row r="1079" spans="1:8" ht="24" customHeight="1">
      <c r="A1079" s="7">
        <v>2030037</v>
      </c>
      <c r="B1079" s="7">
        <v>1485</v>
      </c>
      <c r="C1079" s="8" t="s">
        <v>1652</v>
      </c>
      <c r="D1079" s="8" t="s">
        <v>1934</v>
      </c>
      <c r="E1079" s="2">
        <f>IFERROR(VLOOKUP(B1079,'[1]new sheet'!$A$1:$IV$65536,5,FALSE),0)</f>
        <v>311</v>
      </c>
      <c r="F1079" s="3">
        <f>IFERROR(VLOOKUP(B1079,'[1]new sheet'!$A$1:$IV$65536,4,FALSE),0)</f>
        <v>14</v>
      </c>
      <c r="G1079" s="4">
        <f>IFERROR(VLOOKUP(B1079,'[2]new sheet'!$A$1:$IV$65536,2,0),0)</f>
        <v>487</v>
      </c>
      <c r="H1079" s="5">
        <f>IFERROR(VLOOKUP(B1079,'[3]new sheet'!$A$1:$IV$65536,2,0),0)</f>
        <v>158</v>
      </c>
    </row>
    <row r="1080" spans="1:8" ht="24" customHeight="1">
      <c r="A1080" s="7">
        <v>2030034</v>
      </c>
      <c r="B1080" s="7">
        <v>1486</v>
      </c>
      <c r="C1080" s="8" t="s">
        <v>888</v>
      </c>
      <c r="D1080" s="8" t="s">
        <v>1934</v>
      </c>
      <c r="E1080" s="2">
        <f>IFERROR(VLOOKUP(B1080,'[1]new sheet'!$A$1:$IV$65536,5,FALSE),0)</f>
        <v>930</v>
      </c>
      <c r="F1080" s="3">
        <f>IFERROR(VLOOKUP(B1080,'[1]new sheet'!$A$1:$IV$65536,4,FALSE),0)</f>
        <v>1</v>
      </c>
      <c r="G1080" s="4">
        <f>IFERROR(VLOOKUP(B1080,'[2]new sheet'!$A$1:$IV$65536,2,0),0)</f>
        <v>386</v>
      </c>
      <c r="H1080" s="5">
        <f>IFERROR(VLOOKUP(B1080,'[3]new sheet'!$A$1:$IV$65536,2,0),0)</f>
        <v>86</v>
      </c>
    </row>
    <row r="1081" spans="1:8" ht="24" customHeight="1">
      <c r="A1081" s="7"/>
      <c r="B1081" s="7">
        <v>4331</v>
      </c>
      <c r="C1081" s="8" t="s">
        <v>1941</v>
      </c>
      <c r="D1081" s="8" t="s">
        <v>1934</v>
      </c>
      <c r="E1081" s="2">
        <f>IFERROR(VLOOKUP(B1081,'[1]new sheet'!$A$1:$IV$65536,5,FALSE),0)</f>
        <v>100</v>
      </c>
      <c r="F1081" s="3">
        <f>IFERROR(VLOOKUP(B1081,'[1]new sheet'!$A$1:$IV$65536,4,FALSE),0)</f>
        <v>0</v>
      </c>
      <c r="G1081" s="4">
        <f>IFERROR(VLOOKUP(B1081,'[2]new sheet'!$A$1:$IV$65536,2,0),0)</f>
        <v>0</v>
      </c>
      <c r="H1081" s="5">
        <f>IFERROR(VLOOKUP(B1081,'[3]new sheet'!$A$1:$IV$65536,2,0),0)</f>
        <v>0</v>
      </c>
    </row>
    <row r="1082" spans="1:8" ht="24" customHeight="1">
      <c r="A1082" s="7" t="s">
        <v>890</v>
      </c>
      <c r="B1082" s="7">
        <v>3191</v>
      </c>
      <c r="C1082" s="8" t="s">
        <v>1861</v>
      </c>
      <c r="D1082" s="8" t="s">
        <v>1937</v>
      </c>
      <c r="E1082" s="2">
        <f>IFERROR(VLOOKUP(B1082,'[1]new sheet'!$A$1:$IV$65536,5,FALSE),0)</f>
        <v>1179</v>
      </c>
      <c r="F1082" s="3">
        <f>IFERROR(VLOOKUP(B1082,'[1]new sheet'!$A$1:$IV$65536,4,FALSE),0)</f>
        <v>0</v>
      </c>
      <c r="G1082" s="4">
        <f>IFERROR(VLOOKUP(B1082,'[2]new sheet'!$A$1:$IV$65536,2,0),0)</f>
        <v>255</v>
      </c>
      <c r="H1082" s="5">
        <f>IFERROR(VLOOKUP(B1082,'[3]new sheet'!$A$1:$IV$65536,2,0),0)</f>
        <v>102</v>
      </c>
    </row>
    <row r="1083" spans="1:8" ht="24" customHeight="1">
      <c r="A1083" s="7">
        <v>997893</v>
      </c>
      <c r="B1083" s="7">
        <v>2486</v>
      </c>
      <c r="C1083" s="8" t="s">
        <v>889</v>
      </c>
      <c r="D1083" s="8" t="s">
        <v>1934</v>
      </c>
      <c r="E1083" s="2">
        <f>IFERROR(VLOOKUP(B1083,'[1]new sheet'!$A$1:$IV$65536,5,FALSE),0)</f>
        <v>12</v>
      </c>
      <c r="F1083" s="3">
        <f>IFERROR(VLOOKUP(B1083,'[1]new sheet'!$A$1:$IV$65536,4,FALSE),0)</f>
        <v>1</v>
      </c>
      <c r="G1083" s="4">
        <f>IFERROR(VLOOKUP(B1083,'[2]new sheet'!$A$1:$IV$65536,2,0),0)</f>
        <v>53</v>
      </c>
      <c r="H1083" s="5">
        <f>IFERROR(VLOOKUP(B1083,'[3]new sheet'!$A$1:$IV$65536,2,0),0)</f>
        <v>28</v>
      </c>
    </row>
    <row r="1084" spans="1:8" ht="24" customHeight="1">
      <c r="A1084" s="7">
        <v>997892</v>
      </c>
      <c r="B1084" s="7">
        <v>2485</v>
      </c>
      <c r="C1084" s="8" t="s">
        <v>1942</v>
      </c>
      <c r="D1084" s="8" t="s">
        <v>1934</v>
      </c>
      <c r="E1084" s="2">
        <f>IFERROR(VLOOKUP(B1084,'[1]new sheet'!$A$1:$IV$65536,5,FALSE),0)</f>
        <v>0</v>
      </c>
      <c r="F1084" s="3">
        <f>IFERROR(VLOOKUP(B1084,'[1]new sheet'!$A$1:$IV$65536,4,FALSE),0)</f>
        <v>0</v>
      </c>
      <c r="G1084" s="4">
        <f>IFERROR(VLOOKUP(B1084,'[2]new sheet'!$A$1:$IV$65536,2,0),0)</f>
        <v>0</v>
      </c>
      <c r="H1084" s="5">
        <f>IFERROR(VLOOKUP(B1084,'[3]new sheet'!$A$1:$IV$65536,2,0),0)</f>
        <v>1</v>
      </c>
    </row>
    <row r="1085" spans="1:8" ht="24" customHeight="1">
      <c r="A1085" s="7">
        <v>997899</v>
      </c>
      <c r="B1085" s="7">
        <v>2587</v>
      </c>
      <c r="C1085" s="8" t="s">
        <v>891</v>
      </c>
      <c r="D1085" s="8" t="s">
        <v>1937</v>
      </c>
      <c r="E1085" s="2">
        <f>IFERROR(VLOOKUP(B1085,'[1]new sheet'!$A$1:$IV$65536,5,FALSE),0)</f>
        <v>114</v>
      </c>
      <c r="F1085" s="3">
        <f>IFERROR(VLOOKUP(B1085,'[1]new sheet'!$A$1:$IV$65536,4,FALSE),0)</f>
        <v>0</v>
      </c>
      <c r="G1085" s="4">
        <f>IFERROR(VLOOKUP(B1085,'[2]new sheet'!$A$1:$IV$65536,2,0),0)</f>
        <v>96</v>
      </c>
      <c r="H1085" s="5">
        <f>IFERROR(VLOOKUP(B1085,'[3]new sheet'!$A$1:$IV$65536,2,0),0)</f>
        <v>49</v>
      </c>
    </row>
    <row r="1086" spans="1:8" ht="24" customHeight="1">
      <c r="A1086" s="7">
        <v>2158</v>
      </c>
      <c r="B1086" s="7">
        <v>1181</v>
      </c>
      <c r="C1086" s="8" t="s">
        <v>892</v>
      </c>
      <c r="D1086" s="8" t="s">
        <v>1934</v>
      </c>
      <c r="E1086" s="2">
        <f>IFERROR(VLOOKUP(B1086,'[1]new sheet'!$A$1:$IV$65536,5,FALSE),0)</f>
        <v>707</v>
      </c>
      <c r="F1086" s="3">
        <f>IFERROR(VLOOKUP(B1086,'[1]new sheet'!$A$1:$IV$65536,4,FALSE),0)</f>
        <v>5</v>
      </c>
      <c r="G1086" s="4">
        <f>IFERROR(VLOOKUP(B1086,'[2]new sheet'!$A$1:$IV$65536,2,0),0)</f>
        <v>163</v>
      </c>
      <c r="H1086" s="5">
        <f>IFERROR(VLOOKUP(B1086,'[3]new sheet'!$A$1:$IV$65536,2,0),0)</f>
        <v>179</v>
      </c>
    </row>
    <row r="1087" spans="1:8" ht="24" customHeight="1">
      <c r="A1087" s="7"/>
      <c r="B1087" s="7">
        <v>1095</v>
      </c>
      <c r="C1087" s="8" t="s">
        <v>893</v>
      </c>
      <c r="D1087" s="8" t="s">
        <v>1934</v>
      </c>
      <c r="E1087" s="2">
        <f>IFERROR(VLOOKUP(B1087,'[1]new sheet'!$A$1:$IV$65536,5,FALSE),0)</f>
        <v>0</v>
      </c>
      <c r="F1087" s="3">
        <f>IFERROR(VLOOKUP(B1087,'[1]new sheet'!$A$1:$IV$65536,4,FALSE),0)</f>
        <v>0</v>
      </c>
      <c r="G1087" s="4">
        <f>IFERROR(VLOOKUP(B1087,'[2]new sheet'!$A$1:$IV$65536,2,0),0)</f>
        <v>0</v>
      </c>
      <c r="H1087" s="5">
        <f>IFERROR(VLOOKUP(B1087,'[3]new sheet'!$A$1:$IV$65536,2,0),0)</f>
        <v>0</v>
      </c>
    </row>
    <row r="1088" spans="1:8" ht="24" customHeight="1">
      <c r="A1088" s="7">
        <v>997884</v>
      </c>
      <c r="B1088" s="7">
        <v>3838</v>
      </c>
      <c r="C1088" s="8" t="s">
        <v>1567</v>
      </c>
      <c r="D1088" s="8" t="s">
        <v>1934</v>
      </c>
      <c r="E1088" s="2">
        <f>IFERROR(VLOOKUP(B1088,'[1]new sheet'!$A$1:$IV$65536,5,FALSE),0)</f>
        <v>16</v>
      </c>
      <c r="F1088" s="3">
        <f>IFERROR(VLOOKUP(B1088,'[1]new sheet'!$A$1:$IV$65536,4,FALSE),0)</f>
        <v>0</v>
      </c>
      <c r="G1088" s="4">
        <f>IFERROR(VLOOKUP(B1088,'[2]new sheet'!$A$1:$IV$65536,2,0),0)</f>
        <v>10</v>
      </c>
      <c r="H1088" s="5">
        <f>IFERROR(VLOOKUP(B1088,'[3]new sheet'!$A$1:$IV$65536,2,0),0)</f>
        <v>4</v>
      </c>
    </row>
    <row r="1089" spans="1:8" ht="24" customHeight="1">
      <c r="A1089" s="7"/>
      <c r="B1089" s="7">
        <v>641</v>
      </c>
      <c r="C1089" s="8" t="s">
        <v>894</v>
      </c>
      <c r="D1089" s="8" t="s">
        <v>1934</v>
      </c>
      <c r="E1089" s="2">
        <f>IFERROR(VLOOKUP(B1089,'[1]new sheet'!$A$1:$IV$65536,5,FALSE),0)</f>
        <v>0</v>
      </c>
      <c r="F1089" s="3">
        <f>IFERROR(VLOOKUP(B1089,'[1]new sheet'!$A$1:$IV$65536,4,FALSE),0)</f>
        <v>0</v>
      </c>
      <c r="G1089" s="4">
        <f>IFERROR(VLOOKUP(B1089,'[2]new sheet'!$A$1:$IV$65536,2,0),0)</f>
        <v>0</v>
      </c>
      <c r="H1089" s="5">
        <f>IFERROR(VLOOKUP(B1089,'[3]new sheet'!$A$1:$IV$65536,2,0),0)</f>
        <v>0</v>
      </c>
    </row>
    <row r="1090" spans="1:8" ht="24" customHeight="1">
      <c r="A1090" s="7">
        <v>72</v>
      </c>
      <c r="B1090" s="7">
        <v>1629</v>
      </c>
      <c r="C1090" s="8" t="s">
        <v>895</v>
      </c>
      <c r="D1090" s="8" t="s">
        <v>1934</v>
      </c>
      <c r="E1090" s="2">
        <f>IFERROR(VLOOKUP(B1090,'[1]new sheet'!$A$1:$IV$65536,5,FALSE),0)</f>
        <v>0</v>
      </c>
      <c r="F1090" s="3">
        <f>IFERROR(VLOOKUP(B1090,'[1]new sheet'!$A$1:$IV$65536,4,FALSE),0)</f>
        <v>0</v>
      </c>
      <c r="G1090" s="4">
        <f>IFERROR(VLOOKUP(B1090,'[2]new sheet'!$A$1:$IV$65536,2,0),0)</f>
        <v>0</v>
      </c>
      <c r="H1090" s="5">
        <f>IFERROR(VLOOKUP(B1090,'[3]new sheet'!$A$1:$IV$65536,2,0),0)</f>
        <v>0</v>
      </c>
    </row>
    <row r="1091" spans="1:8" ht="24" customHeight="1">
      <c r="A1091" s="7">
        <v>2458</v>
      </c>
      <c r="B1091" s="7">
        <v>971</v>
      </c>
      <c r="C1091" s="8" t="s">
        <v>896</v>
      </c>
      <c r="D1091" s="8" t="s">
        <v>1934</v>
      </c>
      <c r="E1091" s="2">
        <f>IFERROR(VLOOKUP(B1091,'[1]new sheet'!$A$1:$IV$65536,5,FALSE),0)</f>
        <v>351</v>
      </c>
      <c r="F1091" s="3">
        <f>IFERROR(VLOOKUP(B1091,'[1]new sheet'!$A$1:$IV$65536,4,FALSE),0)</f>
        <v>0</v>
      </c>
      <c r="G1091" s="4">
        <f>IFERROR(VLOOKUP(B1091,'[2]new sheet'!$A$1:$IV$65536,2,0),0)</f>
        <v>132</v>
      </c>
      <c r="H1091" s="5">
        <f>IFERROR(VLOOKUP(B1091,'[3]new sheet'!$A$1:$IV$65536,2,0),0)</f>
        <v>34</v>
      </c>
    </row>
    <row r="1092" spans="1:8" ht="24" customHeight="1">
      <c r="A1092" s="7">
        <v>2030024</v>
      </c>
      <c r="B1092" s="7">
        <v>177</v>
      </c>
      <c r="C1092" s="8" t="s">
        <v>897</v>
      </c>
      <c r="D1092" s="8" t="s">
        <v>1937</v>
      </c>
      <c r="E1092" s="2">
        <f>IFERROR(VLOOKUP(B1092,'[1]new sheet'!$A$1:$IV$65536,5,FALSE),0)</f>
        <v>0</v>
      </c>
      <c r="F1092" s="3">
        <f>IFERROR(VLOOKUP(B1092,'[1]new sheet'!$A$1:$IV$65536,4,FALSE),0)</f>
        <v>0</v>
      </c>
      <c r="G1092" s="4">
        <f>IFERROR(VLOOKUP(B1092,'[2]new sheet'!$A$1:$IV$65536,2,0),0)</f>
        <v>32</v>
      </c>
      <c r="H1092" s="5">
        <f>IFERROR(VLOOKUP(B1092,'[3]new sheet'!$A$1:$IV$65536,2,0),0)</f>
        <v>0</v>
      </c>
    </row>
    <row r="1093" spans="1:8" ht="24" customHeight="1">
      <c r="A1093" s="7">
        <v>997888</v>
      </c>
      <c r="B1093" s="7">
        <v>4102</v>
      </c>
      <c r="C1093" s="8" t="s">
        <v>1728</v>
      </c>
      <c r="D1093" s="8" t="s">
        <v>1937</v>
      </c>
      <c r="E1093" s="2">
        <f>IFERROR(VLOOKUP(B1093,'[1]new sheet'!$A$1:$IV$65536,5,FALSE),0)</f>
        <v>206</v>
      </c>
      <c r="F1093" s="3">
        <f>IFERROR(VLOOKUP(B1093,'[1]new sheet'!$A$1:$IV$65536,4,FALSE),0)</f>
        <v>0</v>
      </c>
      <c r="G1093" s="4">
        <f>IFERROR(VLOOKUP(B1093,'[2]new sheet'!$A$1:$IV$65536,2,0),0)</f>
        <v>18</v>
      </c>
      <c r="H1093" s="5">
        <f>IFERROR(VLOOKUP(B1093,'[3]new sheet'!$A$1:$IV$65536,2,0),0)</f>
        <v>17</v>
      </c>
    </row>
    <row r="1094" spans="1:8" ht="24" customHeight="1">
      <c r="A1094" s="7">
        <v>997887</v>
      </c>
      <c r="B1094" s="7">
        <v>3479</v>
      </c>
      <c r="C1094" s="8" t="s">
        <v>898</v>
      </c>
      <c r="D1094" s="8" t="s">
        <v>1934</v>
      </c>
      <c r="E1094" s="2">
        <f>IFERROR(VLOOKUP(B1094,'[1]new sheet'!$A$1:$IV$65536,5,FALSE),0)</f>
        <v>42</v>
      </c>
      <c r="F1094" s="3">
        <f>IFERROR(VLOOKUP(B1094,'[1]new sheet'!$A$1:$IV$65536,4,FALSE),0)</f>
        <v>1</v>
      </c>
      <c r="G1094" s="4">
        <f>IFERROR(VLOOKUP(B1094,'[2]new sheet'!$A$1:$IV$65536,2,0),0)</f>
        <v>17</v>
      </c>
      <c r="H1094" s="5">
        <f>IFERROR(VLOOKUP(B1094,'[3]new sheet'!$A$1:$IV$65536,2,0),0)</f>
        <v>6</v>
      </c>
    </row>
    <row r="1095" spans="1:8" ht="24" customHeight="1">
      <c r="A1095" s="7">
        <v>997890</v>
      </c>
      <c r="B1095" s="7">
        <v>4103</v>
      </c>
      <c r="C1095" s="8" t="s">
        <v>1729</v>
      </c>
      <c r="D1095" s="8" t="s">
        <v>1937</v>
      </c>
      <c r="E1095" s="2">
        <f>IFERROR(VLOOKUP(B1095,'[1]new sheet'!$A$1:$IV$65536,5,FALSE),0)</f>
        <v>3</v>
      </c>
      <c r="F1095" s="3">
        <f>IFERROR(VLOOKUP(B1095,'[1]new sheet'!$A$1:$IV$65536,4,FALSE),0)</f>
        <v>0</v>
      </c>
      <c r="G1095" s="4">
        <f>IFERROR(VLOOKUP(B1095,'[2]new sheet'!$A$1:$IV$65536,2,0),0)</f>
        <v>9</v>
      </c>
      <c r="H1095" s="5">
        <f>IFERROR(VLOOKUP(B1095,'[3]new sheet'!$A$1:$IV$65536,2,0),0)</f>
        <v>23</v>
      </c>
    </row>
    <row r="1096" spans="1:8" ht="24" customHeight="1">
      <c r="A1096" s="7">
        <v>997885</v>
      </c>
      <c r="B1096" s="7">
        <v>3642</v>
      </c>
      <c r="C1096" s="8" t="s">
        <v>899</v>
      </c>
      <c r="D1096" s="8" t="s">
        <v>1934</v>
      </c>
      <c r="E1096" s="2">
        <f>IFERROR(VLOOKUP(B1096,'[1]new sheet'!$A$1:$IV$65536,5,FALSE),0)</f>
        <v>26</v>
      </c>
      <c r="F1096" s="3">
        <f>IFERROR(VLOOKUP(B1096,'[1]new sheet'!$A$1:$IV$65536,4,FALSE),0)</f>
        <v>0</v>
      </c>
      <c r="G1096" s="4">
        <f>IFERROR(VLOOKUP(B1096,'[2]new sheet'!$A$1:$IV$65536,2,0),0)</f>
        <v>17</v>
      </c>
      <c r="H1096" s="5">
        <f>IFERROR(VLOOKUP(B1096,'[3]new sheet'!$A$1:$IV$65536,2,0),0)</f>
        <v>3</v>
      </c>
    </row>
    <row r="1097" spans="1:8" ht="24" customHeight="1">
      <c r="A1097" s="7">
        <v>2460</v>
      </c>
      <c r="B1097" s="7">
        <v>970</v>
      </c>
      <c r="C1097" s="8" t="s">
        <v>900</v>
      </c>
      <c r="D1097" s="8" t="s">
        <v>1937</v>
      </c>
      <c r="E1097" s="2">
        <f>IFERROR(VLOOKUP(B1097,'[1]new sheet'!$A$1:$IV$65536,5,FALSE),0)</f>
        <v>25</v>
      </c>
      <c r="F1097" s="3">
        <f>IFERROR(VLOOKUP(B1097,'[1]new sheet'!$A$1:$IV$65536,4,FALSE),0)</f>
        <v>0</v>
      </c>
      <c r="G1097" s="4">
        <f>IFERROR(VLOOKUP(B1097,'[2]new sheet'!$A$1:$IV$65536,2,0),0)</f>
        <v>156</v>
      </c>
      <c r="H1097" s="5">
        <f>IFERROR(VLOOKUP(B1097,'[3]new sheet'!$A$1:$IV$65536,2,0),0)</f>
        <v>77</v>
      </c>
    </row>
    <row r="1098" spans="1:8" ht="24" customHeight="1">
      <c r="A1098" s="7">
        <v>1680</v>
      </c>
      <c r="B1098" s="7">
        <v>1161</v>
      </c>
      <c r="C1098" s="8" t="s">
        <v>901</v>
      </c>
      <c r="D1098" s="8" t="s">
        <v>1934</v>
      </c>
      <c r="E1098" s="2">
        <f>IFERROR(VLOOKUP(B1098,'[1]new sheet'!$A$1:$IV$65536,5,FALSE),0)</f>
        <v>30</v>
      </c>
      <c r="F1098" s="3">
        <f>IFERROR(VLOOKUP(B1098,'[1]new sheet'!$A$1:$IV$65536,4,FALSE),0)</f>
        <v>0</v>
      </c>
      <c r="G1098" s="4">
        <f>IFERROR(VLOOKUP(B1098,'[2]new sheet'!$A$1:$IV$65536,2,0),0)</f>
        <v>2</v>
      </c>
      <c r="H1098" s="5">
        <f>IFERROR(VLOOKUP(B1098,'[3]new sheet'!$A$1:$IV$65536,2,0),0)</f>
        <v>5</v>
      </c>
    </row>
    <row r="1099" spans="1:8" ht="24" customHeight="1">
      <c r="A1099" s="7"/>
      <c r="B1099" s="7">
        <v>95</v>
      </c>
      <c r="C1099" s="8" t="s">
        <v>902</v>
      </c>
      <c r="D1099" s="8" t="s">
        <v>1935</v>
      </c>
      <c r="E1099" s="2">
        <f>IFERROR(VLOOKUP(B1099,'[1]new sheet'!$A$1:$IV$65536,5,FALSE),0)</f>
        <v>0</v>
      </c>
      <c r="F1099" s="3">
        <f>IFERROR(VLOOKUP(B1099,'[1]new sheet'!$A$1:$IV$65536,4,FALSE),0)</f>
        <v>0</v>
      </c>
      <c r="G1099" s="4">
        <f>IFERROR(VLOOKUP(B1099,'[2]new sheet'!$A$1:$IV$65536,2,0),0)</f>
        <v>0</v>
      </c>
      <c r="H1099" s="5">
        <f>IFERROR(VLOOKUP(B1099,'[3]new sheet'!$A$1:$IV$65536,2,0),0)</f>
        <v>0</v>
      </c>
    </row>
    <row r="1100" spans="1:8" ht="24" customHeight="1">
      <c r="A1100" s="7">
        <v>1</v>
      </c>
      <c r="B1100" s="7">
        <v>3178</v>
      </c>
      <c r="C1100" s="8" t="s">
        <v>903</v>
      </c>
      <c r="D1100" s="8" t="s">
        <v>1938</v>
      </c>
      <c r="E1100" s="2">
        <f>IFERROR(VLOOKUP(B1100,'[1]new sheet'!$A$1:$IV$65536,5,FALSE),0)</f>
        <v>0</v>
      </c>
      <c r="F1100" s="3">
        <f>IFERROR(VLOOKUP(B1100,'[1]new sheet'!$A$1:$IV$65536,4,FALSE),0)</f>
        <v>0</v>
      </c>
      <c r="G1100" s="4">
        <f>IFERROR(VLOOKUP(B1100,'[2]new sheet'!$A$1:$IV$65536,2,0),0)</f>
        <v>0</v>
      </c>
      <c r="H1100" s="5">
        <f>IFERROR(VLOOKUP(B1100,'[3]new sheet'!$A$1:$IV$65536,2,0),0)</f>
        <v>0</v>
      </c>
    </row>
    <row r="1101" spans="1:8" ht="24" customHeight="1">
      <c r="A1101" s="7">
        <v>1</v>
      </c>
      <c r="B1101" s="7">
        <v>4138</v>
      </c>
      <c r="C1101" s="8" t="s">
        <v>1752</v>
      </c>
      <c r="D1101" s="8" t="s">
        <v>1938</v>
      </c>
      <c r="E1101" s="2">
        <f>IFERROR(VLOOKUP(B1101,'[1]new sheet'!$A$1:$IV$65536,5,FALSE),0)</f>
        <v>98</v>
      </c>
      <c r="F1101" s="3">
        <f>IFERROR(VLOOKUP(B1101,'[1]new sheet'!$A$1:$IV$65536,4,FALSE),0)</f>
        <v>8</v>
      </c>
      <c r="G1101" s="4">
        <f>IFERROR(VLOOKUP(B1101,'[2]new sheet'!$A$1:$IV$65536,2,0),0)</f>
        <v>156</v>
      </c>
      <c r="H1101" s="5">
        <f>IFERROR(VLOOKUP(B1101,'[3]new sheet'!$A$1:$IV$65536,2,0),0)</f>
        <v>74</v>
      </c>
    </row>
    <row r="1102" spans="1:8" ht="24" customHeight="1">
      <c r="A1102" s="7">
        <v>2</v>
      </c>
      <c r="B1102" s="7">
        <v>4139</v>
      </c>
      <c r="C1102" s="8" t="s">
        <v>1753</v>
      </c>
      <c r="D1102" s="8" t="s">
        <v>1938</v>
      </c>
      <c r="E1102" s="2">
        <f>IFERROR(VLOOKUP(B1102,'[1]new sheet'!$A$1:$IV$65536,5,FALSE),0)</f>
        <v>0</v>
      </c>
      <c r="F1102" s="3">
        <f>IFERROR(VLOOKUP(B1102,'[1]new sheet'!$A$1:$IV$65536,4,FALSE),0)</f>
        <v>0</v>
      </c>
      <c r="G1102" s="4">
        <f>IFERROR(VLOOKUP(B1102,'[2]new sheet'!$A$1:$IV$65536,2,0),0)</f>
        <v>35</v>
      </c>
      <c r="H1102" s="5">
        <f>IFERROR(VLOOKUP(B1102,'[3]new sheet'!$A$1:$IV$65536,2,0),0)</f>
        <v>0</v>
      </c>
    </row>
    <row r="1103" spans="1:8" ht="24" customHeight="1">
      <c r="A1103" s="7">
        <v>2</v>
      </c>
      <c r="B1103" s="7">
        <v>3432</v>
      </c>
      <c r="C1103" s="8" t="s">
        <v>904</v>
      </c>
      <c r="D1103" s="8" t="s">
        <v>1938</v>
      </c>
      <c r="E1103" s="2">
        <f>IFERROR(VLOOKUP(B1103,'[1]new sheet'!$A$1:$IV$65536,5,FALSE),0)</f>
        <v>0</v>
      </c>
      <c r="F1103" s="3">
        <f>IFERROR(VLOOKUP(B1103,'[1]new sheet'!$A$1:$IV$65536,4,FALSE),0)</f>
        <v>0</v>
      </c>
      <c r="G1103" s="4">
        <f>IFERROR(VLOOKUP(B1103,'[2]new sheet'!$A$1:$IV$65536,2,0),0)</f>
        <v>0</v>
      </c>
      <c r="H1103" s="5">
        <f>IFERROR(VLOOKUP(B1103,'[3]new sheet'!$A$1:$IV$65536,2,0),0)</f>
        <v>0</v>
      </c>
    </row>
    <row r="1104" spans="1:8" ht="24" customHeight="1">
      <c r="A1104" s="7">
        <v>929956</v>
      </c>
      <c r="B1104" s="7">
        <v>642</v>
      </c>
      <c r="C1104" s="8" t="s">
        <v>905</v>
      </c>
      <c r="D1104" s="8" t="s">
        <v>1934</v>
      </c>
      <c r="E1104" s="2">
        <f>IFERROR(VLOOKUP(B1104,'[1]new sheet'!$A$1:$IV$65536,5,FALSE),0)</f>
        <v>1</v>
      </c>
      <c r="F1104" s="3">
        <f>IFERROR(VLOOKUP(B1104,'[1]new sheet'!$A$1:$IV$65536,4,FALSE),0)</f>
        <v>0</v>
      </c>
      <c r="G1104" s="4">
        <f>IFERROR(VLOOKUP(B1104,'[2]new sheet'!$A$1:$IV$65536,2,0),0)</f>
        <v>1</v>
      </c>
      <c r="H1104" s="5">
        <f>IFERROR(VLOOKUP(B1104,'[3]new sheet'!$A$1:$IV$65536,2,0),0)</f>
        <v>1</v>
      </c>
    </row>
    <row r="1105" spans="1:8" ht="24" customHeight="1">
      <c r="A1105" s="7">
        <v>574198</v>
      </c>
      <c r="B1105" s="7">
        <v>281</v>
      </c>
      <c r="C1105" s="8" t="s">
        <v>906</v>
      </c>
      <c r="D1105" s="8" t="s">
        <v>1934</v>
      </c>
      <c r="E1105" s="2">
        <f>IFERROR(VLOOKUP(B1105,'[1]new sheet'!$A$1:$IV$65536,5,FALSE),0)</f>
        <v>0</v>
      </c>
      <c r="F1105" s="3">
        <f>IFERROR(VLOOKUP(B1105,'[1]new sheet'!$A$1:$IV$65536,4,FALSE),0)</f>
        <v>0</v>
      </c>
      <c r="G1105" s="4">
        <f>IFERROR(VLOOKUP(B1105,'[2]new sheet'!$A$1:$IV$65536,2,0),0)</f>
        <v>0</v>
      </c>
      <c r="H1105" s="5">
        <f>IFERROR(VLOOKUP(B1105,'[3]new sheet'!$A$1:$IV$65536,2,0),0)</f>
        <v>0</v>
      </c>
    </row>
    <row r="1106" spans="1:8" ht="24" customHeight="1">
      <c r="A1106" s="7">
        <v>955809</v>
      </c>
      <c r="B1106" s="7">
        <v>1100</v>
      </c>
      <c r="C1106" s="8" t="s">
        <v>907</v>
      </c>
      <c r="D1106" s="8" t="s">
        <v>1934</v>
      </c>
      <c r="E1106" s="2">
        <f>IFERROR(VLOOKUP(B1106,'[1]new sheet'!$A$1:$IV$65536,5,FALSE),0)</f>
        <v>2</v>
      </c>
      <c r="F1106" s="3">
        <f>IFERROR(VLOOKUP(B1106,'[1]new sheet'!$A$1:$IV$65536,4,FALSE),0)</f>
        <v>0</v>
      </c>
      <c r="G1106" s="4">
        <f>IFERROR(VLOOKUP(B1106,'[2]new sheet'!$A$1:$IV$65536,2,0),0)</f>
        <v>1</v>
      </c>
      <c r="H1106" s="5">
        <f>IFERROR(VLOOKUP(B1106,'[3]new sheet'!$A$1:$IV$65536,2,0),0)</f>
        <v>0</v>
      </c>
    </row>
    <row r="1107" spans="1:8" ht="24" customHeight="1">
      <c r="A1107" s="7">
        <v>4</v>
      </c>
      <c r="B1107" s="7">
        <v>3177</v>
      </c>
      <c r="C1107" s="8" t="s">
        <v>908</v>
      </c>
      <c r="D1107" s="8" t="s">
        <v>1938</v>
      </c>
      <c r="E1107" s="2">
        <f>IFERROR(VLOOKUP(B1107,'[1]new sheet'!$A$1:$IV$65536,5,FALSE),0)</f>
        <v>0</v>
      </c>
      <c r="F1107" s="3">
        <f>IFERROR(VLOOKUP(B1107,'[1]new sheet'!$A$1:$IV$65536,4,FALSE),0)</f>
        <v>0</v>
      </c>
      <c r="G1107" s="4">
        <f>IFERROR(VLOOKUP(B1107,'[2]new sheet'!$A$1:$IV$65536,2,0),0)</f>
        <v>0</v>
      </c>
      <c r="H1107" s="5">
        <f>IFERROR(VLOOKUP(B1107,'[3]new sheet'!$A$1:$IV$65536,2,0),0)</f>
        <v>0</v>
      </c>
    </row>
    <row r="1108" spans="1:8" ht="24" customHeight="1">
      <c r="A1108" s="7">
        <v>11000</v>
      </c>
      <c r="B1108" s="7">
        <v>3684</v>
      </c>
      <c r="C1108" s="8" t="s">
        <v>909</v>
      </c>
      <c r="D1108" s="8" t="s">
        <v>1934</v>
      </c>
      <c r="E1108" s="2">
        <f>IFERROR(VLOOKUP(B1108,'[1]new sheet'!$A$1:$IV$65536,5,FALSE),0)</f>
        <v>0</v>
      </c>
      <c r="F1108" s="3">
        <f>IFERROR(VLOOKUP(B1108,'[1]new sheet'!$A$1:$IV$65536,4,FALSE),0)</f>
        <v>0</v>
      </c>
      <c r="G1108" s="4">
        <f>IFERROR(VLOOKUP(B1108,'[2]new sheet'!$A$1:$IV$65536,2,0),0)</f>
        <v>0</v>
      </c>
      <c r="H1108" s="5">
        <f>IFERROR(VLOOKUP(B1108,'[3]new sheet'!$A$1:$IV$65536,2,0),0)</f>
        <v>0</v>
      </c>
    </row>
    <row r="1109" spans="1:8" ht="24" customHeight="1">
      <c r="A1109" s="7">
        <v>2647</v>
      </c>
      <c r="B1109" s="7">
        <v>644</v>
      </c>
      <c r="C1109" s="8" t="s">
        <v>910</v>
      </c>
      <c r="D1109" s="8" t="s">
        <v>1934</v>
      </c>
      <c r="E1109" s="2">
        <f>IFERROR(VLOOKUP(B1109,'[1]new sheet'!$A$1:$IV$65536,5,FALSE),0)</f>
        <v>0</v>
      </c>
      <c r="F1109" s="3">
        <f>IFERROR(VLOOKUP(B1109,'[1]new sheet'!$A$1:$IV$65536,4,FALSE),0)</f>
        <v>0</v>
      </c>
      <c r="G1109" s="4">
        <f>IFERROR(VLOOKUP(B1109,'[2]new sheet'!$A$1:$IV$65536,2,0),0)</f>
        <v>77</v>
      </c>
      <c r="H1109" s="5">
        <f>IFERROR(VLOOKUP(B1109,'[3]new sheet'!$A$1:$IV$65536,2,0),0)</f>
        <v>0</v>
      </c>
    </row>
    <row r="1110" spans="1:8" ht="24" customHeight="1">
      <c r="A1110" s="7">
        <v>4656</v>
      </c>
      <c r="B1110" s="7">
        <v>371</v>
      </c>
      <c r="C1110" s="8" t="s">
        <v>911</v>
      </c>
      <c r="D1110" s="8" t="s">
        <v>1934</v>
      </c>
      <c r="E1110" s="2">
        <f>IFERROR(VLOOKUP(B1110,'[1]new sheet'!$A$1:$IV$65536,5,FALSE),0)</f>
        <v>393</v>
      </c>
      <c r="F1110" s="3">
        <f>IFERROR(VLOOKUP(B1110,'[1]new sheet'!$A$1:$IV$65536,4,FALSE),0)</f>
        <v>7</v>
      </c>
      <c r="G1110" s="4">
        <f>IFERROR(VLOOKUP(B1110,'[2]new sheet'!$A$1:$IV$65536,2,0),0)</f>
        <v>794</v>
      </c>
      <c r="H1110" s="5">
        <f>IFERROR(VLOOKUP(B1110,'[3]new sheet'!$A$1:$IV$65536,2,0),0)</f>
        <v>261</v>
      </c>
    </row>
    <row r="1111" spans="1:8" ht="24" customHeight="1">
      <c r="A1111" s="7">
        <v>2647</v>
      </c>
      <c r="B1111" s="7">
        <v>370</v>
      </c>
      <c r="C1111" s="8" t="s">
        <v>912</v>
      </c>
      <c r="D1111" s="8" t="s">
        <v>1934</v>
      </c>
      <c r="E1111" s="2">
        <f>IFERROR(VLOOKUP(B1111,'[1]new sheet'!$A$1:$IV$65536,5,FALSE),0)</f>
        <v>0</v>
      </c>
      <c r="F1111" s="3">
        <f>IFERROR(VLOOKUP(B1111,'[1]new sheet'!$A$1:$IV$65536,4,FALSE),0)</f>
        <v>4</v>
      </c>
      <c r="G1111" s="4">
        <f>IFERROR(VLOOKUP(B1111,'[2]new sheet'!$A$1:$IV$65536,2,0),0)</f>
        <v>394</v>
      </c>
      <c r="H1111" s="5">
        <f>IFERROR(VLOOKUP(B1111,'[3]new sheet'!$A$1:$IV$65536,2,0),0)</f>
        <v>148</v>
      </c>
    </row>
    <row r="1112" spans="1:8" ht="24" customHeight="1">
      <c r="A1112" s="7">
        <v>4656</v>
      </c>
      <c r="B1112" s="7">
        <v>643</v>
      </c>
      <c r="C1112" s="8" t="s">
        <v>913</v>
      </c>
      <c r="D1112" s="8" t="s">
        <v>1934</v>
      </c>
      <c r="E1112" s="2">
        <f>IFERROR(VLOOKUP(B1112,'[1]new sheet'!$A$1:$IV$65536,5,FALSE),0)</f>
        <v>0</v>
      </c>
      <c r="F1112" s="3">
        <f>IFERROR(VLOOKUP(B1112,'[1]new sheet'!$A$1:$IV$65536,4,FALSE),0)</f>
        <v>0</v>
      </c>
      <c r="G1112" s="4">
        <f>IFERROR(VLOOKUP(B1112,'[2]new sheet'!$A$1:$IV$65536,2,0),0)</f>
        <v>13</v>
      </c>
      <c r="H1112" s="5">
        <f>IFERROR(VLOOKUP(B1112,'[3]new sheet'!$A$1:$IV$65536,2,0),0)</f>
        <v>1</v>
      </c>
    </row>
    <row r="1113" spans="1:8" ht="24" customHeight="1">
      <c r="A1113" s="7">
        <v>140009</v>
      </c>
      <c r="B1113" s="7">
        <v>4279</v>
      </c>
      <c r="C1113" s="8" t="s">
        <v>1892</v>
      </c>
      <c r="D1113" s="8" t="s">
        <v>1934</v>
      </c>
      <c r="E1113" s="2">
        <f>IFERROR(VLOOKUP(B1113,'[1]new sheet'!$A$1:$IV$65536,5,FALSE),0)</f>
        <v>0</v>
      </c>
      <c r="F1113" s="3">
        <f>IFERROR(VLOOKUP(B1113,'[1]new sheet'!$A$1:$IV$65536,4,FALSE),0)</f>
        <v>0</v>
      </c>
      <c r="G1113" s="4">
        <f>IFERROR(VLOOKUP(B1113,'[2]new sheet'!$A$1:$IV$65536,2,0),0)</f>
        <v>2</v>
      </c>
      <c r="H1113" s="5">
        <f>IFERROR(VLOOKUP(B1113,'[3]new sheet'!$A$1:$IV$65536,2,0),0)</f>
        <v>3</v>
      </c>
    </row>
    <row r="1114" spans="1:8" ht="24" customHeight="1">
      <c r="A1114" s="7">
        <v>140007</v>
      </c>
      <c r="B1114" s="7">
        <v>4278</v>
      </c>
      <c r="C1114" s="8" t="s">
        <v>1893</v>
      </c>
      <c r="D1114" s="8" t="s">
        <v>1934</v>
      </c>
      <c r="E1114" s="2">
        <f>IFERROR(VLOOKUP(B1114,'[1]new sheet'!$A$1:$IV$65536,5,FALSE),0)</f>
        <v>0</v>
      </c>
      <c r="F1114" s="3">
        <f>IFERROR(VLOOKUP(B1114,'[1]new sheet'!$A$1:$IV$65536,4,FALSE),0)</f>
        <v>0</v>
      </c>
      <c r="G1114" s="4">
        <f>IFERROR(VLOOKUP(B1114,'[2]new sheet'!$A$1:$IV$65536,2,0),0)</f>
        <v>1</v>
      </c>
      <c r="H1114" s="5">
        <f>IFERROR(VLOOKUP(B1114,'[3]new sheet'!$A$1:$IV$65536,2,0),0)</f>
        <v>4</v>
      </c>
    </row>
    <row r="1115" spans="1:8" ht="24" customHeight="1">
      <c r="A1115" s="7">
        <v>101510</v>
      </c>
      <c r="B1115" s="7">
        <v>2141</v>
      </c>
      <c r="C1115" s="8" t="s">
        <v>1530</v>
      </c>
      <c r="D1115" s="8" t="s">
        <v>1939</v>
      </c>
      <c r="E1115" s="2">
        <f>IFERROR(VLOOKUP(B1115,'[1]new sheet'!$A$1:$IV$65536,5,FALSE),0)</f>
        <v>0</v>
      </c>
      <c r="F1115" s="3">
        <f>IFERROR(VLOOKUP(B1115,'[1]new sheet'!$A$1:$IV$65536,4,FALSE),0)</f>
        <v>0</v>
      </c>
      <c r="G1115" s="4">
        <f>IFERROR(VLOOKUP(B1115,'[2]new sheet'!$A$1:$IV$65536,2,0),0)</f>
        <v>0</v>
      </c>
      <c r="H1115" s="5">
        <f>IFERROR(VLOOKUP(B1115,'[3]new sheet'!$A$1:$IV$65536,2,0),0)</f>
        <v>0</v>
      </c>
    </row>
    <row r="1116" spans="1:8" ht="24" customHeight="1">
      <c r="A1116" s="7">
        <v>998315</v>
      </c>
      <c r="B1116" s="7">
        <v>369</v>
      </c>
      <c r="C1116" s="8" t="s">
        <v>1531</v>
      </c>
      <c r="D1116" s="8" t="s">
        <v>1939</v>
      </c>
      <c r="E1116" s="2">
        <f>IFERROR(VLOOKUP(B1116,'[1]new sheet'!$A$1:$IV$65536,5,FALSE),0)</f>
        <v>120</v>
      </c>
      <c r="F1116" s="3">
        <f>IFERROR(VLOOKUP(B1116,'[1]new sheet'!$A$1:$IV$65536,4,FALSE),0)</f>
        <v>1</v>
      </c>
      <c r="G1116" s="4">
        <f>IFERROR(VLOOKUP(B1116,'[2]new sheet'!$A$1:$IV$65536,2,0),0)</f>
        <v>74</v>
      </c>
      <c r="H1116" s="5">
        <f>IFERROR(VLOOKUP(B1116,'[3]new sheet'!$A$1:$IV$65536,2,0),0)</f>
        <v>19</v>
      </c>
    </row>
    <row r="1117" spans="1:8" ht="24" customHeight="1">
      <c r="A1117" s="7">
        <v>996206</v>
      </c>
      <c r="B1117" s="7">
        <v>3844</v>
      </c>
      <c r="C1117" s="8" t="s">
        <v>1874</v>
      </c>
      <c r="D1117" s="8" t="s">
        <v>1939</v>
      </c>
      <c r="E1117" s="2">
        <f>IFERROR(VLOOKUP(B1117,'[1]new sheet'!$A$1:$IV$65536,5,FALSE),0)</f>
        <v>151</v>
      </c>
      <c r="F1117" s="3">
        <f>IFERROR(VLOOKUP(B1117,'[1]new sheet'!$A$1:$IV$65536,4,FALSE),0)</f>
        <v>3</v>
      </c>
      <c r="G1117" s="4">
        <f>IFERROR(VLOOKUP(B1117,'[2]new sheet'!$A$1:$IV$65536,2,0),0)</f>
        <v>24</v>
      </c>
      <c r="H1117" s="5">
        <f>IFERROR(VLOOKUP(B1117,'[3]new sheet'!$A$1:$IV$65536,2,0),0)</f>
        <v>14</v>
      </c>
    </row>
    <row r="1118" spans="1:8" ht="24" customHeight="1">
      <c r="A1118" s="7">
        <v>998233</v>
      </c>
      <c r="B1118" s="7">
        <v>1335</v>
      </c>
      <c r="C1118" s="8" t="s">
        <v>1532</v>
      </c>
      <c r="D1118" s="8" t="s">
        <v>1939</v>
      </c>
      <c r="E1118" s="2">
        <f>IFERROR(VLOOKUP(B1118,'[1]new sheet'!$A$1:$IV$65536,5,FALSE),0)</f>
        <v>0</v>
      </c>
      <c r="F1118" s="3">
        <f>IFERROR(VLOOKUP(B1118,'[1]new sheet'!$A$1:$IV$65536,4,FALSE),0)</f>
        <v>0</v>
      </c>
      <c r="G1118" s="4">
        <f>IFERROR(VLOOKUP(B1118,'[2]new sheet'!$A$1:$IV$65536,2,0),0)</f>
        <v>0</v>
      </c>
      <c r="H1118" s="5">
        <f>IFERROR(VLOOKUP(B1118,'[3]new sheet'!$A$1:$IV$65536,2,0),0)</f>
        <v>0</v>
      </c>
    </row>
    <row r="1119" spans="1:8" ht="24" customHeight="1">
      <c r="A1119" s="7">
        <v>999331</v>
      </c>
      <c r="B1119" s="7">
        <v>367</v>
      </c>
      <c r="C1119" s="8" t="s">
        <v>1533</v>
      </c>
      <c r="D1119" s="8" t="s">
        <v>1939</v>
      </c>
      <c r="E1119" s="2">
        <f>IFERROR(VLOOKUP(B1119,'[1]new sheet'!$A$1:$IV$65536,5,FALSE),0)</f>
        <v>255</v>
      </c>
      <c r="F1119" s="3">
        <f>IFERROR(VLOOKUP(B1119,'[1]new sheet'!$A$1:$IV$65536,4,FALSE),0)</f>
        <v>19</v>
      </c>
      <c r="G1119" s="4">
        <f>IFERROR(VLOOKUP(B1119,'[2]new sheet'!$A$1:$IV$65536,2,0),0)</f>
        <v>716</v>
      </c>
      <c r="H1119" s="5">
        <f>IFERROR(VLOOKUP(B1119,'[3]new sheet'!$A$1:$IV$65536,2,0),0)</f>
        <v>118</v>
      </c>
    </row>
    <row r="1120" spans="1:8" ht="24" customHeight="1">
      <c r="A1120" s="7">
        <v>997806</v>
      </c>
      <c r="B1120" s="7">
        <v>645</v>
      </c>
      <c r="C1120" s="8" t="s">
        <v>1534</v>
      </c>
      <c r="D1120" s="8" t="s">
        <v>1939</v>
      </c>
      <c r="E1120" s="2">
        <f>IFERROR(VLOOKUP(B1120,'[1]new sheet'!$A$1:$IV$65536,5,FALSE),0)</f>
        <v>130</v>
      </c>
      <c r="F1120" s="3">
        <f>IFERROR(VLOOKUP(B1120,'[1]new sheet'!$A$1:$IV$65536,4,FALSE),0)</f>
        <v>3</v>
      </c>
      <c r="G1120" s="4">
        <f>IFERROR(VLOOKUP(B1120,'[2]new sheet'!$A$1:$IV$65536,2,0),0)</f>
        <v>156</v>
      </c>
      <c r="H1120" s="5">
        <f>IFERROR(VLOOKUP(B1120,'[3]new sheet'!$A$1:$IV$65536,2,0),0)</f>
        <v>88</v>
      </c>
    </row>
    <row r="1121" spans="1:8" ht="24" customHeight="1">
      <c r="A1121" s="7">
        <v>17976</v>
      </c>
      <c r="B1121" s="7">
        <v>3773</v>
      </c>
      <c r="C1121" s="8" t="s">
        <v>1535</v>
      </c>
      <c r="D1121" s="8" t="s">
        <v>1939</v>
      </c>
      <c r="E1121" s="2">
        <f>IFERROR(VLOOKUP(B1121,'[1]new sheet'!$A$1:$IV$65536,5,FALSE),0)</f>
        <v>4</v>
      </c>
      <c r="F1121" s="3">
        <f>IFERROR(VLOOKUP(B1121,'[1]new sheet'!$A$1:$IV$65536,4,FALSE),0)</f>
        <v>0</v>
      </c>
      <c r="G1121" s="4">
        <f>IFERROR(VLOOKUP(B1121,'[2]new sheet'!$A$1:$IV$65536,2,0),0)</f>
        <v>3</v>
      </c>
      <c r="H1121" s="5">
        <f>IFERROR(VLOOKUP(B1121,'[3]new sheet'!$A$1:$IV$65536,2,0),0)</f>
        <v>0</v>
      </c>
    </row>
    <row r="1122" spans="1:8" ht="24" customHeight="1">
      <c r="A1122" s="7">
        <v>997875</v>
      </c>
      <c r="B1122" s="7">
        <v>3880</v>
      </c>
      <c r="C1122" s="8" t="s">
        <v>1593</v>
      </c>
      <c r="D1122" s="8" t="s">
        <v>1934</v>
      </c>
      <c r="E1122" s="2">
        <f>IFERROR(VLOOKUP(B1122,'[1]new sheet'!$A$1:$IV$65536,5,FALSE),0)</f>
        <v>0</v>
      </c>
      <c r="F1122" s="3">
        <f>IFERROR(VLOOKUP(B1122,'[1]new sheet'!$A$1:$IV$65536,4,FALSE),0)</f>
        <v>0</v>
      </c>
      <c r="G1122" s="4">
        <f>IFERROR(VLOOKUP(B1122,'[2]new sheet'!$A$1:$IV$65536,2,0),0)</f>
        <v>29</v>
      </c>
      <c r="H1122" s="5">
        <f>IFERROR(VLOOKUP(B1122,'[3]new sheet'!$A$1:$IV$65536,2,0),0)</f>
        <v>2</v>
      </c>
    </row>
    <row r="1123" spans="1:8" ht="24" customHeight="1">
      <c r="A1123" s="7">
        <v>9987874</v>
      </c>
      <c r="B1123" s="7">
        <v>829</v>
      </c>
      <c r="C1123" s="8" t="s">
        <v>914</v>
      </c>
      <c r="D1123" s="8" t="s">
        <v>1934</v>
      </c>
      <c r="E1123" s="2">
        <f>IFERROR(VLOOKUP(B1123,'[1]new sheet'!$A$1:$IV$65536,5,FALSE),0)</f>
        <v>5</v>
      </c>
      <c r="F1123" s="3">
        <f>IFERROR(VLOOKUP(B1123,'[1]new sheet'!$A$1:$IV$65536,4,FALSE),0)</f>
        <v>1</v>
      </c>
      <c r="G1123" s="4">
        <f>IFERROR(VLOOKUP(B1123,'[2]new sheet'!$A$1:$IV$65536,2,0),0)</f>
        <v>10</v>
      </c>
      <c r="H1123" s="5">
        <f>IFERROR(VLOOKUP(B1123,'[3]new sheet'!$A$1:$IV$65536,2,0),0)</f>
        <v>4</v>
      </c>
    </row>
    <row r="1124" spans="1:8" ht="24" customHeight="1">
      <c r="A1124" s="7">
        <v>9987873</v>
      </c>
      <c r="B1124" s="7">
        <v>3765</v>
      </c>
      <c r="C1124" s="8" t="s">
        <v>1536</v>
      </c>
      <c r="D1124" s="8" t="s">
        <v>1934</v>
      </c>
      <c r="E1124" s="2">
        <f>IFERROR(VLOOKUP(B1124,'[1]new sheet'!$A$1:$IV$65536,5,FALSE),0)</f>
        <v>8</v>
      </c>
      <c r="F1124" s="3">
        <f>IFERROR(VLOOKUP(B1124,'[1]new sheet'!$A$1:$IV$65536,4,FALSE),0)</f>
        <v>1</v>
      </c>
      <c r="G1124" s="4">
        <f>IFERROR(VLOOKUP(B1124,'[2]new sheet'!$A$1:$IV$65536,2,0),0)</f>
        <v>9</v>
      </c>
      <c r="H1124" s="5">
        <f>IFERROR(VLOOKUP(B1124,'[3]new sheet'!$A$1:$IV$65536,2,0),0)</f>
        <v>1</v>
      </c>
    </row>
    <row r="1125" spans="1:8" ht="24" customHeight="1">
      <c r="A1125" s="7">
        <v>998518</v>
      </c>
      <c r="B1125" s="7">
        <v>646</v>
      </c>
      <c r="C1125" s="8" t="s">
        <v>915</v>
      </c>
      <c r="D1125" s="8" t="s">
        <v>1934</v>
      </c>
      <c r="E1125" s="2">
        <f>IFERROR(VLOOKUP(B1125,'[1]new sheet'!$A$1:$IV$65536,5,FALSE),0)</f>
        <v>352</v>
      </c>
      <c r="F1125" s="3">
        <f>IFERROR(VLOOKUP(B1125,'[1]new sheet'!$A$1:$IV$65536,4,FALSE),0)</f>
        <v>3</v>
      </c>
      <c r="G1125" s="4">
        <f>IFERROR(VLOOKUP(B1125,'[2]new sheet'!$A$1:$IV$65536,2,0),0)</f>
        <v>229</v>
      </c>
      <c r="H1125" s="5">
        <f>IFERROR(VLOOKUP(B1125,'[3]new sheet'!$A$1:$IV$65536,2,0),0)</f>
        <v>100</v>
      </c>
    </row>
    <row r="1126" spans="1:8" ht="24" customHeight="1">
      <c r="A1126" s="7">
        <v>995581</v>
      </c>
      <c r="B1126" s="7">
        <v>647</v>
      </c>
      <c r="C1126" s="8" t="s">
        <v>916</v>
      </c>
      <c r="D1126" s="8" t="s">
        <v>1934</v>
      </c>
      <c r="E1126" s="2">
        <f>IFERROR(VLOOKUP(B1126,'[1]new sheet'!$A$1:$IV$65536,5,FALSE),0)</f>
        <v>303</v>
      </c>
      <c r="F1126" s="3">
        <f>IFERROR(VLOOKUP(B1126,'[1]new sheet'!$A$1:$IV$65536,4,FALSE),0)</f>
        <v>5</v>
      </c>
      <c r="G1126" s="4">
        <f>IFERROR(VLOOKUP(B1126,'[2]new sheet'!$A$1:$IV$65536,2,0),0)</f>
        <v>133</v>
      </c>
      <c r="H1126" s="5">
        <f>IFERROR(VLOOKUP(B1126,'[3]new sheet'!$A$1:$IV$65536,2,0),0)</f>
        <v>34</v>
      </c>
    </row>
    <row r="1127" spans="1:8" ht="24" customHeight="1">
      <c r="A1127" s="7">
        <v>998517</v>
      </c>
      <c r="B1127" s="7">
        <v>648</v>
      </c>
      <c r="C1127" s="8" t="s">
        <v>917</v>
      </c>
      <c r="D1127" s="8" t="s">
        <v>1934</v>
      </c>
      <c r="E1127" s="2">
        <f>IFERROR(VLOOKUP(B1127,'[1]new sheet'!$A$1:$IV$65536,5,FALSE),0)</f>
        <v>75</v>
      </c>
      <c r="F1127" s="3">
        <f>IFERROR(VLOOKUP(B1127,'[1]new sheet'!$A$1:$IV$65536,4,FALSE),0)</f>
        <v>3</v>
      </c>
      <c r="G1127" s="4">
        <f>IFERROR(VLOOKUP(B1127,'[2]new sheet'!$A$1:$IV$65536,2,0),0)</f>
        <v>150</v>
      </c>
      <c r="H1127" s="5">
        <f>IFERROR(VLOOKUP(B1127,'[3]new sheet'!$A$1:$IV$65536,2,0),0)</f>
        <v>76</v>
      </c>
    </row>
    <row r="1128" spans="1:8" ht="24" customHeight="1">
      <c r="A1128" s="7">
        <v>997640</v>
      </c>
      <c r="B1128" s="7">
        <v>2947</v>
      </c>
      <c r="C1128" s="8" t="s">
        <v>918</v>
      </c>
      <c r="D1128" s="8" t="s">
        <v>1934</v>
      </c>
      <c r="E1128" s="2">
        <f>IFERROR(VLOOKUP(B1128,'[1]new sheet'!$A$1:$IV$65536,5,FALSE),0)</f>
        <v>2</v>
      </c>
      <c r="F1128" s="3">
        <f>IFERROR(VLOOKUP(B1128,'[1]new sheet'!$A$1:$IV$65536,4,FALSE),0)</f>
        <v>0</v>
      </c>
      <c r="G1128" s="4">
        <f>IFERROR(VLOOKUP(B1128,'[2]new sheet'!$A$1:$IV$65536,2,0),0)</f>
        <v>4</v>
      </c>
      <c r="H1128" s="5">
        <f>IFERROR(VLOOKUP(B1128,'[3]new sheet'!$A$1:$IV$65536,2,0),0)</f>
        <v>0</v>
      </c>
    </row>
    <row r="1129" spans="1:8" ht="24" customHeight="1">
      <c r="A1129" s="7">
        <v>997642</v>
      </c>
      <c r="B1129" s="7">
        <v>2948</v>
      </c>
      <c r="C1129" s="8" t="s">
        <v>919</v>
      </c>
      <c r="D1129" s="8" t="s">
        <v>1934</v>
      </c>
      <c r="E1129" s="2">
        <f>IFERROR(VLOOKUP(B1129,'[1]new sheet'!$A$1:$IV$65536,5,FALSE),0)</f>
        <v>0</v>
      </c>
      <c r="F1129" s="3">
        <f>IFERROR(VLOOKUP(B1129,'[1]new sheet'!$A$1:$IV$65536,4,FALSE),0)</f>
        <v>0</v>
      </c>
      <c r="G1129" s="4">
        <f>IFERROR(VLOOKUP(B1129,'[2]new sheet'!$A$1:$IV$65536,2,0),0)</f>
        <v>0</v>
      </c>
      <c r="H1129" s="5">
        <f>IFERROR(VLOOKUP(B1129,'[3]new sheet'!$A$1:$IV$65536,2,0),0)</f>
        <v>0</v>
      </c>
    </row>
    <row r="1130" spans="1:8" ht="24" customHeight="1">
      <c r="A1130" s="7">
        <v>997638</v>
      </c>
      <c r="B1130" s="7">
        <v>2946</v>
      </c>
      <c r="C1130" s="8" t="s">
        <v>920</v>
      </c>
      <c r="D1130" s="8" t="s">
        <v>1934</v>
      </c>
      <c r="E1130" s="2">
        <f>IFERROR(VLOOKUP(B1130,'[1]new sheet'!$A$1:$IV$65536,5,FALSE),0)</f>
        <v>3</v>
      </c>
      <c r="F1130" s="3">
        <f>IFERROR(VLOOKUP(B1130,'[1]new sheet'!$A$1:$IV$65536,4,FALSE),0)</f>
        <v>0</v>
      </c>
      <c r="G1130" s="4">
        <f>IFERROR(VLOOKUP(B1130,'[2]new sheet'!$A$1:$IV$65536,2,0),0)</f>
        <v>0</v>
      </c>
      <c r="H1130" s="5">
        <f>IFERROR(VLOOKUP(B1130,'[3]new sheet'!$A$1:$IV$65536,2,0),0)</f>
        <v>1</v>
      </c>
    </row>
    <row r="1131" spans="1:8" ht="24" customHeight="1">
      <c r="A1131" s="7">
        <v>997639</v>
      </c>
      <c r="B1131" s="7">
        <v>3140</v>
      </c>
      <c r="C1131" s="8" t="s">
        <v>921</v>
      </c>
      <c r="D1131" s="8" t="s">
        <v>1934</v>
      </c>
      <c r="E1131" s="2">
        <f>IFERROR(VLOOKUP(B1131,'[1]new sheet'!$A$1:$IV$65536,5,FALSE),0)</f>
        <v>0</v>
      </c>
      <c r="F1131" s="3">
        <f>IFERROR(VLOOKUP(B1131,'[1]new sheet'!$A$1:$IV$65536,4,FALSE),0)</f>
        <v>0</v>
      </c>
      <c r="G1131" s="4">
        <f>IFERROR(VLOOKUP(B1131,'[2]new sheet'!$A$1:$IV$65536,2,0),0)</f>
        <v>0</v>
      </c>
      <c r="H1131" s="5">
        <f>IFERROR(VLOOKUP(B1131,'[3]new sheet'!$A$1:$IV$65536,2,0),0)</f>
        <v>0</v>
      </c>
    </row>
    <row r="1132" spans="1:8" ht="24" customHeight="1">
      <c r="A1132" s="7">
        <v>997872</v>
      </c>
      <c r="B1132" s="7">
        <v>649</v>
      </c>
      <c r="C1132" s="8" t="s">
        <v>922</v>
      </c>
      <c r="D1132" s="8" t="s">
        <v>1934</v>
      </c>
      <c r="E1132" s="2">
        <f>IFERROR(VLOOKUP(B1132,'[1]new sheet'!$A$1:$IV$65536,5,FALSE),0)</f>
        <v>923</v>
      </c>
      <c r="F1132" s="3">
        <f>IFERROR(VLOOKUP(B1132,'[1]new sheet'!$A$1:$IV$65536,4,FALSE),0)</f>
        <v>13</v>
      </c>
      <c r="G1132" s="4">
        <f>IFERROR(VLOOKUP(B1132,'[2]new sheet'!$A$1:$IV$65536,2,0),0)</f>
        <v>560</v>
      </c>
      <c r="H1132" s="5">
        <f>IFERROR(VLOOKUP(B1132,'[3]new sheet'!$A$1:$IV$65536,2,0),0)</f>
        <v>258</v>
      </c>
    </row>
    <row r="1133" spans="1:8" ht="24" customHeight="1">
      <c r="A1133" s="7">
        <v>997871</v>
      </c>
      <c r="B1133" s="7">
        <v>650</v>
      </c>
      <c r="C1133" s="8" t="s">
        <v>923</v>
      </c>
      <c r="D1133" s="8" t="s">
        <v>1934</v>
      </c>
      <c r="E1133" s="2">
        <f>IFERROR(VLOOKUP(B1133,'[1]new sheet'!$A$1:$IV$65536,5,FALSE),0)</f>
        <v>2170</v>
      </c>
      <c r="F1133" s="3">
        <f>IFERROR(VLOOKUP(B1133,'[1]new sheet'!$A$1:$IV$65536,4,FALSE),0)</f>
        <v>30</v>
      </c>
      <c r="G1133" s="4">
        <f>IFERROR(VLOOKUP(B1133,'[2]new sheet'!$A$1:$IV$65536,2,0),0)</f>
        <v>1622</v>
      </c>
      <c r="H1133" s="5">
        <f>IFERROR(VLOOKUP(B1133,'[3]new sheet'!$A$1:$IV$65536,2,0),0)</f>
        <v>719</v>
      </c>
    </row>
    <row r="1134" spans="1:8" ht="24" customHeight="1">
      <c r="A1134" s="7">
        <v>997869</v>
      </c>
      <c r="B1134" s="7">
        <v>651</v>
      </c>
      <c r="C1134" s="8" t="s">
        <v>924</v>
      </c>
      <c r="D1134" s="8" t="s">
        <v>1934</v>
      </c>
      <c r="E1134" s="2">
        <f>IFERROR(VLOOKUP(B1134,'[1]new sheet'!$A$1:$IV$65536,5,FALSE),0)</f>
        <v>991</v>
      </c>
      <c r="F1134" s="3">
        <f>IFERROR(VLOOKUP(B1134,'[1]new sheet'!$A$1:$IV$65536,4,FALSE),0)</f>
        <v>30</v>
      </c>
      <c r="G1134" s="4">
        <f>IFERROR(VLOOKUP(B1134,'[2]new sheet'!$A$1:$IV$65536,2,0),0)</f>
        <v>1193</v>
      </c>
      <c r="H1134" s="5">
        <f>IFERROR(VLOOKUP(B1134,'[3]new sheet'!$A$1:$IV$65536,2,0),0)</f>
        <v>491</v>
      </c>
    </row>
    <row r="1135" spans="1:8" ht="24" customHeight="1">
      <c r="A1135" s="7">
        <v>997867</v>
      </c>
      <c r="B1135" s="7">
        <v>2870</v>
      </c>
      <c r="C1135" s="8" t="s">
        <v>925</v>
      </c>
      <c r="D1135" s="8" t="s">
        <v>1934</v>
      </c>
      <c r="E1135" s="2">
        <f>IFERROR(VLOOKUP(B1135,'[1]new sheet'!$A$1:$IV$65536,5,FALSE),0)</f>
        <v>72</v>
      </c>
      <c r="F1135" s="3">
        <f>IFERROR(VLOOKUP(B1135,'[1]new sheet'!$A$1:$IV$65536,4,FALSE),0)</f>
        <v>3</v>
      </c>
      <c r="G1135" s="4">
        <f>IFERROR(VLOOKUP(B1135,'[2]new sheet'!$A$1:$IV$65536,2,0),0)</f>
        <v>39</v>
      </c>
      <c r="H1135" s="5">
        <f>IFERROR(VLOOKUP(B1135,'[3]new sheet'!$A$1:$IV$65536,2,0),0)</f>
        <v>21</v>
      </c>
    </row>
    <row r="1136" spans="1:8" ht="24" customHeight="1">
      <c r="A1136" s="7">
        <v>997865</v>
      </c>
      <c r="B1136" s="7">
        <v>368</v>
      </c>
      <c r="C1136" s="8" t="s">
        <v>926</v>
      </c>
      <c r="D1136" s="8" t="s">
        <v>1934</v>
      </c>
      <c r="E1136" s="2">
        <f>IFERROR(VLOOKUP(B1136,'[1]new sheet'!$A$1:$IV$65536,5,FALSE),0)</f>
        <v>0</v>
      </c>
      <c r="F1136" s="3">
        <f>IFERROR(VLOOKUP(B1136,'[1]new sheet'!$A$1:$IV$65536,4,FALSE),0)</f>
        <v>0</v>
      </c>
      <c r="G1136" s="4">
        <f>IFERROR(VLOOKUP(B1136,'[2]new sheet'!$A$1:$IV$65536,2,0),0)</f>
        <v>0</v>
      </c>
      <c r="H1136" s="5">
        <f>IFERROR(VLOOKUP(B1136,'[3]new sheet'!$A$1:$IV$65536,2,0),0)</f>
        <v>0</v>
      </c>
    </row>
    <row r="1137" spans="1:8" ht="24" customHeight="1">
      <c r="A1137" s="7">
        <v>997866</v>
      </c>
      <c r="B1137" s="7">
        <v>2869</v>
      </c>
      <c r="C1137" s="8" t="s">
        <v>927</v>
      </c>
      <c r="D1137" s="8" t="s">
        <v>1934</v>
      </c>
      <c r="E1137" s="2">
        <f>IFERROR(VLOOKUP(B1137,'[1]new sheet'!$A$1:$IV$65536,5,FALSE),0)</f>
        <v>11</v>
      </c>
      <c r="F1137" s="3">
        <f>IFERROR(VLOOKUP(B1137,'[1]new sheet'!$A$1:$IV$65536,4,FALSE),0)</f>
        <v>2</v>
      </c>
      <c r="G1137" s="4">
        <f>IFERROR(VLOOKUP(B1137,'[2]new sheet'!$A$1:$IV$65536,2,0),0)</f>
        <v>9</v>
      </c>
      <c r="H1137" s="5">
        <f>IFERROR(VLOOKUP(B1137,'[3]new sheet'!$A$1:$IV$65536,2,0),0)</f>
        <v>1</v>
      </c>
    </row>
    <row r="1138" spans="1:8" ht="24" customHeight="1">
      <c r="A1138" s="7">
        <v>996585</v>
      </c>
      <c r="B1138" s="7">
        <v>2871</v>
      </c>
      <c r="C1138" s="8" t="s">
        <v>928</v>
      </c>
      <c r="D1138" s="8" t="s">
        <v>1934</v>
      </c>
      <c r="E1138" s="2">
        <f>IFERROR(VLOOKUP(B1138,'[1]new sheet'!$A$1:$IV$65536,5,FALSE),0)</f>
        <v>2</v>
      </c>
      <c r="F1138" s="3">
        <f>IFERROR(VLOOKUP(B1138,'[1]new sheet'!$A$1:$IV$65536,4,FALSE),0)</f>
        <v>0</v>
      </c>
      <c r="G1138" s="4">
        <f>IFERROR(VLOOKUP(B1138,'[2]new sheet'!$A$1:$IV$65536,2,0),0)</f>
        <v>0</v>
      </c>
      <c r="H1138" s="5">
        <f>IFERROR(VLOOKUP(B1138,'[3]new sheet'!$A$1:$IV$65536,2,0),0)</f>
        <v>0</v>
      </c>
    </row>
    <row r="1139" spans="1:8" ht="24" customHeight="1">
      <c r="A1139" s="7">
        <v>56868</v>
      </c>
      <c r="B1139" s="7">
        <v>654</v>
      </c>
      <c r="C1139" s="8" t="s">
        <v>929</v>
      </c>
      <c r="D1139" s="8" t="s">
        <v>1934</v>
      </c>
      <c r="E1139" s="2">
        <f>IFERROR(VLOOKUP(B1139,'[1]new sheet'!$A$1:$IV$65536,5,FALSE),0)</f>
        <v>262</v>
      </c>
      <c r="F1139" s="3">
        <f>IFERROR(VLOOKUP(B1139,'[1]new sheet'!$A$1:$IV$65536,4,FALSE),0)</f>
        <v>4</v>
      </c>
      <c r="G1139" s="4">
        <f>IFERROR(VLOOKUP(B1139,'[2]new sheet'!$A$1:$IV$65536,2,0),0)</f>
        <v>170</v>
      </c>
      <c r="H1139" s="5">
        <f>IFERROR(VLOOKUP(B1139,'[3]new sheet'!$A$1:$IV$65536,2,0),0)</f>
        <v>31</v>
      </c>
    </row>
    <row r="1140" spans="1:8" ht="24" customHeight="1">
      <c r="A1140" s="7">
        <v>571954</v>
      </c>
      <c r="B1140" s="7">
        <v>652</v>
      </c>
      <c r="C1140" s="8" t="s">
        <v>930</v>
      </c>
      <c r="D1140" s="8" t="s">
        <v>1934</v>
      </c>
      <c r="E1140" s="2">
        <f>IFERROR(VLOOKUP(B1140,'[1]new sheet'!$A$1:$IV$65536,5,FALSE),0)</f>
        <v>639</v>
      </c>
      <c r="F1140" s="3">
        <f>IFERROR(VLOOKUP(B1140,'[1]new sheet'!$A$1:$IV$65536,4,FALSE),0)</f>
        <v>7</v>
      </c>
      <c r="G1140" s="4">
        <f>IFERROR(VLOOKUP(B1140,'[2]new sheet'!$A$1:$IV$65536,2,0),0)</f>
        <v>320</v>
      </c>
      <c r="H1140" s="5">
        <f>IFERROR(VLOOKUP(B1140,'[3]new sheet'!$A$1:$IV$65536,2,0),0)</f>
        <v>262</v>
      </c>
    </row>
    <row r="1141" spans="1:8" ht="24" customHeight="1">
      <c r="A1141" s="7">
        <v>574783</v>
      </c>
      <c r="B1141" s="7">
        <v>653</v>
      </c>
      <c r="C1141" s="8" t="s">
        <v>931</v>
      </c>
      <c r="D1141" s="8" t="s">
        <v>1934</v>
      </c>
      <c r="E1141" s="2">
        <f>IFERROR(VLOOKUP(B1141,'[1]new sheet'!$A$1:$IV$65536,5,FALSE),0)</f>
        <v>438</v>
      </c>
      <c r="F1141" s="3">
        <f>IFERROR(VLOOKUP(B1141,'[1]new sheet'!$A$1:$IV$65536,4,FALSE),0)</f>
        <v>7</v>
      </c>
      <c r="G1141" s="4">
        <f>IFERROR(VLOOKUP(B1141,'[2]new sheet'!$A$1:$IV$65536,2,0),0)</f>
        <v>254</v>
      </c>
      <c r="H1141" s="5">
        <f>IFERROR(VLOOKUP(B1141,'[3]new sheet'!$A$1:$IV$65536,2,0),0)</f>
        <v>97</v>
      </c>
    </row>
    <row r="1142" spans="1:8" ht="24" customHeight="1">
      <c r="A1142" s="7">
        <v>571946</v>
      </c>
      <c r="B1142" s="7">
        <v>366</v>
      </c>
      <c r="C1142" s="8" t="s">
        <v>932</v>
      </c>
      <c r="D1142" s="8" t="s">
        <v>1934</v>
      </c>
      <c r="E1142" s="2">
        <f>IFERROR(VLOOKUP(B1142,'[1]new sheet'!$A$1:$IV$65536,5,FALSE),0)</f>
        <v>6</v>
      </c>
      <c r="F1142" s="3">
        <f>IFERROR(VLOOKUP(B1142,'[1]new sheet'!$A$1:$IV$65536,4,FALSE),0)</f>
        <v>0</v>
      </c>
      <c r="G1142" s="4">
        <f>IFERROR(VLOOKUP(B1142,'[2]new sheet'!$A$1:$IV$65536,2,0),0)</f>
        <v>1</v>
      </c>
      <c r="H1142" s="5">
        <f>IFERROR(VLOOKUP(B1142,'[3]new sheet'!$A$1:$IV$65536,2,0),0)</f>
        <v>3</v>
      </c>
    </row>
    <row r="1143" spans="1:8" ht="24" customHeight="1">
      <c r="A1143" s="7">
        <v>571962</v>
      </c>
      <c r="B1143" s="7">
        <v>655</v>
      </c>
      <c r="C1143" s="8" t="s">
        <v>933</v>
      </c>
      <c r="D1143" s="8" t="s">
        <v>1934</v>
      </c>
      <c r="E1143" s="2">
        <f>IFERROR(VLOOKUP(B1143,'[1]new sheet'!$A$1:$IV$65536,5,FALSE),0)</f>
        <v>0</v>
      </c>
      <c r="F1143" s="3">
        <f>IFERROR(VLOOKUP(B1143,'[1]new sheet'!$A$1:$IV$65536,4,FALSE),0)</f>
        <v>0</v>
      </c>
      <c r="G1143" s="4">
        <f>IFERROR(VLOOKUP(B1143,'[2]new sheet'!$A$1:$IV$65536,2,0),0)</f>
        <v>5</v>
      </c>
      <c r="H1143" s="5">
        <f>IFERROR(VLOOKUP(B1143,'[3]new sheet'!$A$1:$IV$65536,2,0),0)</f>
        <v>5</v>
      </c>
    </row>
    <row r="1144" spans="1:8" ht="24" customHeight="1">
      <c r="A1144" s="7">
        <v>577677</v>
      </c>
      <c r="B1144" s="7">
        <v>656</v>
      </c>
      <c r="C1144" s="8" t="s">
        <v>934</v>
      </c>
      <c r="D1144" s="8" t="s">
        <v>1934</v>
      </c>
      <c r="E1144" s="2">
        <f>IFERROR(VLOOKUP(B1144,'[1]new sheet'!$A$1:$IV$65536,5,FALSE),0)</f>
        <v>8</v>
      </c>
      <c r="F1144" s="3">
        <f>IFERROR(VLOOKUP(B1144,'[1]new sheet'!$A$1:$IV$65536,4,FALSE),0)</f>
        <v>0</v>
      </c>
      <c r="G1144" s="4">
        <f>IFERROR(VLOOKUP(B1144,'[2]new sheet'!$A$1:$IV$65536,2,0),0)</f>
        <v>9</v>
      </c>
      <c r="H1144" s="5">
        <f>IFERROR(VLOOKUP(B1144,'[3]new sheet'!$A$1:$IV$65536,2,0),0)</f>
        <v>4</v>
      </c>
    </row>
    <row r="1145" spans="1:8" ht="24" customHeight="1">
      <c r="A1145" s="7">
        <v>995579</v>
      </c>
      <c r="B1145" s="7">
        <v>1895</v>
      </c>
      <c r="C1145" s="8" t="s">
        <v>935</v>
      </c>
      <c r="D1145" s="8" t="s">
        <v>1934</v>
      </c>
      <c r="E1145" s="2">
        <f>IFERROR(VLOOKUP(B1145,'[1]new sheet'!$A$1:$IV$65536,5,FALSE),0)</f>
        <v>10</v>
      </c>
      <c r="F1145" s="3">
        <f>IFERROR(VLOOKUP(B1145,'[1]new sheet'!$A$1:$IV$65536,4,FALSE),0)</f>
        <v>0</v>
      </c>
      <c r="G1145" s="4">
        <f>IFERROR(VLOOKUP(B1145,'[2]new sheet'!$A$1:$IV$65536,2,0),0)</f>
        <v>1</v>
      </c>
      <c r="H1145" s="5">
        <f>IFERROR(VLOOKUP(B1145,'[3]new sheet'!$A$1:$IV$65536,2,0),0)</f>
        <v>0</v>
      </c>
    </row>
    <row r="1146" spans="1:8" ht="24" customHeight="1">
      <c r="A1146" s="7">
        <v>998872</v>
      </c>
      <c r="B1146" s="7">
        <v>1896</v>
      </c>
      <c r="C1146" s="8" t="s">
        <v>936</v>
      </c>
      <c r="D1146" s="8" t="s">
        <v>1934</v>
      </c>
      <c r="E1146" s="2">
        <f>IFERROR(VLOOKUP(B1146,'[1]new sheet'!$A$1:$IV$65536,5,FALSE),0)</f>
        <v>0</v>
      </c>
      <c r="F1146" s="3">
        <f>IFERROR(VLOOKUP(B1146,'[1]new sheet'!$A$1:$IV$65536,4,FALSE),0)</f>
        <v>0</v>
      </c>
      <c r="G1146" s="4">
        <f>IFERROR(VLOOKUP(B1146,'[2]new sheet'!$A$1:$IV$65536,2,0),0)</f>
        <v>0</v>
      </c>
      <c r="H1146" s="5">
        <f>IFERROR(VLOOKUP(B1146,'[3]new sheet'!$A$1:$IV$65536,2,0),0)</f>
        <v>0</v>
      </c>
    </row>
    <row r="1147" spans="1:8" ht="24" customHeight="1">
      <c r="A1147" s="7"/>
      <c r="B1147" s="7">
        <v>365</v>
      </c>
      <c r="C1147" s="8" t="s">
        <v>937</v>
      </c>
      <c r="D1147" s="8" t="s">
        <v>1934</v>
      </c>
      <c r="E1147" s="2">
        <f>IFERROR(VLOOKUP(B1147,'[1]new sheet'!$A$1:$IV$65536,5,FALSE),0)</f>
        <v>0</v>
      </c>
      <c r="F1147" s="3">
        <f>IFERROR(VLOOKUP(B1147,'[1]new sheet'!$A$1:$IV$65536,4,FALSE),0)</f>
        <v>0</v>
      </c>
      <c r="G1147" s="4">
        <f>IFERROR(VLOOKUP(B1147,'[2]new sheet'!$A$1:$IV$65536,2,0),0)</f>
        <v>311</v>
      </c>
      <c r="H1147" s="5">
        <f>IFERROR(VLOOKUP(B1147,'[3]new sheet'!$A$1:$IV$65536,2,0),0)</f>
        <v>79</v>
      </c>
    </row>
    <row r="1148" spans="1:8" ht="24" customHeight="1">
      <c r="A1148" s="7">
        <v>500731</v>
      </c>
      <c r="B1148" s="7">
        <v>364</v>
      </c>
      <c r="C1148" s="8" t="s">
        <v>938</v>
      </c>
      <c r="D1148" s="8" t="s">
        <v>1934</v>
      </c>
      <c r="E1148" s="2">
        <f>IFERROR(VLOOKUP(B1148,'[1]new sheet'!$A$1:$IV$65536,5,FALSE),0)</f>
        <v>0</v>
      </c>
      <c r="F1148" s="3">
        <f>IFERROR(VLOOKUP(B1148,'[1]new sheet'!$A$1:$IV$65536,4,FALSE),0)</f>
        <v>0</v>
      </c>
      <c r="G1148" s="4">
        <f>IFERROR(VLOOKUP(B1148,'[2]new sheet'!$A$1:$IV$65536,2,0),0)</f>
        <v>217</v>
      </c>
      <c r="H1148" s="5">
        <f>IFERROR(VLOOKUP(B1148,'[3]new sheet'!$A$1:$IV$65536,2,0),0)</f>
        <v>0</v>
      </c>
    </row>
    <row r="1149" spans="1:8" ht="24" customHeight="1">
      <c r="A1149" s="7"/>
      <c r="B1149" s="7">
        <v>363</v>
      </c>
      <c r="C1149" s="8" t="s">
        <v>939</v>
      </c>
      <c r="D1149" s="8" t="s">
        <v>1934</v>
      </c>
      <c r="E1149" s="2">
        <f>IFERROR(VLOOKUP(B1149,'[1]new sheet'!$A$1:$IV$65536,5,FALSE),0)</f>
        <v>0</v>
      </c>
      <c r="F1149" s="3">
        <f>IFERROR(VLOOKUP(B1149,'[1]new sheet'!$A$1:$IV$65536,4,FALSE),0)</f>
        <v>0</v>
      </c>
      <c r="G1149" s="4">
        <f>IFERROR(VLOOKUP(B1149,'[2]new sheet'!$A$1:$IV$65536,2,0),0)</f>
        <v>0</v>
      </c>
      <c r="H1149" s="5">
        <f>IFERROR(VLOOKUP(B1149,'[3]new sheet'!$A$1:$IV$65536,2,0),0)</f>
        <v>0</v>
      </c>
    </row>
    <row r="1150" spans="1:8" ht="24" customHeight="1">
      <c r="A1150" s="7">
        <v>288</v>
      </c>
      <c r="B1150" s="7">
        <v>4100</v>
      </c>
      <c r="C1150" s="8" t="s">
        <v>1730</v>
      </c>
      <c r="D1150" s="8" t="s">
        <v>1934</v>
      </c>
      <c r="E1150" s="2">
        <f>IFERROR(VLOOKUP(B1150,'[1]new sheet'!$A$1:$IV$65536,5,FALSE),0)</f>
        <v>0</v>
      </c>
      <c r="F1150" s="3">
        <f>IFERROR(VLOOKUP(B1150,'[1]new sheet'!$A$1:$IV$65536,4,FALSE),0)</f>
        <v>0</v>
      </c>
      <c r="G1150" s="4">
        <f>IFERROR(VLOOKUP(B1150,'[2]new sheet'!$A$1:$IV$65536,2,0),0)</f>
        <v>15</v>
      </c>
      <c r="H1150" s="5">
        <f>IFERROR(VLOOKUP(B1150,'[3]new sheet'!$A$1:$IV$65536,2,0),0)</f>
        <v>0</v>
      </c>
    </row>
    <row r="1151" spans="1:8" ht="24" customHeight="1">
      <c r="A1151" s="7">
        <v>246</v>
      </c>
      <c r="B1151" s="7">
        <v>1377</v>
      </c>
      <c r="C1151" s="8" t="s">
        <v>940</v>
      </c>
      <c r="D1151" s="8" t="s">
        <v>1934</v>
      </c>
      <c r="E1151" s="2">
        <f>IFERROR(VLOOKUP(B1151,'[1]new sheet'!$A$1:$IV$65536,5,FALSE),0)</f>
        <v>0</v>
      </c>
      <c r="F1151" s="3">
        <f>IFERROR(VLOOKUP(B1151,'[1]new sheet'!$A$1:$IV$65536,4,FALSE),0)</f>
        <v>0</v>
      </c>
      <c r="G1151" s="4">
        <f>IFERROR(VLOOKUP(B1151,'[2]new sheet'!$A$1:$IV$65536,2,0),0)</f>
        <v>0</v>
      </c>
      <c r="H1151" s="5">
        <f>IFERROR(VLOOKUP(B1151,'[3]new sheet'!$A$1:$IV$65536,2,0),0)</f>
        <v>0</v>
      </c>
    </row>
    <row r="1152" spans="1:8" ht="24" customHeight="1">
      <c r="A1152" s="7">
        <v>543</v>
      </c>
      <c r="B1152" s="7">
        <v>117</v>
      </c>
      <c r="C1152" s="8" t="s">
        <v>941</v>
      </c>
      <c r="D1152" s="8" t="s">
        <v>1935</v>
      </c>
      <c r="E1152" s="2">
        <f>IFERROR(VLOOKUP(B1152,'[1]new sheet'!$A$1:$IV$65536,5,FALSE),0)</f>
        <v>0</v>
      </c>
      <c r="F1152" s="3">
        <f>IFERROR(VLOOKUP(B1152,'[1]new sheet'!$A$1:$IV$65536,4,FALSE),0)</f>
        <v>0</v>
      </c>
      <c r="G1152" s="4">
        <f>IFERROR(VLOOKUP(B1152,'[2]new sheet'!$A$1:$IV$65536,2,0),0)</f>
        <v>0</v>
      </c>
      <c r="H1152" s="5">
        <f>IFERROR(VLOOKUP(B1152,'[3]new sheet'!$A$1:$IV$65536,2,0),0)</f>
        <v>0</v>
      </c>
    </row>
    <row r="1153" spans="1:8" ht="24" customHeight="1">
      <c r="A1153" s="7">
        <v>211002</v>
      </c>
      <c r="B1153" s="7">
        <v>3197</v>
      </c>
      <c r="C1153" s="8" t="s">
        <v>942</v>
      </c>
      <c r="D1153" s="8" t="s">
        <v>1935</v>
      </c>
      <c r="E1153" s="2">
        <f>IFERROR(VLOOKUP(B1153,'[1]new sheet'!$A$1:$IV$65536,5,FALSE),0)</f>
        <v>0</v>
      </c>
      <c r="F1153" s="3">
        <f>IFERROR(VLOOKUP(B1153,'[1]new sheet'!$A$1:$IV$65536,4,FALSE),0)</f>
        <v>0</v>
      </c>
      <c r="G1153" s="4">
        <f>IFERROR(VLOOKUP(B1153,'[2]new sheet'!$A$1:$IV$65536,2,0),0)</f>
        <v>0</v>
      </c>
      <c r="H1153" s="5">
        <f>IFERROR(VLOOKUP(B1153,'[3]new sheet'!$A$1:$IV$65536,2,0),0)</f>
        <v>0</v>
      </c>
    </row>
    <row r="1154" spans="1:8" ht="24" customHeight="1">
      <c r="A1154" s="7">
        <v>222110140</v>
      </c>
      <c r="B1154" s="7">
        <v>3988</v>
      </c>
      <c r="C1154" s="8" t="s">
        <v>1653</v>
      </c>
      <c r="D1154" s="8" t="s">
        <v>1935</v>
      </c>
      <c r="E1154" s="2">
        <f>IFERROR(VLOOKUP(B1154,'[1]new sheet'!$A$1:$IV$65536,5,FALSE),0)</f>
        <v>0</v>
      </c>
      <c r="F1154" s="3">
        <f>IFERROR(VLOOKUP(B1154,'[1]new sheet'!$A$1:$IV$65536,4,FALSE),0)</f>
        <v>0</v>
      </c>
      <c r="G1154" s="4">
        <f>IFERROR(VLOOKUP(B1154,'[2]new sheet'!$A$1:$IV$65536,2,0),0)</f>
        <v>1478.63</v>
      </c>
      <c r="H1154" s="5">
        <f>IFERROR(VLOOKUP(B1154,'[3]new sheet'!$A$1:$IV$65536,2,0),0)</f>
        <v>0</v>
      </c>
    </row>
    <row r="1155" spans="1:8" ht="24" customHeight="1">
      <c r="A1155" s="7">
        <v>19</v>
      </c>
      <c r="B1155" s="7">
        <v>2090</v>
      </c>
      <c r="C1155" s="8" t="s">
        <v>943</v>
      </c>
      <c r="D1155" s="8" t="s">
        <v>1935</v>
      </c>
      <c r="E1155" s="2">
        <f>IFERROR(VLOOKUP(B1155,'[1]new sheet'!$A$1:$IV$65536,5,FALSE),0)</f>
        <v>0</v>
      </c>
      <c r="F1155" s="3">
        <f>IFERROR(VLOOKUP(B1155,'[1]new sheet'!$A$1:$IV$65536,4,FALSE),0)</f>
        <v>0</v>
      </c>
      <c r="G1155" s="4">
        <f>IFERROR(VLOOKUP(B1155,'[2]new sheet'!$A$1:$IV$65536,2,0),0)</f>
        <v>0</v>
      </c>
      <c r="H1155" s="5">
        <f>IFERROR(VLOOKUP(B1155,'[3]new sheet'!$A$1:$IV$65536,2,0),0)</f>
        <v>0</v>
      </c>
    </row>
    <row r="1156" spans="1:8" ht="24" customHeight="1">
      <c r="A1156" s="7"/>
      <c r="B1156" s="7">
        <v>121</v>
      </c>
      <c r="C1156" s="8" t="s">
        <v>944</v>
      </c>
      <c r="D1156" s="8" t="s">
        <v>1935</v>
      </c>
      <c r="E1156" s="2">
        <f>IFERROR(VLOOKUP(B1156,'[1]new sheet'!$A$1:$IV$65536,5,FALSE),0)</f>
        <v>0</v>
      </c>
      <c r="F1156" s="3">
        <f>IFERROR(VLOOKUP(B1156,'[1]new sheet'!$A$1:$IV$65536,4,FALSE),0)</f>
        <v>0</v>
      </c>
      <c r="G1156" s="4">
        <f>IFERROR(VLOOKUP(B1156,'[2]new sheet'!$A$1:$IV$65536,2,0),0)</f>
        <v>0</v>
      </c>
      <c r="H1156" s="5">
        <f>IFERROR(VLOOKUP(B1156,'[3]new sheet'!$A$1:$IV$65536,2,0),0)</f>
        <v>0</v>
      </c>
    </row>
    <row r="1157" spans="1:8" ht="24" customHeight="1">
      <c r="A1157" s="7">
        <v>100107</v>
      </c>
      <c r="B1157" s="7">
        <v>362</v>
      </c>
      <c r="C1157" s="8" t="s">
        <v>945</v>
      </c>
      <c r="D1157" s="8" t="s">
        <v>1934</v>
      </c>
      <c r="E1157" s="2">
        <f>IFERROR(VLOOKUP(B1157,'[1]new sheet'!$A$1:$IV$65536,5,FALSE),0)</f>
        <v>99</v>
      </c>
      <c r="F1157" s="3">
        <f>IFERROR(VLOOKUP(B1157,'[1]new sheet'!$A$1:$IV$65536,4,FALSE),0)</f>
        <v>1</v>
      </c>
      <c r="G1157" s="4">
        <f>IFERROR(VLOOKUP(B1157,'[2]new sheet'!$A$1:$IV$65536,2,0),0)</f>
        <v>148</v>
      </c>
      <c r="H1157" s="5">
        <f>IFERROR(VLOOKUP(B1157,'[3]new sheet'!$A$1:$IV$65536,2,0),0)</f>
        <v>80</v>
      </c>
    </row>
    <row r="1158" spans="1:8" ht="24" customHeight="1">
      <c r="A1158" s="7">
        <v>130302</v>
      </c>
      <c r="B1158" s="7">
        <v>2524</v>
      </c>
      <c r="C1158" s="8" t="s">
        <v>946</v>
      </c>
      <c r="D1158" s="8" t="s">
        <v>1934</v>
      </c>
      <c r="E1158" s="2">
        <f>IFERROR(VLOOKUP(B1158,'[1]new sheet'!$A$1:$IV$65536,5,FALSE),0)</f>
        <v>0</v>
      </c>
      <c r="F1158" s="3">
        <f>IFERROR(VLOOKUP(B1158,'[1]new sheet'!$A$1:$IV$65536,4,FALSE),0)</f>
        <v>0</v>
      </c>
      <c r="G1158" s="4">
        <f>IFERROR(VLOOKUP(B1158,'[2]new sheet'!$A$1:$IV$65536,2,0),0)</f>
        <v>0</v>
      </c>
      <c r="H1158" s="5">
        <f>IFERROR(VLOOKUP(B1158,'[3]new sheet'!$A$1:$IV$65536,2,0),0)</f>
        <v>0</v>
      </c>
    </row>
    <row r="1159" spans="1:8" ht="24" customHeight="1">
      <c r="A1159" s="7"/>
      <c r="B1159" s="7">
        <v>2512</v>
      </c>
      <c r="C1159" s="8" t="s">
        <v>947</v>
      </c>
      <c r="D1159" s="8" t="s">
        <v>1934</v>
      </c>
      <c r="E1159" s="2">
        <f>IFERROR(VLOOKUP(B1159,'[1]new sheet'!$A$1:$IV$65536,5,FALSE),0)</f>
        <v>304</v>
      </c>
      <c r="F1159" s="3">
        <f>IFERROR(VLOOKUP(B1159,'[1]new sheet'!$A$1:$IV$65536,4,FALSE),0)</f>
        <v>5</v>
      </c>
      <c r="G1159" s="4">
        <f>IFERROR(VLOOKUP(B1159,'[2]new sheet'!$A$1:$IV$65536,2,0),0)</f>
        <v>501</v>
      </c>
      <c r="H1159" s="5">
        <f>IFERROR(VLOOKUP(B1159,'[3]new sheet'!$A$1:$IV$65536,2,0),0)</f>
        <v>150</v>
      </c>
    </row>
    <row r="1160" spans="1:8" ht="24" customHeight="1">
      <c r="A1160" s="7">
        <v>193</v>
      </c>
      <c r="B1160" s="7">
        <v>659</v>
      </c>
      <c r="C1160" s="8" t="s">
        <v>948</v>
      </c>
      <c r="D1160" s="8" t="s">
        <v>1934</v>
      </c>
      <c r="E1160" s="2">
        <f>IFERROR(VLOOKUP(B1160,'[1]new sheet'!$A$1:$IV$65536,5,FALSE),0)</f>
        <v>0</v>
      </c>
      <c r="F1160" s="3">
        <f>IFERROR(VLOOKUP(B1160,'[1]new sheet'!$A$1:$IV$65536,4,FALSE),0)</f>
        <v>0</v>
      </c>
      <c r="G1160" s="4">
        <f>IFERROR(VLOOKUP(B1160,'[2]new sheet'!$A$1:$IV$65536,2,0),0)</f>
        <v>0</v>
      </c>
      <c r="H1160" s="5">
        <f>IFERROR(VLOOKUP(B1160,'[3]new sheet'!$A$1:$IV$65536,2,0),0)</f>
        <v>0</v>
      </c>
    </row>
    <row r="1161" spans="1:8" ht="24" customHeight="1">
      <c r="A1161" s="7">
        <v>4335</v>
      </c>
      <c r="B1161" s="7">
        <v>660</v>
      </c>
      <c r="C1161" s="8" t="s">
        <v>949</v>
      </c>
      <c r="D1161" s="8" t="s">
        <v>1934</v>
      </c>
      <c r="E1161" s="2">
        <f>IFERROR(VLOOKUP(B1161,'[1]new sheet'!$A$1:$IV$65536,5,FALSE),0)</f>
        <v>0</v>
      </c>
      <c r="F1161" s="3">
        <f>IFERROR(VLOOKUP(B1161,'[1]new sheet'!$A$1:$IV$65536,4,FALSE),0)</f>
        <v>0</v>
      </c>
      <c r="G1161" s="4">
        <f>IFERROR(VLOOKUP(B1161,'[2]new sheet'!$A$1:$IV$65536,2,0),0)</f>
        <v>0</v>
      </c>
      <c r="H1161" s="5">
        <f>IFERROR(VLOOKUP(B1161,'[3]new sheet'!$A$1:$IV$65536,2,0),0)</f>
        <v>0</v>
      </c>
    </row>
    <row r="1162" spans="1:8" ht="24" customHeight="1">
      <c r="A1162" s="7">
        <v>130101</v>
      </c>
      <c r="B1162" s="7">
        <v>2523</v>
      </c>
      <c r="C1162" s="8" t="s">
        <v>950</v>
      </c>
      <c r="D1162" s="8" t="s">
        <v>1934</v>
      </c>
      <c r="E1162" s="2">
        <f>IFERROR(VLOOKUP(B1162,'[1]new sheet'!$A$1:$IV$65536,5,FALSE),0)</f>
        <v>0</v>
      </c>
      <c r="F1162" s="3">
        <f>IFERROR(VLOOKUP(B1162,'[1]new sheet'!$A$1:$IV$65536,4,FALSE),0)</f>
        <v>0</v>
      </c>
      <c r="G1162" s="4">
        <f>IFERROR(VLOOKUP(B1162,'[2]new sheet'!$A$1:$IV$65536,2,0),0)</f>
        <v>0</v>
      </c>
      <c r="H1162" s="5">
        <f>IFERROR(VLOOKUP(B1162,'[3]new sheet'!$A$1:$IV$65536,2,0),0)</f>
        <v>0</v>
      </c>
    </row>
    <row r="1163" spans="1:8" ht="24" customHeight="1">
      <c r="A1163" s="7">
        <v>130305</v>
      </c>
      <c r="B1163" s="7">
        <v>2525</v>
      </c>
      <c r="C1163" s="8" t="s">
        <v>951</v>
      </c>
      <c r="D1163" s="8" t="s">
        <v>1934</v>
      </c>
      <c r="E1163" s="2">
        <f>IFERROR(VLOOKUP(B1163,'[1]new sheet'!$A$1:$IV$65536,5,FALSE),0)</f>
        <v>0</v>
      </c>
      <c r="F1163" s="3">
        <f>IFERROR(VLOOKUP(B1163,'[1]new sheet'!$A$1:$IV$65536,4,FALSE),0)</f>
        <v>0</v>
      </c>
      <c r="G1163" s="4">
        <f>IFERROR(VLOOKUP(B1163,'[2]new sheet'!$A$1:$IV$65536,2,0),0)</f>
        <v>0</v>
      </c>
      <c r="H1163" s="5">
        <f>IFERROR(VLOOKUP(B1163,'[3]new sheet'!$A$1:$IV$65536,2,0),0)</f>
        <v>0</v>
      </c>
    </row>
    <row r="1164" spans="1:8" ht="24" customHeight="1">
      <c r="A1164" s="7">
        <v>192</v>
      </c>
      <c r="B1164" s="7">
        <v>392</v>
      </c>
      <c r="C1164" s="8" t="s">
        <v>952</v>
      </c>
      <c r="D1164" s="8" t="s">
        <v>1934</v>
      </c>
      <c r="E1164" s="2">
        <f>IFERROR(VLOOKUP(B1164,'[1]new sheet'!$A$1:$IV$65536,5,FALSE),0)</f>
        <v>0</v>
      </c>
      <c r="F1164" s="3">
        <f>IFERROR(VLOOKUP(B1164,'[1]new sheet'!$A$1:$IV$65536,4,FALSE),0)</f>
        <v>0</v>
      </c>
      <c r="G1164" s="4">
        <f>IFERROR(VLOOKUP(B1164,'[2]new sheet'!$A$1:$IV$65536,2,0),0)</f>
        <v>0</v>
      </c>
      <c r="H1164" s="5">
        <f>IFERROR(VLOOKUP(B1164,'[3]new sheet'!$A$1:$IV$65536,2,0),0)</f>
        <v>0</v>
      </c>
    </row>
    <row r="1165" spans="1:8" ht="24" customHeight="1">
      <c r="A1165" s="7">
        <v>4334</v>
      </c>
      <c r="B1165" s="7">
        <v>3116</v>
      </c>
      <c r="C1165" s="8" t="s">
        <v>953</v>
      </c>
      <c r="D1165" s="8" t="s">
        <v>1934</v>
      </c>
      <c r="E1165" s="2">
        <f>IFERROR(VLOOKUP(B1165,'[1]new sheet'!$A$1:$IV$65536,5,FALSE),0)</f>
        <v>839</v>
      </c>
      <c r="F1165" s="3">
        <f>IFERROR(VLOOKUP(B1165,'[1]new sheet'!$A$1:$IV$65536,4,FALSE),0)</f>
        <v>8</v>
      </c>
      <c r="G1165" s="4">
        <f>IFERROR(VLOOKUP(B1165,'[2]new sheet'!$A$1:$IV$65536,2,0),0)</f>
        <v>848</v>
      </c>
      <c r="H1165" s="5">
        <f>IFERROR(VLOOKUP(B1165,'[3]new sheet'!$A$1:$IV$65536,2,0),0)</f>
        <v>316</v>
      </c>
    </row>
    <row r="1166" spans="1:8" ht="24" customHeight="1">
      <c r="A1166" s="7"/>
      <c r="B1166" s="7">
        <v>661</v>
      </c>
      <c r="C1166" s="8" t="s">
        <v>954</v>
      </c>
      <c r="D1166" s="8" t="s">
        <v>1934</v>
      </c>
      <c r="E1166" s="2">
        <f>IFERROR(VLOOKUP(B1166,'[1]new sheet'!$A$1:$IV$65536,5,FALSE),0)</f>
        <v>0</v>
      </c>
      <c r="F1166" s="3">
        <f>IFERROR(VLOOKUP(B1166,'[1]new sheet'!$A$1:$IV$65536,4,FALSE),0)</f>
        <v>0</v>
      </c>
      <c r="G1166" s="4">
        <f>IFERROR(VLOOKUP(B1166,'[2]new sheet'!$A$1:$IV$65536,2,0),0)</f>
        <v>0</v>
      </c>
      <c r="H1166" s="5">
        <f>IFERROR(VLOOKUP(B1166,'[3]new sheet'!$A$1:$IV$65536,2,0),0)</f>
        <v>0</v>
      </c>
    </row>
    <row r="1167" spans="1:8" ht="24" customHeight="1">
      <c r="A1167" s="7">
        <v>4333</v>
      </c>
      <c r="B1167" s="7">
        <v>361</v>
      </c>
      <c r="C1167" s="8" t="s">
        <v>955</v>
      </c>
      <c r="D1167" s="8" t="s">
        <v>1934</v>
      </c>
      <c r="E1167" s="2">
        <f>IFERROR(VLOOKUP(B1167,'[1]new sheet'!$A$1:$IV$65536,5,FALSE),0)</f>
        <v>56</v>
      </c>
      <c r="F1167" s="3">
        <f>IFERROR(VLOOKUP(B1167,'[1]new sheet'!$A$1:$IV$65536,4,FALSE),0)</f>
        <v>0</v>
      </c>
      <c r="G1167" s="4">
        <f>IFERROR(VLOOKUP(B1167,'[2]new sheet'!$A$1:$IV$65536,2,0),0)</f>
        <v>50</v>
      </c>
      <c r="H1167" s="5">
        <f>IFERROR(VLOOKUP(B1167,'[3]new sheet'!$A$1:$IV$65536,2,0),0)</f>
        <v>15</v>
      </c>
    </row>
    <row r="1168" spans="1:8" ht="24" customHeight="1">
      <c r="A1168" s="7">
        <v>211879</v>
      </c>
      <c r="B1168" s="7">
        <v>2522</v>
      </c>
      <c r="C1168" s="8" t="s">
        <v>956</v>
      </c>
      <c r="D1168" s="8" t="s">
        <v>1934</v>
      </c>
      <c r="E1168" s="2">
        <f>IFERROR(VLOOKUP(B1168,'[1]new sheet'!$A$1:$IV$65536,5,FALSE),0)</f>
        <v>0</v>
      </c>
      <c r="F1168" s="3">
        <f>IFERROR(VLOOKUP(B1168,'[1]new sheet'!$A$1:$IV$65536,4,FALSE),0)</f>
        <v>0</v>
      </c>
      <c r="G1168" s="4">
        <f>IFERROR(VLOOKUP(B1168,'[2]new sheet'!$A$1:$IV$65536,2,0),0)</f>
        <v>0</v>
      </c>
      <c r="H1168" s="5">
        <f>IFERROR(VLOOKUP(B1168,'[3]new sheet'!$A$1:$IV$65536,2,0),0)</f>
        <v>0</v>
      </c>
    </row>
    <row r="1169" spans="1:8" ht="24" customHeight="1">
      <c r="A1169" s="7">
        <v>711446</v>
      </c>
      <c r="B1169" s="7">
        <v>2915</v>
      </c>
      <c r="C1169" s="8" t="s">
        <v>957</v>
      </c>
      <c r="D1169" s="8" t="s">
        <v>1934</v>
      </c>
      <c r="E1169" s="2">
        <f>IFERROR(VLOOKUP(B1169,'[1]new sheet'!$A$1:$IV$65536,5,FALSE),0)</f>
        <v>0</v>
      </c>
      <c r="F1169" s="3">
        <f>IFERROR(VLOOKUP(B1169,'[1]new sheet'!$A$1:$IV$65536,4,FALSE),0)</f>
        <v>0</v>
      </c>
      <c r="G1169" s="4">
        <f>IFERROR(VLOOKUP(B1169,'[2]new sheet'!$A$1:$IV$65536,2,0),0)</f>
        <v>0</v>
      </c>
      <c r="H1169" s="5">
        <f>IFERROR(VLOOKUP(B1169,'[3]new sheet'!$A$1:$IV$65536,2,0),0)</f>
        <v>0</v>
      </c>
    </row>
    <row r="1170" spans="1:8" ht="24" customHeight="1">
      <c r="A1170" s="7">
        <v>4339</v>
      </c>
      <c r="B1170" s="7">
        <v>3117</v>
      </c>
      <c r="C1170" s="8" t="s">
        <v>958</v>
      </c>
      <c r="D1170" s="8" t="s">
        <v>1934</v>
      </c>
      <c r="E1170" s="2">
        <f>IFERROR(VLOOKUP(B1170,'[1]new sheet'!$A$1:$IV$65536,5,FALSE),0)</f>
        <v>47</v>
      </c>
      <c r="F1170" s="3">
        <f>IFERROR(VLOOKUP(B1170,'[1]new sheet'!$A$1:$IV$65536,4,FALSE),0)</f>
        <v>3</v>
      </c>
      <c r="G1170" s="4">
        <f>IFERROR(VLOOKUP(B1170,'[2]new sheet'!$A$1:$IV$65536,2,0),0)</f>
        <v>38</v>
      </c>
      <c r="H1170" s="5">
        <f>IFERROR(VLOOKUP(B1170,'[3]new sheet'!$A$1:$IV$65536,2,0),0)</f>
        <v>14</v>
      </c>
    </row>
    <row r="1171" spans="1:8" ht="24" customHeight="1">
      <c r="A1171" s="7">
        <v>2586</v>
      </c>
      <c r="B1171" s="7">
        <v>657</v>
      </c>
      <c r="C1171" s="8" t="s">
        <v>959</v>
      </c>
      <c r="D1171" s="8" t="s">
        <v>1934</v>
      </c>
      <c r="E1171" s="2">
        <f>IFERROR(VLOOKUP(B1171,'[1]new sheet'!$A$1:$IV$65536,5,FALSE),0)</f>
        <v>507</v>
      </c>
      <c r="F1171" s="3">
        <f>IFERROR(VLOOKUP(B1171,'[1]new sheet'!$A$1:$IV$65536,4,FALSE),0)</f>
        <v>10</v>
      </c>
      <c r="G1171" s="4">
        <f>IFERROR(VLOOKUP(B1171,'[2]new sheet'!$A$1:$IV$65536,2,0),0)</f>
        <v>679</v>
      </c>
      <c r="H1171" s="5">
        <f>IFERROR(VLOOKUP(B1171,'[3]new sheet'!$A$1:$IV$65536,2,0),0)</f>
        <v>279</v>
      </c>
    </row>
    <row r="1172" spans="1:8" ht="24" customHeight="1">
      <c r="A1172" s="7">
        <v>198</v>
      </c>
      <c r="B1172" s="7">
        <v>658</v>
      </c>
      <c r="C1172" s="8" t="s">
        <v>960</v>
      </c>
      <c r="D1172" s="8" t="s">
        <v>1934</v>
      </c>
      <c r="E1172" s="2">
        <f>IFERROR(VLOOKUP(B1172,'[1]new sheet'!$A$1:$IV$65536,5,FALSE),0)</f>
        <v>0</v>
      </c>
      <c r="F1172" s="3">
        <f>IFERROR(VLOOKUP(B1172,'[1]new sheet'!$A$1:$IV$65536,4,FALSE),0)</f>
        <v>0</v>
      </c>
      <c r="G1172" s="4">
        <f>IFERROR(VLOOKUP(B1172,'[2]new sheet'!$A$1:$IV$65536,2,0),0)</f>
        <v>0</v>
      </c>
      <c r="H1172" s="5">
        <f>IFERROR(VLOOKUP(B1172,'[3]new sheet'!$A$1:$IV$65536,2,0),0)</f>
        <v>0</v>
      </c>
    </row>
    <row r="1173" spans="1:8" ht="24" customHeight="1">
      <c r="A1173" s="7">
        <v>15770</v>
      </c>
      <c r="B1173" s="7">
        <v>4015</v>
      </c>
      <c r="C1173" s="8" t="s">
        <v>1654</v>
      </c>
      <c r="D1173" s="8" t="s">
        <v>1934</v>
      </c>
      <c r="E1173" s="2">
        <f>IFERROR(VLOOKUP(B1173,'[1]new sheet'!$A$1:$IV$65536,5,FALSE),0)</f>
        <v>0</v>
      </c>
      <c r="F1173" s="3">
        <f>IFERROR(VLOOKUP(B1173,'[1]new sheet'!$A$1:$IV$65536,4,FALSE),0)</f>
        <v>0</v>
      </c>
      <c r="G1173" s="4">
        <f>IFERROR(VLOOKUP(B1173,'[2]new sheet'!$A$1:$IV$65536,2,0),0)</f>
        <v>0</v>
      </c>
      <c r="H1173" s="5">
        <f>IFERROR(VLOOKUP(B1173,'[3]new sheet'!$A$1:$IV$65536,2,0),0)</f>
        <v>0</v>
      </c>
    </row>
    <row r="1174" spans="1:8" ht="24" customHeight="1">
      <c r="A1174" s="7">
        <v>197815</v>
      </c>
      <c r="B1174" s="7">
        <v>832</v>
      </c>
      <c r="C1174" s="8" t="s">
        <v>961</v>
      </c>
      <c r="D1174" s="8" t="s">
        <v>1934</v>
      </c>
      <c r="E1174" s="2">
        <f>IFERROR(VLOOKUP(B1174,'[1]new sheet'!$A$1:$IV$65536,5,FALSE),0)</f>
        <v>0</v>
      </c>
      <c r="F1174" s="3">
        <f>IFERROR(VLOOKUP(B1174,'[1]new sheet'!$A$1:$IV$65536,4,FALSE),0)</f>
        <v>0</v>
      </c>
      <c r="G1174" s="4">
        <f>IFERROR(VLOOKUP(B1174,'[2]new sheet'!$A$1:$IV$65536,2,0),0)</f>
        <v>0</v>
      </c>
      <c r="H1174" s="5">
        <f>IFERROR(VLOOKUP(B1174,'[3]new sheet'!$A$1:$IV$65536,2,0),0)</f>
        <v>0</v>
      </c>
    </row>
    <row r="1175" spans="1:8" ht="24" customHeight="1">
      <c r="A1175" s="7">
        <v>1632</v>
      </c>
      <c r="B1175" s="7">
        <v>943</v>
      </c>
      <c r="C1175" s="8" t="s">
        <v>1655</v>
      </c>
      <c r="D1175" s="8" t="s">
        <v>1934</v>
      </c>
      <c r="E1175" s="2">
        <f>IFERROR(VLOOKUP(B1175,'[1]new sheet'!$A$1:$IV$65536,5,FALSE),0)</f>
        <v>0</v>
      </c>
      <c r="F1175" s="3">
        <f>IFERROR(VLOOKUP(B1175,'[1]new sheet'!$A$1:$IV$65536,4,FALSE),0)</f>
        <v>0</v>
      </c>
      <c r="G1175" s="4">
        <f>IFERROR(VLOOKUP(B1175,'[2]new sheet'!$A$1:$IV$65536,2,0),0)</f>
        <v>1</v>
      </c>
      <c r="H1175" s="5">
        <f>IFERROR(VLOOKUP(B1175,'[3]new sheet'!$A$1:$IV$65536,2,0),0)</f>
        <v>0</v>
      </c>
    </row>
    <row r="1176" spans="1:8" ht="24" customHeight="1">
      <c r="A1176" s="7">
        <v>1630</v>
      </c>
      <c r="B1176" s="7">
        <v>4014</v>
      </c>
      <c r="C1176" s="8" t="s">
        <v>1656</v>
      </c>
      <c r="D1176" s="8" t="s">
        <v>1934</v>
      </c>
      <c r="E1176" s="2">
        <f>IFERROR(VLOOKUP(B1176,'[1]new sheet'!$A$1:$IV$65536,5,FALSE),0)</f>
        <v>0</v>
      </c>
      <c r="F1176" s="3">
        <f>IFERROR(VLOOKUP(B1176,'[1]new sheet'!$A$1:$IV$65536,4,FALSE),0)</f>
        <v>0</v>
      </c>
      <c r="G1176" s="4">
        <f>IFERROR(VLOOKUP(B1176,'[2]new sheet'!$A$1:$IV$65536,2,0),0)</f>
        <v>3</v>
      </c>
      <c r="H1176" s="5">
        <f>IFERROR(VLOOKUP(B1176,'[3]new sheet'!$A$1:$IV$65536,2,0),0)</f>
        <v>0</v>
      </c>
    </row>
    <row r="1177" spans="1:8" ht="24" customHeight="1">
      <c r="A1177" s="7" t="s">
        <v>962</v>
      </c>
      <c r="B1177" s="7">
        <v>3185</v>
      </c>
      <c r="C1177" s="8" t="s">
        <v>963</v>
      </c>
      <c r="D1177" s="8" t="s">
        <v>1934</v>
      </c>
      <c r="E1177" s="2">
        <f>IFERROR(VLOOKUP(B1177,'[1]new sheet'!$A$1:$IV$65536,5,FALSE),0)</f>
        <v>0</v>
      </c>
      <c r="F1177" s="3">
        <f>IFERROR(VLOOKUP(B1177,'[1]new sheet'!$A$1:$IV$65536,4,FALSE),0)</f>
        <v>0</v>
      </c>
      <c r="G1177" s="4">
        <f>IFERROR(VLOOKUP(B1177,'[2]new sheet'!$A$1:$IV$65536,2,0),0)</f>
        <v>75</v>
      </c>
      <c r="H1177" s="5">
        <f>IFERROR(VLOOKUP(B1177,'[3]new sheet'!$A$1:$IV$65536,2,0),0)</f>
        <v>20</v>
      </c>
    </row>
    <row r="1178" spans="1:8" ht="24" customHeight="1">
      <c r="A1178" s="7">
        <v>1000154</v>
      </c>
      <c r="B1178" s="7">
        <v>60</v>
      </c>
      <c r="C1178" s="8" t="s">
        <v>964</v>
      </c>
      <c r="D1178" s="8" t="s">
        <v>1934</v>
      </c>
      <c r="E1178" s="2">
        <f>IFERROR(VLOOKUP(B1178,'[1]new sheet'!$A$1:$IV$65536,5,FALSE),0)</f>
        <v>0</v>
      </c>
      <c r="F1178" s="3">
        <f>IFERROR(VLOOKUP(B1178,'[1]new sheet'!$A$1:$IV$65536,4,FALSE),0)</f>
        <v>0</v>
      </c>
      <c r="G1178" s="4">
        <f>IFERROR(VLOOKUP(B1178,'[2]new sheet'!$A$1:$IV$65536,2,0),0)</f>
        <v>0</v>
      </c>
      <c r="H1178" s="5">
        <f>IFERROR(VLOOKUP(B1178,'[3]new sheet'!$A$1:$IV$65536,2,0),0)</f>
        <v>0</v>
      </c>
    </row>
    <row r="1179" spans="1:8" ht="24" customHeight="1">
      <c r="A1179" s="7">
        <v>958611</v>
      </c>
      <c r="B1179" s="7">
        <v>830</v>
      </c>
      <c r="C1179" s="8" t="s">
        <v>965</v>
      </c>
      <c r="D1179" s="8" t="s">
        <v>1934</v>
      </c>
      <c r="E1179" s="2">
        <f>IFERROR(VLOOKUP(B1179,'[1]new sheet'!$A$1:$IV$65536,5,FALSE),0)</f>
        <v>0</v>
      </c>
      <c r="F1179" s="3">
        <f>IFERROR(VLOOKUP(B1179,'[1]new sheet'!$A$1:$IV$65536,4,FALSE),0)</f>
        <v>0</v>
      </c>
      <c r="G1179" s="4">
        <f>IFERROR(VLOOKUP(B1179,'[2]new sheet'!$A$1:$IV$65536,2,0),0)</f>
        <v>693</v>
      </c>
      <c r="H1179" s="5">
        <f>IFERROR(VLOOKUP(B1179,'[3]new sheet'!$A$1:$IV$65536,2,0),0)</f>
        <v>192</v>
      </c>
    </row>
    <row r="1180" spans="1:8" ht="24" customHeight="1">
      <c r="A1180" s="7">
        <v>124491</v>
      </c>
      <c r="B1180" s="7">
        <v>2330</v>
      </c>
      <c r="C1180" s="8" t="s">
        <v>966</v>
      </c>
      <c r="D1180" s="8" t="s">
        <v>1934</v>
      </c>
      <c r="E1180" s="2">
        <f>IFERROR(VLOOKUP(B1180,'[1]new sheet'!$A$1:$IV$65536,5,FALSE),0)</f>
        <v>0</v>
      </c>
      <c r="F1180" s="3">
        <f>IFERROR(VLOOKUP(B1180,'[1]new sheet'!$A$1:$IV$65536,4,FALSE),0)</f>
        <v>0</v>
      </c>
      <c r="G1180" s="4">
        <f>IFERROR(VLOOKUP(B1180,'[2]new sheet'!$A$1:$IV$65536,2,0),0)</f>
        <v>0</v>
      </c>
      <c r="H1180" s="5">
        <f>IFERROR(VLOOKUP(B1180,'[3]new sheet'!$A$1:$IV$65536,2,0),0)</f>
        <v>0</v>
      </c>
    </row>
    <row r="1181" spans="1:8" ht="24" customHeight="1">
      <c r="A1181" s="7">
        <v>14290</v>
      </c>
      <c r="B1181" s="7">
        <v>3567</v>
      </c>
      <c r="C1181" s="8" t="s">
        <v>967</v>
      </c>
      <c r="D1181" s="8" t="s">
        <v>1934</v>
      </c>
      <c r="E1181" s="2">
        <f>IFERROR(VLOOKUP(B1181,'[1]new sheet'!$A$1:$IV$65536,5,FALSE),0)</f>
        <v>0</v>
      </c>
      <c r="F1181" s="3">
        <f>IFERROR(VLOOKUP(B1181,'[1]new sheet'!$A$1:$IV$65536,4,FALSE),0)</f>
        <v>0</v>
      </c>
      <c r="G1181" s="4">
        <f>IFERROR(VLOOKUP(B1181,'[2]new sheet'!$A$1:$IV$65536,2,0),0)</f>
        <v>0</v>
      </c>
      <c r="H1181" s="5">
        <f>IFERROR(VLOOKUP(B1181,'[3]new sheet'!$A$1:$IV$65536,2,0),0)</f>
        <v>0</v>
      </c>
    </row>
    <row r="1182" spans="1:8" ht="24" customHeight="1">
      <c r="A1182" s="7">
        <v>310</v>
      </c>
      <c r="B1182" s="7">
        <v>1343</v>
      </c>
      <c r="C1182" s="8" t="s">
        <v>968</v>
      </c>
      <c r="D1182" s="8" t="s">
        <v>1934</v>
      </c>
      <c r="E1182" s="2">
        <f>IFERROR(VLOOKUP(B1182,'[1]new sheet'!$A$1:$IV$65536,5,FALSE),0)</f>
        <v>0</v>
      </c>
      <c r="F1182" s="3">
        <f>IFERROR(VLOOKUP(B1182,'[1]new sheet'!$A$1:$IV$65536,4,FALSE),0)</f>
        <v>0</v>
      </c>
      <c r="G1182" s="4">
        <f>IFERROR(VLOOKUP(B1182,'[2]new sheet'!$A$1:$IV$65536,2,0),0)</f>
        <v>0</v>
      </c>
      <c r="H1182" s="5">
        <f>IFERROR(VLOOKUP(B1182,'[3]new sheet'!$A$1:$IV$65536,2,0),0)</f>
        <v>0</v>
      </c>
    </row>
    <row r="1183" spans="1:8" ht="24" customHeight="1">
      <c r="A1183" s="7">
        <v>14290</v>
      </c>
      <c r="B1183" s="7">
        <v>662</v>
      </c>
      <c r="C1183" s="8" t="s">
        <v>969</v>
      </c>
      <c r="D1183" s="8" t="s">
        <v>1934</v>
      </c>
      <c r="E1183" s="2">
        <f>IFERROR(VLOOKUP(B1183,'[1]new sheet'!$A$1:$IV$65536,5,FALSE),0)</f>
        <v>0</v>
      </c>
      <c r="F1183" s="3">
        <f>IFERROR(VLOOKUP(B1183,'[1]new sheet'!$A$1:$IV$65536,4,FALSE),0)</f>
        <v>0</v>
      </c>
      <c r="G1183" s="4">
        <f>IFERROR(VLOOKUP(B1183,'[2]new sheet'!$A$1:$IV$65536,2,0),0)</f>
        <v>0</v>
      </c>
      <c r="H1183" s="5">
        <f>IFERROR(VLOOKUP(B1183,'[3]new sheet'!$A$1:$IV$65536,2,0),0)</f>
        <v>0</v>
      </c>
    </row>
    <row r="1184" spans="1:8" ht="24" customHeight="1">
      <c r="A1184" s="7">
        <v>962171</v>
      </c>
      <c r="B1184" s="7">
        <v>3032</v>
      </c>
      <c r="C1184" s="8" t="s">
        <v>970</v>
      </c>
      <c r="D1184" s="8" t="s">
        <v>1934</v>
      </c>
      <c r="E1184" s="2">
        <f>IFERROR(VLOOKUP(B1184,'[1]new sheet'!$A$1:$IV$65536,5,FALSE),0)</f>
        <v>0</v>
      </c>
      <c r="F1184" s="3">
        <f>IFERROR(VLOOKUP(B1184,'[1]new sheet'!$A$1:$IV$65536,4,FALSE),0)</f>
        <v>0</v>
      </c>
      <c r="G1184" s="4">
        <f>IFERROR(VLOOKUP(B1184,'[2]new sheet'!$A$1:$IV$65536,2,0),0)</f>
        <v>0</v>
      </c>
      <c r="H1184" s="5">
        <f>IFERROR(VLOOKUP(B1184,'[3]new sheet'!$A$1:$IV$65536,2,0),0)</f>
        <v>0</v>
      </c>
    </row>
    <row r="1185" spans="1:8" ht="24" customHeight="1">
      <c r="A1185" s="7">
        <v>219079</v>
      </c>
      <c r="B1185" s="7">
        <v>61</v>
      </c>
      <c r="C1185" s="8" t="s">
        <v>1629</v>
      </c>
      <c r="D1185" s="8" t="s">
        <v>1934</v>
      </c>
      <c r="E1185" s="2">
        <f>IFERROR(VLOOKUP(B1185,'[1]new sheet'!$A$1:$IV$65536,5,FALSE),0)</f>
        <v>154</v>
      </c>
      <c r="F1185" s="3">
        <f>IFERROR(VLOOKUP(B1185,'[1]new sheet'!$A$1:$IV$65536,4,FALSE),0)</f>
        <v>2</v>
      </c>
      <c r="G1185" s="4">
        <f>IFERROR(VLOOKUP(B1185,'[2]new sheet'!$A$1:$IV$65536,2,0),0)</f>
        <v>67</v>
      </c>
      <c r="H1185" s="5">
        <f>IFERROR(VLOOKUP(B1185,'[3]new sheet'!$A$1:$IV$65536,2,0),0)</f>
        <v>34</v>
      </c>
    </row>
    <row r="1186" spans="1:8" ht="24" customHeight="1">
      <c r="A1186" s="7">
        <v>1760</v>
      </c>
      <c r="B1186" s="7">
        <v>831</v>
      </c>
      <c r="C1186" s="8" t="s">
        <v>971</v>
      </c>
      <c r="D1186" s="8" t="s">
        <v>1934</v>
      </c>
      <c r="E1186" s="2">
        <f>IFERROR(VLOOKUP(B1186,'[1]new sheet'!$A$1:$IV$65536,5,FALSE),0)</f>
        <v>0</v>
      </c>
      <c r="F1186" s="3">
        <f>IFERROR(VLOOKUP(B1186,'[1]new sheet'!$A$1:$IV$65536,4,FALSE),0)</f>
        <v>0</v>
      </c>
      <c r="G1186" s="4">
        <f>IFERROR(VLOOKUP(B1186,'[2]new sheet'!$A$1:$IV$65536,2,0),0)</f>
        <v>0</v>
      </c>
      <c r="H1186" s="5">
        <f>IFERROR(VLOOKUP(B1186,'[3]new sheet'!$A$1:$IV$65536,2,0),0)</f>
        <v>0</v>
      </c>
    </row>
    <row r="1187" spans="1:8" ht="24" customHeight="1">
      <c r="A1187" s="7" t="s">
        <v>972</v>
      </c>
      <c r="B1187" s="7">
        <v>3184</v>
      </c>
      <c r="C1187" s="8" t="s">
        <v>973</v>
      </c>
      <c r="D1187" s="8" t="s">
        <v>1934</v>
      </c>
      <c r="E1187" s="2">
        <f>IFERROR(VLOOKUP(B1187,'[1]new sheet'!$A$1:$IV$65536,5,FALSE),0)</f>
        <v>184</v>
      </c>
      <c r="F1187" s="3">
        <f>IFERROR(VLOOKUP(B1187,'[1]new sheet'!$A$1:$IV$65536,4,FALSE),0)</f>
        <v>1</v>
      </c>
      <c r="G1187" s="4">
        <f>IFERROR(VLOOKUP(B1187,'[2]new sheet'!$A$1:$IV$65536,2,0),0)</f>
        <v>40</v>
      </c>
      <c r="H1187" s="5">
        <f>IFERROR(VLOOKUP(B1187,'[3]new sheet'!$A$1:$IV$65536,2,0),0)</f>
        <v>31</v>
      </c>
    </row>
    <row r="1188" spans="1:8" ht="24" customHeight="1">
      <c r="A1188" s="7" t="s">
        <v>974</v>
      </c>
      <c r="B1188" s="7">
        <v>1999</v>
      </c>
      <c r="C1188" s="8" t="s">
        <v>975</v>
      </c>
      <c r="D1188" s="8" t="s">
        <v>1934</v>
      </c>
      <c r="E1188" s="2">
        <f>IFERROR(VLOOKUP(B1188,'[1]new sheet'!$A$1:$IV$65536,5,FALSE),0)</f>
        <v>0</v>
      </c>
      <c r="F1188" s="3">
        <f>IFERROR(VLOOKUP(B1188,'[1]new sheet'!$A$1:$IV$65536,4,FALSE),0)</f>
        <v>0</v>
      </c>
      <c r="G1188" s="4">
        <f>IFERROR(VLOOKUP(B1188,'[2]new sheet'!$A$1:$IV$65536,2,0),0)</f>
        <v>0</v>
      </c>
      <c r="H1188" s="5">
        <f>IFERROR(VLOOKUP(B1188,'[3]new sheet'!$A$1:$IV$65536,2,0),0)</f>
        <v>0</v>
      </c>
    </row>
    <row r="1189" spans="1:8" ht="24" customHeight="1">
      <c r="A1189" s="7">
        <v>13978</v>
      </c>
      <c r="B1189" s="7">
        <v>663</v>
      </c>
      <c r="C1189" s="8" t="s">
        <v>976</v>
      </c>
      <c r="D1189" s="8" t="s">
        <v>1934</v>
      </c>
      <c r="E1189" s="2">
        <f>IFERROR(VLOOKUP(B1189,'[1]new sheet'!$A$1:$IV$65536,5,FALSE),0)</f>
        <v>80</v>
      </c>
      <c r="F1189" s="3">
        <f>IFERROR(VLOOKUP(B1189,'[1]new sheet'!$A$1:$IV$65536,4,FALSE),0)</f>
        <v>0</v>
      </c>
      <c r="G1189" s="4">
        <f>IFERROR(VLOOKUP(B1189,'[2]new sheet'!$A$1:$IV$65536,2,0),0)</f>
        <v>39</v>
      </c>
      <c r="H1189" s="5">
        <f>IFERROR(VLOOKUP(B1189,'[3]new sheet'!$A$1:$IV$65536,2,0),0)</f>
        <v>13</v>
      </c>
    </row>
    <row r="1190" spans="1:8" ht="24" customHeight="1">
      <c r="A1190" s="7">
        <v>208972</v>
      </c>
      <c r="B1190" s="7">
        <v>4162</v>
      </c>
      <c r="C1190" s="8" t="s">
        <v>1769</v>
      </c>
      <c r="D1190" s="8" t="s">
        <v>1934</v>
      </c>
      <c r="E1190" s="2">
        <f>IFERROR(VLOOKUP(B1190,'[1]new sheet'!$A$1:$IV$65536,5,FALSE),0)</f>
        <v>0</v>
      </c>
      <c r="F1190" s="3">
        <f>IFERROR(VLOOKUP(B1190,'[1]new sheet'!$A$1:$IV$65536,4,FALSE),0)</f>
        <v>0</v>
      </c>
      <c r="G1190" s="4">
        <f>IFERROR(VLOOKUP(B1190,'[2]new sheet'!$A$1:$IV$65536,2,0),0)</f>
        <v>15</v>
      </c>
      <c r="H1190" s="5">
        <f>IFERROR(VLOOKUP(B1190,'[3]new sheet'!$A$1:$IV$65536,2,0),0)</f>
        <v>1</v>
      </c>
    </row>
    <row r="1191" spans="1:8" ht="24" customHeight="1">
      <c r="A1191" s="7">
        <v>1330</v>
      </c>
      <c r="B1191" s="7">
        <v>833</v>
      </c>
      <c r="C1191" s="8" t="s">
        <v>977</v>
      </c>
      <c r="D1191" s="8" t="s">
        <v>1934</v>
      </c>
      <c r="E1191" s="2">
        <f>IFERROR(VLOOKUP(B1191,'[1]new sheet'!$A$1:$IV$65536,5,FALSE),0)</f>
        <v>681</v>
      </c>
      <c r="F1191" s="3">
        <f>IFERROR(VLOOKUP(B1191,'[1]new sheet'!$A$1:$IV$65536,4,FALSE),0)</f>
        <v>0</v>
      </c>
      <c r="G1191" s="4">
        <f>IFERROR(VLOOKUP(B1191,'[2]new sheet'!$A$1:$IV$65536,2,0),0)</f>
        <v>282</v>
      </c>
      <c r="H1191" s="5">
        <f>IFERROR(VLOOKUP(B1191,'[3]new sheet'!$A$1:$IV$65536,2,0),0)</f>
        <v>106</v>
      </c>
    </row>
    <row r="1192" spans="1:8" ht="24" customHeight="1">
      <c r="A1192" s="7">
        <v>1325</v>
      </c>
      <c r="B1192" s="7">
        <v>834</v>
      </c>
      <c r="C1192" s="8" t="s">
        <v>978</v>
      </c>
      <c r="D1192" s="8" t="s">
        <v>1934</v>
      </c>
      <c r="E1192" s="2">
        <f>IFERROR(VLOOKUP(B1192,'[1]new sheet'!$A$1:$IV$65536,5,FALSE),0)</f>
        <v>903</v>
      </c>
      <c r="F1192" s="3">
        <f>IFERROR(VLOOKUP(B1192,'[1]new sheet'!$A$1:$IV$65536,4,FALSE),0)</f>
        <v>12</v>
      </c>
      <c r="G1192" s="4">
        <f>IFERROR(VLOOKUP(B1192,'[2]new sheet'!$A$1:$IV$65536,2,0),0)</f>
        <v>507</v>
      </c>
      <c r="H1192" s="5">
        <f>IFERROR(VLOOKUP(B1192,'[3]new sheet'!$A$1:$IV$65536,2,0),0)</f>
        <v>202</v>
      </c>
    </row>
    <row r="1193" spans="1:8" ht="24" customHeight="1">
      <c r="A1193" s="7">
        <v>4050</v>
      </c>
      <c r="B1193" s="7">
        <v>3999</v>
      </c>
      <c r="C1193" s="8" t="s">
        <v>979</v>
      </c>
      <c r="D1193" s="8" t="s">
        <v>1934</v>
      </c>
      <c r="E1193" s="2">
        <f>IFERROR(VLOOKUP(B1193,'[1]new sheet'!$A$1:$IV$65536,5,FALSE),0)</f>
        <v>0</v>
      </c>
      <c r="F1193" s="3">
        <f>IFERROR(VLOOKUP(B1193,'[1]new sheet'!$A$1:$IV$65536,4,FALSE),0)</f>
        <v>0</v>
      </c>
      <c r="G1193" s="4">
        <f>IFERROR(VLOOKUP(B1193,'[2]new sheet'!$A$1:$IV$65536,2,0),0)</f>
        <v>0</v>
      </c>
      <c r="H1193" s="5">
        <f>IFERROR(VLOOKUP(B1193,'[3]new sheet'!$A$1:$IV$65536,2,0),0)</f>
        <v>0</v>
      </c>
    </row>
    <row r="1194" spans="1:8" ht="24" customHeight="1">
      <c r="A1194" s="7">
        <v>60000886</v>
      </c>
      <c r="B1194" s="7">
        <v>4111</v>
      </c>
      <c r="C1194" s="8" t="s">
        <v>1841</v>
      </c>
      <c r="D1194" s="8" t="s">
        <v>1934</v>
      </c>
      <c r="E1194" s="2">
        <f>IFERROR(VLOOKUP(B1194,'[1]new sheet'!$A$1:$IV$65536,5,FALSE),0)</f>
        <v>0</v>
      </c>
      <c r="F1194" s="3">
        <f>IFERROR(VLOOKUP(B1194,'[1]new sheet'!$A$1:$IV$65536,4,FALSE),0)</f>
        <v>0</v>
      </c>
      <c r="G1194" s="4">
        <f>IFERROR(VLOOKUP(B1194,'[2]new sheet'!$A$1:$IV$65536,2,0),0)</f>
        <v>289</v>
      </c>
      <c r="H1194" s="5">
        <f>IFERROR(VLOOKUP(B1194,'[3]new sheet'!$A$1:$IV$65536,2,0),0)</f>
        <v>9</v>
      </c>
    </row>
    <row r="1195" spans="1:8" ht="24" customHeight="1">
      <c r="A1195" s="7">
        <v>1115</v>
      </c>
      <c r="B1195" s="7">
        <v>871</v>
      </c>
      <c r="C1195" s="8" t="s">
        <v>980</v>
      </c>
      <c r="D1195" s="8" t="s">
        <v>1937</v>
      </c>
      <c r="E1195" s="2">
        <f>IFERROR(VLOOKUP(B1195,'[1]new sheet'!$A$1:$IV$65536,5,FALSE),0)</f>
        <v>0</v>
      </c>
      <c r="F1195" s="3">
        <f>IFERROR(VLOOKUP(B1195,'[1]new sheet'!$A$1:$IV$65536,4,FALSE),0)</f>
        <v>0</v>
      </c>
      <c r="G1195" s="4">
        <f>IFERROR(VLOOKUP(B1195,'[2]new sheet'!$A$1:$IV$65536,2,0),0)</f>
        <v>0</v>
      </c>
      <c r="H1195" s="5">
        <f>IFERROR(VLOOKUP(B1195,'[3]new sheet'!$A$1:$IV$65536,2,0),0)</f>
        <v>0</v>
      </c>
    </row>
    <row r="1196" spans="1:8" ht="24" customHeight="1">
      <c r="A1196" s="7">
        <v>1025</v>
      </c>
      <c r="B1196" s="7">
        <v>4145</v>
      </c>
      <c r="C1196" s="8" t="s">
        <v>1770</v>
      </c>
      <c r="D1196" s="8" t="s">
        <v>1937</v>
      </c>
      <c r="E1196" s="2">
        <f>IFERROR(VLOOKUP(B1196,'[1]new sheet'!$A$1:$IV$65536,5,FALSE),0)</f>
        <v>16</v>
      </c>
      <c r="F1196" s="3">
        <f>IFERROR(VLOOKUP(B1196,'[1]new sheet'!$A$1:$IV$65536,4,FALSE),0)</f>
        <v>43</v>
      </c>
      <c r="G1196" s="4">
        <f>IFERROR(VLOOKUP(B1196,'[2]new sheet'!$A$1:$IV$65536,2,0),0)</f>
        <v>6993</v>
      </c>
      <c r="H1196" s="5">
        <f>IFERROR(VLOOKUP(B1196,'[3]new sheet'!$A$1:$IV$65536,2,0),0)</f>
        <v>419</v>
      </c>
    </row>
    <row r="1197" spans="1:8" ht="24" customHeight="1">
      <c r="A1197" s="7">
        <v>1451</v>
      </c>
      <c r="B1197" s="7">
        <v>3073</v>
      </c>
      <c r="C1197" s="8" t="s">
        <v>981</v>
      </c>
      <c r="D1197" s="8" t="s">
        <v>1937</v>
      </c>
      <c r="E1197" s="2">
        <f>IFERROR(VLOOKUP(B1197,'[1]new sheet'!$A$1:$IV$65536,5,FALSE),0)</f>
        <v>0</v>
      </c>
      <c r="F1197" s="3">
        <f>IFERROR(VLOOKUP(B1197,'[1]new sheet'!$A$1:$IV$65536,4,FALSE),0)</f>
        <v>0</v>
      </c>
      <c r="G1197" s="4">
        <f>IFERROR(VLOOKUP(B1197,'[2]new sheet'!$A$1:$IV$65536,2,0),0)</f>
        <v>1564</v>
      </c>
      <c r="H1197" s="5">
        <f>IFERROR(VLOOKUP(B1197,'[3]new sheet'!$A$1:$IV$65536,2,0),0)</f>
        <v>0</v>
      </c>
    </row>
    <row r="1198" spans="1:8" ht="24" customHeight="1">
      <c r="A1198" s="7">
        <v>1031</v>
      </c>
      <c r="B1198" s="7">
        <v>4329</v>
      </c>
      <c r="C1198" s="8" t="s">
        <v>1943</v>
      </c>
      <c r="D1198" s="8" t="s">
        <v>1937</v>
      </c>
      <c r="E1198" s="2">
        <f>IFERROR(VLOOKUP(B1198,'[1]new sheet'!$A$1:$IV$65536,5,FALSE),0)</f>
        <v>9487</v>
      </c>
      <c r="F1198" s="3">
        <f>IFERROR(VLOOKUP(B1198,'[1]new sheet'!$A$1:$IV$65536,4,FALSE),0)</f>
        <v>323</v>
      </c>
      <c r="G1198" s="4">
        <f>IFERROR(VLOOKUP(B1198,'[2]new sheet'!$A$1:$IV$65536,2,0),0)</f>
        <v>0</v>
      </c>
      <c r="H1198" s="5">
        <f>IFERROR(VLOOKUP(B1198,'[3]new sheet'!$A$1:$IV$65536,2,0),0)</f>
        <v>0</v>
      </c>
    </row>
    <row r="1199" spans="1:8" ht="24" customHeight="1">
      <c r="A1199" s="7">
        <v>103</v>
      </c>
      <c r="B1199" s="7">
        <v>157</v>
      </c>
      <c r="C1199" s="8" t="s">
        <v>982</v>
      </c>
      <c r="D1199" s="8" t="s">
        <v>1937</v>
      </c>
      <c r="E1199" s="2">
        <f>IFERROR(VLOOKUP(B1199,'[1]new sheet'!$A$1:$IV$65536,5,FALSE),0)</f>
        <v>0</v>
      </c>
      <c r="F1199" s="3">
        <f>IFERROR(VLOOKUP(B1199,'[1]new sheet'!$A$1:$IV$65536,4,FALSE),0)</f>
        <v>0</v>
      </c>
      <c r="G1199" s="4">
        <f>IFERROR(VLOOKUP(B1199,'[2]new sheet'!$A$1:$IV$65536,2,0),0)</f>
        <v>0</v>
      </c>
      <c r="H1199" s="5">
        <f>IFERROR(VLOOKUP(B1199,'[3]new sheet'!$A$1:$IV$65536,2,0),0)</f>
        <v>0</v>
      </c>
    </row>
    <row r="1200" spans="1:8" ht="24" customHeight="1">
      <c r="A1200" s="7"/>
      <c r="B1200" s="7">
        <v>158</v>
      </c>
      <c r="C1200" s="8" t="s">
        <v>983</v>
      </c>
      <c r="D1200" s="8" t="s">
        <v>1934</v>
      </c>
      <c r="E1200" s="2">
        <f>IFERROR(VLOOKUP(B1200,'[1]new sheet'!$A$1:$IV$65536,5,FALSE),0)</f>
        <v>0</v>
      </c>
      <c r="F1200" s="3">
        <f>IFERROR(VLOOKUP(B1200,'[1]new sheet'!$A$1:$IV$65536,4,FALSE),0)</f>
        <v>0</v>
      </c>
      <c r="G1200" s="4">
        <f>IFERROR(VLOOKUP(B1200,'[2]new sheet'!$A$1:$IV$65536,2,0),0)</f>
        <v>0</v>
      </c>
      <c r="H1200" s="5">
        <f>IFERROR(VLOOKUP(B1200,'[3]new sheet'!$A$1:$IV$65536,2,0),0)</f>
        <v>0</v>
      </c>
    </row>
    <row r="1201" spans="1:8" ht="24" customHeight="1">
      <c r="A1201" s="7">
        <v>4050</v>
      </c>
      <c r="B1201" s="7">
        <v>2920</v>
      </c>
      <c r="C1201" s="8" t="s">
        <v>984</v>
      </c>
      <c r="D1201" s="8" t="s">
        <v>1934</v>
      </c>
      <c r="E1201" s="2">
        <f>IFERROR(VLOOKUP(B1201,'[1]new sheet'!$A$1:$IV$65536,5,FALSE),0)</f>
        <v>133</v>
      </c>
      <c r="F1201" s="3">
        <f>IFERROR(VLOOKUP(B1201,'[1]new sheet'!$A$1:$IV$65536,4,FALSE),0)</f>
        <v>0</v>
      </c>
      <c r="G1201" s="4">
        <f>IFERROR(VLOOKUP(B1201,'[2]new sheet'!$A$1:$IV$65536,2,0),0)</f>
        <v>216</v>
      </c>
      <c r="H1201" s="5">
        <f>IFERROR(VLOOKUP(B1201,'[3]new sheet'!$A$1:$IV$65536,2,0),0)</f>
        <v>49</v>
      </c>
    </row>
    <row r="1202" spans="1:8" ht="24" customHeight="1">
      <c r="A1202" s="7">
        <v>4794</v>
      </c>
      <c r="B1202" s="7">
        <v>835</v>
      </c>
      <c r="C1202" s="8" t="s">
        <v>985</v>
      </c>
      <c r="D1202" s="8" t="s">
        <v>1934</v>
      </c>
      <c r="E1202" s="2">
        <f>IFERROR(VLOOKUP(B1202,'[1]new sheet'!$A$1:$IV$65536,5,FALSE),0)</f>
        <v>790</v>
      </c>
      <c r="F1202" s="3">
        <f>IFERROR(VLOOKUP(B1202,'[1]new sheet'!$A$1:$IV$65536,4,FALSE),0)</f>
        <v>56</v>
      </c>
      <c r="G1202" s="4">
        <f>IFERROR(VLOOKUP(B1202,'[2]new sheet'!$A$1:$IV$65536,2,0),0)</f>
        <v>823</v>
      </c>
      <c r="H1202" s="5">
        <f>IFERROR(VLOOKUP(B1202,'[3]new sheet'!$A$1:$IV$65536,2,0),0)</f>
        <v>477</v>
      </c>
    </row>
    <row r="1203" spans="1:8" ht="24" customHeight="1">
      <c r="A1203" s="7">
        <v>954</v>
      </c>
      <c r="B1203" s="7">
        <v>156</v>
      </c>
      <c r="C1203" s="8" t="s">
        <v>986</v>
      </c>
      <c r="D1203" s="8" t="s">
        <v>1934</v>
      </c>
      <c r="E1203" s="2">
        <f>IFERROR(VLOOKUP(B1203,'[1]new sheet'!$A$1:$IV$65536,5,FALSE),0)</f>
        <v>0</v>
      </c>
      <c r="F1203" s="3">
        <f>IFERROR(VLOOKUP(B1203,'[1]new sheet'!$A$1:$IV$65536,4,FALSE),0)</f>
        <v>0</v>
      </c>
      <c r="G1203" s="4">
        <f>IFERROR(VLOOKUP(B1203,'[2]new sheet'!$A$1:$IV$65536,2,0),0)</f>
        <v>0</v>
      </c>
      <c r="H1203" s="5">
        <f>IFERROR(VLOOKUP(B1203,'[3]new sheet'!$A$1:$IV$65536,2,0),0)</f>
        <v>0</v>
      </c>
    </row>
    <row r="1204" spans="1:8" ht="24" customHeight="1">
      <c r="A1204" s="7">
        <v>4142</v>
      </c>
      <c r="B1204" s="7">
        <v>2921</v>
      </c>
      <c r="C1204" s="8" t="s">
        <v>987</v>
      </c>
      <c r="D1204" s="8" t="s">
        <v>1937</v>
      </c>
      <c r="E1204" s="2">
        <f>IFERROR(VLOOKUP(B1204,'[1]new sheet'!$A$1:$IV$65536,5,FALSE),0)</f>
        <v>0</v>
      </c>
      <c r="F1204" s="3">
        <f>IFERROR(VLOOKUP(B1204,'[1]new sheet'!$A$1:$IV$65536,4,FALSE),0)</f>
        <v>0</v>
      </c>
      <c r="G1204" s="4">
        <f>IFERROR(VLOOKUP(B1204,'[2]new sheet'!$A$1:$IV$65536,2,0),0)</f>
        <v>0</v>
      </c>
      <c r="H1204" s="5">
        <f>IFERROR(VLOOKUP(B1204,'[3]new sheet'!$A$1:$IV$65536,2,0),0)</f>
        <v>0</v>
      </c>
    </row>
    <row r="1205" spans="1:8" ht="24" customHeight="1">
      <c r="A1205" s="7"/>
      <c r="B1205" s="7">
        <v>664</v>
      </c>
      <c r="C1205" s="8" t="s">
        <v>988</v>
      </c>
      <c r="D1205" s="8" t="s">
        <v>1937</v>
      </c>
      <c r="E1205" s="2">
        <f>IFERROR(VLOOKUP(B1205,'[1]new sheet'!$A$1:$IV$65536,5,FALSE),0)</f>
        <v>0</v>
      </c>
      <c r="F1205" s="3">
        <f>IFERROR(VLOOKUP(B1205,'[1]new sheet'!$A$1:$IV$65536,4,FALSE),0)</f>
        <v>0</v>
      </c>
      <c r="G1205" s="4">
        <f>IFERROR(VLOOKUP(B1205,'[2]new sheet'!$A$1:$IV$65536,2,0),0)</f>
        <v>0</v>
      </c>
      <c r="H1205" s="5">
        <f>IFERROR(VLOOKUP(B1205,'[3]new sheet'!$A$1:$IV$65536,2,0),0)</f>
        <v>0</v>
      </c>
    </row>
    <row r="1206" spans="1:8" ht="24" customHeight="1">
      <c r="A1206" s="7">
        <v>4157</v>
      </c>
      <c r="B1206" s="7">
        <v>3198</v>
      </c>
      <c r="C1206" s="8" t="s">
        <v>989</v>
      </c>
      <c r="D1206" s="8" t="s">
        <v>1937</v>
      </c>
      <c r="E1206" s="2">
        <f>IFERROR(VLOOKUP(B1206,'[1]new sheet'!$A$1:$IV$65536,5,FALSE),0)</f>
        <v>0</v>
      </c>
      <c r="F1206" s="3">
        <f>IFERROR(VLOOKUP(B1206,'[1]new sheet'!$A$1:$IV$65536,4,FALSE),0)</f>
        <v>0</v>
      </c>
      <c r="G1206" s="4">
        <f>IFERROR(VLOOKUP(B1206,'[2]new sheet'!$A$1:$IV$65536,2,0),0)</f>
        <v>0</v>
      </c>
      <c r="H1206" s="5">
        <f>IFERROR(VLOOKUP(B1206,'[3]new sheet'!$A$1:$IV$65536,2,0),0)</f>
        <v>0</v>
      </c>
    </row>
    <row r="1207" spans="1:8" ht="24" customHeight="1">
      <c r="A1207" s="7">
        <v>2156</v>
      </c>
      <c r="B1207" s="7">
        <v>2456</v>
      </c>
      <c r="C1207" s="8" t="s">
        <v>990</v>
      </c>
      <c r="D1207" s="8" t="s">
        <v>1934</v>
      </c>
      <c r="E1207" s="2">
        <f>IFERROR(VLOOKUP(B1207,'[1]new sheet'!$A$1:$IV$65536,5,FALSE),0)</f>
        <v>0</v>
      </c>
      <c r="F1207" s="3">
        <f>IFERROR(VLOOKUP(B1207,'[1]new sheet'!$A$1:$IV$65536,4,FALSE),0)</f>
        <v>0</v>
      </c>
      <c r="G1207" s="4">
        <f>IFERROR(VLOOKUP(B1207,'[2]new sheet'!$A$1:$IV$65536,2,0),0)</f>
        <v>0</v>
      </c>
      <c r="H1207" s="5">
        <f>IFERROR(VLOOKUP(B1207,'[3]new sheet'!$A$1:$IV$65536,2,0),0)</f>
        <v>0</v>
      </c>
    </row>
    <row r="1208" spans="1:8" ht="24" customHeight="1">
      <c r="A1208" s="7"/>
      <c r="B1208" s="7">
        <v>1630</v>
      </c>
      <c r="C1208" s="8" t="s">
        <v>991</v>
      </c>
      <c r="D1208" s="8" t="s">
        <v>1934</v>
      </c>
      <c r="E1208" s="2">
        <f>IFERROR(VLOOKUP(B1208,'[1]new sheet'!$A$1:$IV$65536,5,FALSE),0)</f>
        <v>0</v>
      </c>
      <c r="F1208" s="3">
        <f>IFERROR(VLOOKUP(B1208,'[1]new sheet'!$A$1:$IV$65536,4,FALSE),0)</f>
        <v>0</v>
      </c>
      <c r="G1208" s="4">
        <f>IFERROR(VLOOKUP(B1208,'[2]new sheet'!$A$1:$IV$65536,2,0),0)</f>
        <v>0</v>
      </c>
      <c r="H1208" s="5">
        <f>IFERROR(VLOOKUP(B1208,'[3]new sheet'!$A$1:$IV$65536,2,0),0)</f>
        <v>0</v>
      </c>
    </row>
    <row r="1209" spans="1:8" ht="24" customHeight="1">
      <c r="A1209" s="7">
        <v>988318</v>
      </c>
      <c r="B1209" s="7">
        <v>4166</v>
      </c>
      <c r="C1209" s="8" t="s">
        <v>1778</v>
      </c>
      <c r="D1209" s="8" t="s">
        <v>1934</v>
      </c>
      <c r="E1209" s="2">
        <f>IFERROR(VLOOKUP(B1209,'[1]new sheet'!$A$1:$IV$65536,5,FALSE),0)</f>
        <v>11</v>
      </c>
      <c r="F1209" s="3">
        <f>IFERROR(VLOOKUP(B1209,'[1]new sheet'!$A$1:$IV$65536,4,FALSE),0)</f>
        <v>0</v>
      </c>
      <c r="G1209" s="4">
        <f>IFERROR(VLOOKUP(B1209,'[2]new sheet'!$A$1:$IV$65536,2,0),0)</f>
        <v>4</v>
      </c>
      <c r="H1209" s="5">
        <f>IFERROR(VLOOKUP(B1209,'[3]new sheet'!$A$1:$IV$65536,2,0),0)</f>
        <v>1</v>
      </c>
    </row>
    <row r="1210" spans="1:8" ht="24" customHeight="1">
      <c r="A1210" s="7">
        <v>991094</v>
      </c>
      <c r="B1210" s="7">
        <v>4075</v>
      </c>
      <c r="C1210" s="8" t="s">
        <v>1708</v>
      </c>
      <c r="D1210" s="8" t="s">
        <v>1934</v>
      </c>
      <c r="E1210" s="2">
        <f>IFERROR(VLOOKUP(B1210,'[1]new sheet'!$A$1:$IV$65536,5,FALSE),0)</f>
        <v>8</v>
      </c>
      <c r="F1210" s="3">
        <f>IFERROR(VLOOKUP(B1210,'[1]new sheet'!$A$1:$IV$65536,4,FALSE),0)</f>
        <v>1</v>
      </c>
      <c r="G1210" s="4">
        <f>IFERROR(VLOOKUP(B1210,'[2]new sheet'!$A$1:$IV$65536,2,0),0)</f>
        <v>6</v>
      </c>
      <c r="H1210" s="5">
        <f>IFERROR(VLOOKUP(B1210,'[3]new sheet'!$A$1:$IV$65536,2,0),0)</f>
        <v>1</v>
      </c>
    </row>
    <row r="1211" spans="1:8" ht="24" customHeight="1">
      <c r="A1211" s="7">
        <v>15050001</v>
      </c>
      <c r="B1211" s="7">
        <v>881</v>
      </c>
      <c r="C1211" s="8" t="s">
        <v>992</v>
      </c>
      <c r="D1211" s="8" t="s">
        <v>1934</v>
      </c>
      <c r="E1211" s="2">
        <f>IFERROR(VLOOKUP(B1211,'[1]new sheet'!$A$1:$IV$65536,5,FALSE),0)</f>
        <v>0</v>
      </c>
      <c r="F1211" s="3">
        <f>IFERROR(VLOOKUP(B1211,'[1]new sheet'!$A$1:$IV$65536,4,FALSE),0)</f>
        <v>0</v>
      </c>
      <c r="G1211" s="4">
        <f>IFERROR(VLOOKUP(B1211,'[2]new sheet'!$A$1:$IV$65536,2,0),0)</f>
        <v>38</v>
      </c>
      <c r="H1211" s="5">
        <f>IFERROR(VLOOKUP(B1211,'[3]new sheet'!$A$1:$IV$65536,2,0),0)</f>
        <v>0</v>
      </c>
    </row>
    <row r="1212" spans="1:8" ht="24" customHeight="1">
      <c r="A1212" s="7"/>
      <c r="B1212" s="7">
        <v>665</v>
      </c>
      <c r="C1212" s="8" t="s">
        <v>993</v>
      </c>
      <c r="D1212" s="8" t="s">
        <v>1934</v>
      </c>
      <c r="E1212" s="2">
        <f>IFERROR(VLOOKUP(B1212,'[1]new sheet'!$A$1:$IV$65536,5,FALSE),0)</f>
        <v>0</v>
      </c>
      <c r="F1212" s="3">
        <f>IFERROR(VLOOKUP(B1212,'[1]new sheet'!$A$1:$IV$65536,4,FALSE),0)</f>
        <v>0</v>
      </c>
      <c r="G1212" s="4">
        <f>IFERROR(VLOOKUP(B1212,'[2]new sheet'!$A$1:$IV$65536,2,0),0)</f>
        <v>0</v>
      </c>
      <c r="H1212" s="5">
        <f>IFERROR(VLOOKUP(B1212,'[3]new sheet'!$A$1:$IV$65536,2,0),0)</f>
        <v>0</v>
      </c>
    </row>
    <row r="1213" spans="1:8" ht="24" customHeight="1">
      <c r="A1213" s="7"/>
      <c r="B1213" s="7">
        <v>666</v>
      </c>
      <c r="C1213" s="8" t="s">
        <v>994</v>
      </c>
      <c r="D1213" s="8" t="s">
        <v>1934</v>
      </c>
      <c r="E1213" s="2">
        <f>IFERROR(VLOOKUP(B1213,'[1]new sheet'!$A$1:$IV$65536,5,FALSE),0)</f>
        <v>84</v>
      </c>
      <c r="F1213" s="3">
        <f>IFERROR(VLOOKUP(B1213,'[1]new sheet'!$A$1:$IV$65536,4,FALSE),0)</f>
        <v>7</v>
      </c>
      <c r="G1213" s="4">
        <f>IFERROR(VLOOKUP(B1213,'[2]new sheet'!$A$1:$IV$65536,2,0),0)</f>
        <v>42</v>
      </c>
      <c r="H1213" s="5">
        <f>IFERROR(VLOOKUP(B1213,'[3]new sheet'!$A$1:$IV$65536,2,0),0)</f>
        <v>71</v>
      </c>
    </row>
    <row r="1214" spans="1:8" ht="24" customHeight="1">
      <c r="A1214" s="7"/>
      <c r="B1214" s="7">
        <v>109</v>
      </c>
      <c r="C1214" s="8" t="s">
        <v>995</v>
      </c>
      <c r="D1214" s="8" t="s">
        <v>1935</v>
      </c>
      <c r="E1214" s="2">
        <f>IFERROR(VLOOKUP(B1214,'[1]new sheet'!$A$1:$IV$65536,5,FALSE),0)</f>
        <v>0</v>
      </c>
      <c r="F1214" s="3">
        <f>IFERROR(VLOOKUP(B1214,'[1]new sheet'!$A$1:$IV$65536,4,FALSE),0)</f>
        <v>0</v>
      </c>
      <c r="G1214" s="4">
        <f>IFERROR(VLOOKUP(B1214,'[2]new sheet'!$A$1:$IV$65536,2,0),0)</f>
        <v>0</v>
      </c>
      <c r="H1214" s="5">
        <f>IFERROR(VLOOKUP(B1214,'[3]new sheet'!$A$1:$IV$65536,2,0),0)</f>
        <v>0</v>
      </c>
    </row>
    <row r="1215" spans="1:8" ht="24" customHeight="1">
      <c r="A1215" s="7">
        <v>13310</v>
      </c>
      <c r="B1215" s="7">
        <v>905</v>
      </c>
      <c r="C1215" s="8" t="s">
        <v>996</v>
      </c>
      <c r="D1215" s="8" t="s">
        <v>1934</v>
      </c>
      <c r="E1215" s="2">
        <f>IFERROR(VLOOKUP(B1215,'[1]new sheet'!$A$1:$IV$65536,5,FALSE),0)</f>
        <v>0</v>
      </c>
      <c r="F1215" s="3">
        <f>IFERROR(VLOOKUP(B1215,'[1]new sheet'!$A$1:$IV$65536,4,FALSE),0)</f>
        <v>0</v>
      </c>
      <c r="G1215" s="4">
        <f>IFERROR(VLOOKUP(B1215,'[2]new sheet'!$A$1:$IV$65536,2,0),0)</f>
        <v>0</v>
      </c>
      <c r="H1215" s="5">
        <f>IFERROR(VLOOKUP(B1215,'[3]new sheet'!$A$1:$IV$65536,2,0),0)</f>
        <v>0</v>
      </c>
    </row>
    <row r="1216" spans="1:8" ht="24" customHeight="1">
      <c r="A1216" s="7">
        <v>1000015</v>
      </c>
      <c r="B1216" s="7">
        <v>35</v>
      </c>
      <c r="C1216" s="8" t="s">
        <v>997</v>
      </c>
      <c r="D1216" s="8" t="s">
        <v>1934</v>
      </c>
      <c r="E1216" s="2">
        <f>IFERROR(VLOOKUP(B1216,'[1]new sheet'!$A$1:$IV$65536,5,FALSE),0)</f>
        <v>80</v>
      </c>
      <c r="F1216" s="3">
        <f>IFERROR(VLOOKUP(B1216,'[1]new sheet'!$A$1:$IV$65536,4,FALSE),0)</f>
        <v>3</v>
      </c>
      <c r="G1216" s="4">
        <f>IFERROR(VLOOKUP(B1216,'[2]new sheet'!$A$1:$IV$65536,2,0),0)</f>
        <v>198</v>
      </c>
      <c r="H1216" s="5">
        <f>IFERROR(VLOOKUP(B1216,'[3]new sheet'!$A$1:$IV$65536,2,0),0)</f>
        <v>69</v>
      </c>
    </row>
    <row r="1217" spans="1:8" ht="24" customHeight="1">
      <c r="A1217" s="7"/>
      <c r="B1217" s="7">
        <v>37</v>
      </c>
      <c r="C1217" s="8" t="s">
        <v>998</v>
      </c>
      <c r="D1217" s="8" t="s">
        <v>1934</v>
      </c>
      <c r="E1217" s="2">
        <f>IFERROR(VLOOKUP(B1217,'[1]new sheet'!$A$1:$IV$65536,5,FALSE),0)</f>
        <v>0</v>
      </c>
      <c r="F1217" s="3">
        <f>IFERROR(VLOOKUP(B1217,'[1]new sheet'!$A$1:$IV$65536,4,FALSE),0)</f>
        <v>0</v>
      </c>
      <c r="G1217" s="4">
        <f>IFERROR(VLOOKUP(B1217,'[2]new sheet'!$A$1:$IV$65536,2,0),0)</f>
        <v>0</v>
      </c>
      <c r="H1217" s="5">
        <f>IFERROR(VLOOKUP(B1217,'[3]new sheet'!$A$1:$IV$65536,2,0),0)</f>
        <v>0</v>
      </c>
    </row>
    <row r="1218" spans="1:8" ht="24" customHeight="1">
      <c r="A1218" s="7">
        <v>793086</v>
      </c>
      <c r="B1218" s="7">
        <v>3253</v>
      </c>
      <c r="C1218" s="8" t="s">
        <v>999</v>
      </c>
      <c r="D1218" s="8" t="s">
        <v>1934</v>
      </c>
      <c r="E1218" s="2">
        <f>IFERROR(VLOOKUP(B1218,'[1]new sheet'!$A$1:$IV$65536,5,FALSE),0)</f>
        <v>0</v>
      </c>
      <c r="F1218" s="3">
        <f>IFERROR(VLOOKUP(B1218,'[1]new sheet'!$A$1:$IV$65536,4,FALSE),0)</f>
        <v>0</v>
      </c>
      <c r="G1218" s="4">
        <f>IFERROR(VLOOKUP(B1218,'[2]new sheet'!$A$1:$IV$65536,2,0),0)</f>
        <v>0</v>
      </c>
      <c r="H1218" s="5">
        <f>IFERROR(VLOOKUP(B1218,'[3]new sheet'!$A$1:$IV$65536,2,0),0)</f>
        <v>0</v>
      </c>
    </row>
    <row r="1219" spans="1:8" ht="24" customHeight="1">
      <c r="A1219" s="7"/>
      <c r="B1219" s="7">
        <v>36</v>
      </c>
      <c r="C1219" s="8" t="s">
        <v>1000</v>
      </c>
      <c r="D1219" s="8" t="s">
        <v>1934</v>
      </c>
      <c r="E1219" s="2">
        <f>IFERROR(VLOOKUP(B1219,'[1]new sheet'!$A$1:$IV$65536,5,FALSE),0)</f>
        <v>0</v>
      </c>
      <c r="F1219" s="3">
        <f>IFERROR(VLOOKUP(B1219,'[1]new sheet'!$A$1:$IV$65536,4,FALSE),0)</f>
        <v>0</v>
      </c>
      <c r="G1219" s="4">
        <f>IFERROR(VLOOKUP(B1219,'[2]new sheet'!$A$1:$IV$65536,2,0),0)</f>
        <v>0</v>
      </c>
      <c r="H1219" s="5">
        <f>IFERROR(VLOOKUP(B1219,'[3]new sheet'!$A$1:$IV$65536,2,0),0)</f>
        <v>0</v>
      </c>
    </row>
    <row r="1220" spans="1:8" ht="24" customHeight="1">
      <c r="A1220" s="7"/>
      <c r="B1220" s="7">
        <v>667</v>
      </c>
      <c r="C1220" s="8" t="s">
        <v>1568</v>
      </c>
      <c r="D1220" s="8" t="s">
        <v>1934</v>
      </c>
      <c r="E1220" s="2">
        <f>IFERROR(VLOOKUP(B1220,'[1]new sheet'!$A$1:$IV$65536,5,FALSE),0)</f>
        <v>0</v>
      </c>
      <c r="F1220" s="3">
        <f>IFERROR(VLOOKUP(B1220,'[1]new sheet'!$A$1:$IV$65536,4,FALSE),0)</f>
        <v>0</v>
      </c>
      <c r="G1220" s="4">
        <f>IFERROR(VLOOKUP(B1220,'[2]new sheet'!$A$1:$IV$65536,2,0),0)</f>
        <v>0</v>
      </c>
      <c r="H1220" s="5">
        <f>IFERROR(VLOOKUP(B1220,'[3]new sheet'!$A$1:$IV$65536,2,0),0)</f>
        <v>0</v>
      </c>
    </row>
    <row r="1221" spans="1:8" ht="24" customHeight="1">
      <c r="A1221" s="7">
        <v>1000009</v>
      </c>
      <c r="B1221" s="7">
        <v>34</v>
      </c>
      <c r="C1221" s="8" t="s">
        <v>1001</v>
      </c>
      <c r="D1221" s="8" t="s">
        <v>1934</v>
      </c>
      <c r="E1221" s="2">
        <f>IFERROR(VLOOKUP(B1221,'[1]new sheet'!$A$1:$IV$65536,5,FALSE),0)</f>
        <v>172</v>
      </c>
      <c r="F1221" s="3">
        <f>IFERROR(VLOOKUP(B1221,'[1]new sheet'!$A$1:$IV$65536,4,FALSE),0)</f>
        <v>0</v>
      </c>
      <c r="G1221" s="4">
        <f>IFERROR(VLOOKUP(B1221,'[2]new sheet'!$A$1:$IV$65536,2,0),0)</f>
        <v>113</v>
      </c>
      <c r="H1221" s="5">
        <f>IFERROR(VLOOKUP(B1221,'[3]new sheet'!$A$1:$IV$65536,2,0),0)</f>
        <v>38</v>
      </c>
    </row>
    <row r="1222" spans="1:8" ht="24" customHeight="1">
      <c r="A1222" s="7">
        <v>18228</v>
      </c>
      <c r="B1222" s="7">
        <v>2364</v>
      </c>
      <c r="C1222" s="8" t="s">
        <v>1002</v>
      </c>
      <c r="D1222" s="8" t="s">
        <v>1934</v>
      </c>
      <c r="E1222" s="2">
        <f>IFERROR(VLOOKUP(B1222,'[1]new sheet'!$A$1:$IV$65536,5,FALSE),0)</f>
        <v>0</v>
      </c>
      <c r="F1222" s="3">
        <f>IFERROR(VLOOKUP(B1222,'[1]new sheet'!$A$1:$IV$65536,4,FALSE),0)</f>
        <v>0</v>
      </c>
      <c r="G1222" s="4">
        <f>IFERROR(VLOOKUP(B1222,'[2]new sheet'!$A$1:$IV$65536,2,0),0)</f>
        <v>0</v>
      </c>
      <c r="H1222" s="5">
        <f>IFERROR(VLOOKUP(B1222,'[3]new sheet'!$A$1:$IV$65536,2,0),0)</f>
        <v>0</v>
      </c>
    </row>
    <row r="1223" spans="1:8" ht="24" customHeight="1">
      <c r="A1223" s="7">
        <v>3435</v>
      </c>
      <c r="B1223" s="7">
        <v>1158</v>
      </c>
      <c r="C1223" s="8" t="s">
        <v>1003</v>
      </c>
      <c r="D1223" s="8" t="s">
        <v>1934</v>
      </c>
      <c r="E1223" s="2">
        <f>IFERROR(VLOOKUP(B1223,'[1]new sheet'!$A$1:$IV$65536,5,FALSE),0)</f>
        <v>50</v>
      </c>
      <c r="F1223" s="3">
        <f>IFERROR(VLOOKUP(B1223,'[1]new sheet'!$A$1:$IV$65536,4,FALSE),0)</f>
        <v>0</v>
      </c>
      <c r="G1223" s="4">
        <f>IFERROR(VLOOKUP(B1223,'[2]new sheet'!$A$1:$IV$65536,2,0),0)</f>
        <v>3</v>
      </c>
      <c r="H1223" s="5">
        <f>IFERROR(VLOOKUP(B1223,'[3]new sheet'!$A$1:$IV$65536,2,0),0)</f>
        <v>2</v>
      </c>
    </row>
    <row r="1224" spans="1:8" ht="24" customHeight="1">
      <c r="A1224" s="7" t="s">
        <v>1676</v>
      </c>
      <c r="B1224" s="7">
        <v>4048</v>
      </c>
      <c r="C1224" s="8" t="s">
        <v>1677</v>
      </c>
      <c r="D1224" s="8" t="s">
        <v>1934</v>
      </c>
      <c r="E1224" s="2">
        <f>IFERROR(VLOOKUP(B1224,'[1]new sheet'!$A$1:$IV$65536,5,FALSE),0)</f>
        <v>39</v>
      </c>
      <c r="F1224" s="3">
        <f>IFERROR(VLOOKUP(B1224,'[1]new sheet'!$A$1:$IV$65536,4,FALSE),0)</f>
        <v>0</v>
      </c>
      <c r="G1224" s="4">
        <f>IFERROR(VLOOKUP(B1224,'[2]new sheet'!$A$1:$IV$65536,2,0),0)</f>
        <v>0</v>
      </c>
      <c r="H1224" s="5">
        <f>IFERROR(VLOOKUP(B1224,'[3]new sheet'!$A$1:$IV$65536,2,0),0)</f>
        <v>2</v>
      </c>
    </row>
    <row r="1225" spans="1:8" ht="24" customHeight="1">
      <c r="A1225" s="7"/>
      <c r="B1225" s="7">
        <v>668</v>
      </c>
      <c r="C1225" s="8" t="s">
        <v>1005</v>
      </c>
      <c r="D1225" s="8" t="s">
        <v>1934</v>
      </c>
      <c r="E1225" s="2">
        <f>IFERROR(VLOOKUP(B1225,'[1]new sheet'!$A$1:$IV$65536,5,FALSE),0)</f>
        <v>73</v>
      </c>
      <c r="F1225" s="3">
        <f>IFERROR(VLOOKUP(B1225,'[1]new sheet'!$A$1:$IV$65536,4,FALSE),0)</f>
        <v>0</v>
      </c>
      <c r="G1225" s="4">
        <f>IFERROR(VLOOKUP(B1225,'[2]new sheet'!$A$1:$IV$65536,2,0),0)</f>
        <v>20</v>
      </c>
      <c r="H1225" s="5">
        <f>IFERROR(VLOOKUP(B1225,'[3]new sheet'!$A$1:$IV$65536,2,0),0)</f>
        <v>8</v>
      </c>
    </row>
    <row r="1226" spans="1:8" ht="24" customHeight="1">
      <c r="A1226" s="7">
        <v>2405</v>
      </c>
      <c r="B1226" s="7">
        <v>159</v>
      </c>
      <c r="C1226" s="8" t="s">
        <v>1004</v>
      </c>
      <c r="D1226" s="8" t="s">
        <v>1934</v>
      </c>
      <c r="E1226" s="2">
        <f>IFERROR(VLOOKUP(B1226,'[1]new sheet'!$A$1:$IV$65536,5,FALSE),0)</f>
        <v>0</v>
      </c>
      <c r="F1226" s="3">
        <f>IFERROR(VLOOKUP(B1226,'[1]new sheet'!$A$1:$IV$65536,4,FALSE),0)</f>
        <v>0</v>
      </c>
      <c r="G1226" s="4">
        <f>IFERROR(VLOOKUP(B1226,'[2]new sheet'!$A$1:$IV$65536,2,0),0)</f>
        <v>11</v>
      </c>
      <c r="H1226" s="5">
        <f>IFERROR(VLOOKUP(B1226,'[3]new sheet'!$A$1:$IV$65536,2,0),0)</f>
        <v>0</v>
      </c>
    </row>
    <row r="1227" spans="1:8" ht="24" customHeight="1">
      <c r="A1227" s="7">
        <v>2425</v>
      </c>
      <c r="B1227" s="7">
        <v>183</v>
      </c>
      <c r="C1227" s="8" t="s">
        <v>1006</v>
      </c>
      <c r="D1227" s="8" t="s">
        <v>1937</v>
      </c>
      <c r="E1227" s="2">
        <f>IFERROR(VLOOKUP(B1227,'[1]new sheet'!$A$1:$IV$65536,5,FALSE),0)</f>
        <v>145</v>
      </c>
      <c r="F1227" s="3">
        <f>IFERROR(VLOOKUP(B1227,'[1]new sheet'!$A$1:$IV$65536,4,FALSE),0)</f>
        <v>1</v>
      </c>
      <c r="G1227" s="4">
        <f>IFERROR(VLOOKUP(B1227,'[2]new sheet'!$A$1:$IV$65536,2,0),0)</f>
        <v>193</v>
      </c>
      <c r="H1227" s="5">
        <f>IFERROR(VLOOKUP(B1227,'[3]new sheet'!$A$1:$IV$65536,2,0),0)</f>
        <v>80</v>
      </c>
    </row>
    <row r="1228" spans="1:8" ht="24" customHeight="1">
      <c r="A1228" s="7"/>
      <c r="B1228" s="7">
        <v>1154</v>
      </c>
      <c r="C1228" s="8" t="s">
        <v>1007</v>
      </c>
      <c r="D1228" s="8" t="s">
        <v>1934</v>
      </c>
      <c r="E1228" s="2">
        <f>IFERROR(VLOOKUP(B1228,'[1]new sheet'!$A$1:$IV$65536,5,FALSE),0)</f>
        <v>3</v>
      </c>
      <c r="F1228" s="3">
        <f>IFERROR(VLOOKUP(B1228,'[1]new sheet'!$A$1:$IV$65536,4,FALSE),0)</f>
        <v>1</v>
      </c>
      <c r="G1228" s="4">
        <f>IFERROR(VLOOKUP(B1228,'[2]new sheet'!$A$1:$IV$65536,2,0),0)</f>
        <v>31</v>
      </c>
      <c r="H1228" s="5">
        <f>IFERROR(VLOOKUP(B1228,'[3]new sheet'!$A$1:$IV$65536,2,0),0)</f>
        <v>15</v>
      </c>
    </row>
    <row r="1229" spans="1:8" ht="24" customHeight="1">
      <c r="A1229" s="7">
        <v>3432</v>
      </c>
      <c r="B1229" s="7">
        <v>1156</v>
      </c>
      <c r="C1229" s="8" t="s">
        <v>1008</v>
      </c>
      <c r="D1229" s="8" t="s">
        <v>1934</v>
      </c>
      <c r="E1229" s="2">
        <f>IFERROR(VLOOKUP(B1229,'[1]new sheet'!$A$1:$IV$65536,5,FALSE),0)</f>
        <v>32</v>
      </c>
      <c r="F1229" s="3">
        <f>IFERROR(VLOOKUP(B1229,'[1]new sheet'!$A$1:$IV$65536,4,FALSE),0)</f>
        <v>0</v>
      </c>
      <c r="G1229" s="4">
        <f>IFERROR(VLOOKUP(B1229,'[2]new sheet'!$A$1:$IV$65536,2,0),0)</f>
        <v>3</v>
      </c>
      <c r="H1229" s="5">
        <f>IFERROR(VLOOKUP(B1229,'[3]new sheet'!$A$1:$IV$65536,2,0),0)</f>
        <v>1</v>
      </c>
    </row>
    <row r="1230" spans="1:8" ht="24" customHeight="1">
      <c r="A1230" s="7"/>
      <c r="B1230" s="7">
        <v>184</v>
      </c>
      <c r="C1230" s="8" t="s">
        <v>1009</v>
      </c>
      <c r="D1230" s="8" t="s">
        <v>1934</v>
      </c>
      <c r="E1230" s="2">
        <f>IFERROR(VLOOKUP(B1230,'[1]new sheet'!$A$1:$IV$65536,5,FALSE),0)</f>
        <v>0</v>
      </c>
      <c r="F1230" s="3">
        <f>IFERROR(VLOOKUP(B1230,'[1]new sheet'!$A$1:$IV$65536,4,FALSE),0)</f>
        <v>0</v>
      </c>
      <c r="G1230" s="4">
        <f>IFERROR(VLOOKUP(B1230,'[2]new sheet'!$A$1:$IV$65536,2,0),0)</f>
        <v>0</v>
      </c>
      <c r="H1230" s="5">
        <f>IFERROR(VLOOKUP(B1230,'[3]new sheet'!$A$1:$IV$65536,2,0),0)</f>
        <v>0</v>
      </c>
    </row>
    <row r="1231" spans="1:8" ht="24" customHeight="1">
      <c r="A1231" s="7"/>
      <c r="B1231" s="7">
        <v>1157</v>
      </c>
      <c r="C1231" s="8" t="s">
        <v>1010</v>
      </c>
      <c r="D1231" s="8" t="s">
        <v>1934</v>
      </c>
      <c r="E1231" s="2">
        <f>IFERROR(VLOOKUP(B1231,'[1]new sheet'!$A$1:$IV$65536,5,FALSE),0)</f>
        <v>5</v>
      </c>
      <c r="F1231" s="3">
        <f>IFERROR(VLOOKUP(B1231,'[1]new sheet'!$A$1:$IV$65536,4,FALSE),0)</f>
        <v>0</v>
      </c>
      <c r="G1231" s="4">
        <f>IFERROR(VLOOKUP(B1231,'[2]new sheet'!$A$1:$IV$65536,2,0),0)</f>
        <v>2</v>
      </c>
      <c r="H1231" s="5">
        <f>IFERROR(VLOOKUP(B1231,'[3]new sheet'!$A$1:$IV$65536,2,0),0)</f>
        <v>5</v>
      </c>
    </row>
    <row r="1232" spans="1:8" ht="24" customHeight="1">
      <c r="A1232" s="7" t="s">
        <v>1678</v>
      </c>
      <c r="B1232" s="7">
        <v>4044</v>
      </c>
      <c r="C1232" s="8" t="s">
        <v>1679</v>
      </c>
      <c r="D1232" s="8" t="s">
        <v>1934</v>
      </c>
      <c r="E1232" s="2">
        <f>IFERROR(VLOOKUP(B1232,'[1]new sheet'!$A$1:$IV$65536,5,FALSE),0)</f>
        <v>21</v>
      </c>
      <c r="F1232" s="3">
        <f>IFERROR(VLOOKUP(B1232,'[1]new sheet'!$A$1:$IV$65536,4,FALSE),0)</f>
        <v>0</v>
      </c>
      <c r="G1232" s="4">
        <f>IFERROR(VLOOKUP(B1232,'[2]new sheet'!$A$1:$IV$65536,2,0),0)</f>
        <v>0</v>
      </c>
      <c r="H1232" s="5">
        <f>IFERROR(VLOOKUP(B1232,'[3]new sheet'!$A$1:$IV$65536,2,0),0)</f>
        <v>1</v>
      </c>
    </row>
    <row r="1233" spans="1:8" ht="24" customHeight="1">
      <c r="A1233" s="7"/>
      <c r="B1233" s="7">
        <v>1159</v>
      </c>
      <c r="C1233" s="8" t="s">
        <v>1011</v>
      </c>
      <c r="D1233" s="8" t="s">
        <v>1934</v>
      </c>
      <c r="E1233" s="2">
        <f>IFERROR(VLOOKUP(B1233,'[1]new sheet'!$A$1:$IV$65536,5,FALSE),0)</f>
        <v>15</v>
      </c>
      <c r="F1233" s="3">
        <f>IFERROR(VLOOKUP(B1233,'[1]new sheet'!$A$1:$IV$65536,4,FALSE),0)</f>
        <v>0</v>
      </c>
      <c r="G1233" s="4">
        <f>IFERROR(VLOOKUP(B1233,'[2]new sheet'!$A$1:$IV$65536,2,0),0)</f>
        <v>15</v>
      </c>
      <c r="H1233" s="5">
        <f>IFERROR(VLOOKUP(B1233,'[3]new sheet'!$A$1:$IV$65536,2,0),0)</f>
        <v>7</v>
      </c>
    </row>
    <row r="1234" spans="1:8" ht="24" customHeight="1">
      <c r="A1234" s="7">
        <v>3449</v>
      </c>
      <c r="B1234" s="7">
        <v>2646</v>
      </c>
      <c r="C1234" s="8" t="s">
        <v>1012</v>
      </c>
      <c r="D1234" s="8" t="s">
        <v>1937</v>
      </c>
      <c r="E1234" s="2">
        <f>IFERROR(VLOOKUP(B1234,'[1]new sheet'!$A$1:$IV$65536,5,FALSE),0)</f>
        <v>360</v>
      </c>
      <c r="F1234" s="3">
        <f>IFERROR(VLOOKUP(B1234,'[1]new sheet'!$A$1:$IV$65536,4,FALSE),0)</f>
        <v>0</v>
      </c>
      <c r="G1234" s="4">
        <f>IFERROR(VLOOKUP(B1234,'[2]new sheet'!$A$1:$IV$65536,2,0),0)</f>
        <v>81</v>
      </c>
      <c r="H1234" s="5">
        <f>IFERROR(VLOOKUP(B1234,'[3]new sheet'!$A$1:$IV$65536,2,0),0)</f>
        <v>0</v>
      </c>
    </row>
    <row r="1235" spans="1:8" ht="24" customHeight="1">
      <c r="A1235" s="7"/>
      <c r="B1235" s="7">
        <v>669</v>
      </c>
      <c r="C1235" s="8" t="s">
        <v>1013</v>
      </c>
      <c r="D1235" s="8" t="s">
        <v>1937</v>
      </c>
      <c r="E1235" s="2">
        <f>IFERROR(VLOOKUP(B1235,'[1]new sheet'!$A$1:$IV$65536,5,FALSE),0)</f>
        <v>0</v>
      </c>
      <c r="F1235" s="3">
        <f>IFERROR(VLOOKUP(B1235,'[1]new sheet'!$A$1:$IV$65536,4,FALSE),0)</f>
        <v>0</v>
      </c>
      <c r="G1235" s="4">
        <f>IFERROR(VLOOKUP(B1235,'[2]new sheet'!$A$1:$IV$65536,2,0),0)</f>
        <v>0</v>
      </c>
      <c r="H1235" s="5">
        <f>IFERROR(VLOOKUP(B1235,'[3]new sheet'!$A$1:$IV$65536,2,0),0)</f>
        <v>0</v>
      </c>
    </row>
    <row r="1236" spans="1:8" ht="24" customHeight="1">
      <c r="A1236" s="7">
        <v>714</v>
      </c>
      <c r="B1236" s="7">
        <v>2078</v>
      </c>
      <c r="C1236" s="8" t="s">
        <v>1640</v>
      </c>
      <c r="D1236" s="8" t="s">
        <v>1937</v>
      </c>
      <c r="E1236" s="2">
        <f>IFERROR(VLOOKUP(B1236,'[1]new sheet'!$A$1:$IV$65536,5,FALSE),0)</f>
        <v>0</v>
      </c>
      <c r="F1236" s="3">
        <f>IFERROR(VLOOKUP(B1236,'[1]new sheet'!$A$1:$IV$65536,4,FALSE),0)</f>
        <v>0</v>
      </c>
      <c r="G1236" s="4">
        <f>IFERROR(VLOOKUP(B1236,'[2]new sheet'!$A$1:$IV$65536,2,0),0)</f>
        <v>0</v>
      </c>
      <c r="H1236" s="5">
        <f>IFERROR(VLOOKUP(B1236,'[3]new sheet'!$A$1:$IV$65536,2,0),0)</f>
        <v>0</v>
      </c>
    </row>
    <row r="1237" spans="1:8" ht="24" customHeight="1">
      <c r="A1237" s="7">
        <v>3448</v>
      </c>
      <c r="B1237" s="7">
        <v>188</v>
      </c>
      <c r="C1237" s="8" t="s">
        <v>1014</v>
      </c>
      <c r="D1237" s="8" t="s">
        <v>1937</v>
      </c>
      <c r="E1237" s="2">
        <f>IFERROR(VLOOKUP(B1237,'[1]new sheet'!$A$1:$IV$65536,5,FALSE),0)</f>
        <v>684</v>
      </c>
      <c r="F1237" s="3">
        <f>IFERROR(VLOOKUP(B1237,'[1]new sheet'!$A$1:$IV$65536,4,FALSE),0)</f>
        <v>36</v>
      </c>
      <c r="G1237" s="4">
        <f>IFERROR(VLOOKUP(B1237,'[2]new sheet'!$A$1:$IV$65536,2,0),0)</f>
        <v>1006</v>
      </c>
      <c r="H1237" s="5">
        <f>IFERROR(VLOOKUP(B1237,'[3]new sheet'!$A$1:$IV$65536,2,0),0)</f>
        <v>21</v>
      </c>
    </row>
    <row r="1238" spans="1:8" ht="24" customHeight="1">
      <c r="A1238" s="7">
        <v>3300</v>
      </c>
      <c r="B1238" s="7">
        <v>2922</v>
      </c>
      <c r="C1238" s="8" t="s">
        <v>1015</v>
      </c>
      <c r="D1238" s="8" t="s">
        <v>1934</v>
      </c>
      <c r="E1238" s="2">
        <f>IFERROR(VLOOKUP(B1238,'[1]new sheet'!$A$1:$IV$65536,5,FALSE),0)</f>
        <v>186</v>
      </c>
      <c r="F1238" s="3">
        <f>IFERROR(VLOOKUP(B1238,'[1]new sheet'!$A$1:$IV$65536,4,FALSE),0)</f>
        <v>2</v>
      </c>
      <c r="G1238" s="4">
        <f>IFERROR(VLOOKUP(B1238,'[2]new sheet'!$A$1:$IV$65536,2,0),0)</f>
        <v>88</v>
      </c>
      <c r="H1238" s="5">
        <f>IFERROR(VLOOKUP(B1238,'[3]new sheet'!$A$1:$IV$65536,2,0),0)</f>
        <v>0</v>
      </c>
    </row>
    <row r="1239" spans="1:8" ht="24" customHeight="1">
      <c r="A1239" s="7">
        <v>7154</v>
      </c>
      <c r="B1239" s="7">
        <v>1574</v>
      </c>
      <c r="C1239" s="8" t="s">
        <v>1016</v>
      </c>
      <c r="D1239" s="8" t="s">
        <v>1937</v>
      </c>
      <c r="E1239" s="2">
        <f>IFERROR(VLOOKUP(B1239,'[1]new sheet'!$A$1:$IV$65536,5,FALSE),0)</f>
        <v>0</v>
      </c>
      <c r="F1239" s="3">
        <f>IFERROR(VLOOKUP(B1239,'[1]new sheet'!$A$1:$IV$65536,4,FALSE),0)</f>
        <v>0</v>
      </c>
      <c r="G1239" s="4">
        <f>IFERROR(VLOOKUP(B1239,'[2]new sheet'!$A$1:$IV$65536,2,0),0)</f>
        <v>0</v>
      </c>
      <c r="H1239" s="5">
        <f>IFERROR(VLOOKUP(B1239,'[3]new sheet'!$A$1:$IV$65536,2,0),0)</f>
        <v>0</v>
      </c>
    </row>
    <row r="1240" spans="1:8" ht="24" customHeight="1">
      <c r="A1240" s="7">
        <v>7112</v>
      </c>
      <c r="B1240" s="7">
        <v>1163</v>
      </c>
      <c r="C1240" s="8" t="s">
        <v>1017</v>
      </c>
      <c r="D1240" s="8" t="s">
        <v>1934</v>
      </c>
      <c r="E1240" s="2">
        <f>IFERROR(VLOOKUP(B1240,'[1]new sheet'!$A$1:$IV$65536,5,FALSE),0)</f>
        <v>418</v>
      </c>
      <c r="F1240" s="3">
        <f>IFERROR(VLOOKUP(B1240,'[1]new sheet'!$A$1:$IV$65536,4,FALSE),0)</f>
        <v>4</v>
      </c>
      <c r="G1240" s="4">
        <f>IFERROR(VLOOKUP(B1240,'[2]new sheet'!$A$1:$IV$65536,2,0),0)</f>
        <v>38</v>
      </c>
      <c r="H1240" s="5">
        <f>IFERROR(VLOOKUP(B1240,'[3]new sheet'!$A$1:$IV$65536,2,0),0)</f>
        <v>12</v>
      </c>
    </row>
    <row r="1241" spans="1:8" ht="24" customHeight="1">
      <c r="A1241" s="7">
        <v>3390</v>
      </c>
      <c r="B1241" s="7">
        <v>187</v>
      </c>
      <c r="C1241" s="8" t="s">
        <v>1018</v>
      </c>
      <c r="D1241" s="8" t="s">
        <v>1934</v>
      </c>
      <c r="E1241" s="2">
        <f>IFERROR(VLOOKUP(B1241,'[1]new sheet'!$A$1:$IV$65536,5,FALSE),0)</f>
        <v>371</v>
      </c>
      <c r="F1241" s="3">
        <f>IFERROR(VLOOKUP(B1241,'[1]new sheet'!$A$1:$IV$65536,4,FALSE),0)</f>
        <v>14</v>
      </c>
      <c r="G1241" s="4">
        <f>IFERROR(VLOOKUP(B1241,'[2]new sheet'!$A$1:$IV$65536,2,0),0)</f>
        <v>478</v>
      </c>
      <c r="H1241" s="5">
        <f>IFERROR(VLOOKUP(B1241,'[3]new sheet'!$A$1:$IV$65536,2,0),0)</f>
        <v>174</v>
      </c>
    </row>
    <row r="1242" spans="1:8" ht="24" customHeight="1">
      <c r="A1242" s="7">
        <v>7072</v>
      </c>
      <c r="B1242" s="7">
        <v>3203</v>
      </c>
      <c r="C1242" s="8" t="s">
        <v>1019</v>
      </c>
      <c r="D1242" s="8" t="s">
        <v>1934</v>
      </c>
      <c r="E1242" s="2">
        <f>IFERROR(VLOOKUP(B1242,'[1]new sheet'!$A$1:$IV$65536,5,FALSE),0)</f>
        <v>0</v>
      </c>
      <c r="F1242" s="3">
        <f>IFERROR(VLOOKUP(B1242,'[1]new sheet'!$A$1:$IV$65536,4,FALSE),0)</f>
        <v>0</v>
      </c>
      <c r="G1242" s="4">
        <f>IFERROR(VLOOKUP(B1242,'[2]new sheet'!$A$1:$IV$65536,2,0),0)</f>
        <v>0</v>
      </c>
      <c r="H1242" s="5">
        <f>IFERROR(VLOOKUP(B1242,'[3]new sheet'!$A$1:$IV$65536,2,0),0)</f>
        <v>0</v>
      </c>
    </row>
    <row r="1243" spans="1:8" ht="24" customHeight="1">
      <c r="A1243" s="7">
        <v>3440</v>
      </c>
      <c r="B1243" s="7">
        <v>186</v>
      </c>
      <c r="C1243" s="8" t="s">
        <v>1020</v>
      </c>
      <c r="D1243" s="8" t="s">
        <v>1937</v>
      </c>
      <c r="E1243" s="2">
        <f>IFERROR(VLOOKUP(B1243,'[1]new sheet'!$A$1:$IV$65536,5,FALSE),0)</f>
        <v>113</v>
      </c>
      <c r="F1243" s="3">
        <f>IFERROR(VLOOKUP(B1243,'[1]new sheet'!$A$1:$IV$65536,4,FALSE),0)</f>
        <v>13</v>
      </c>
      <c r="G1243" s="4">
        <f>IFERROR(VLOOKUP(B1243,'[2]new sheet'!$A$1:$IV$65536,2,0),0)</f>
        <v>679</v>
      </c>
      <c r="H1243" s="5">
        <f>IFERROR(VLOOKUP(B1243,'[3]new sheet'!$A$1:$IV$65536,2,0),0)</f>
        <v>441</v>
      </c>
    </row>
    <row r="1244" spans="1:8" ht="24" customHeight="1">
      <c r="A1244" s="7">
        <v>3457</v>
      </c>
      <c r="B1244" s="7">
        <v>837</v>
      </c>
      <c r="C1244" s="8" t="s">
        <v>1021</v>
      </c>
      <c r="D1244" s="8" t="s">
        <v>1937</v>
      </c>
      <c r="E1244" s="2">
        <f>IFERROR(VLOOKUP(B1244,'[1]new sheet'!$A$1:$IV$65536,5,FALSE),0)</f>
        <v>322</v>
      </c>
      <c r="F1244" s="3">
        <f>IFERROR(VLOOKUP(B1244,'[1]new sheet'!$A$1:$IV$65536,4,FALSE),0)</f>
        <v>30</v>
      </c>
      <c r="G1244" s="4">
        <f>IFERROR(VLOOKUP(B1244,'[2]new sheet'!$A$1:$IV$65536,2,0),0)</f>
        <v>296</v>
      </c>
      <c r="H1244" s="5">
        <f>IFERROR(VLOOKUP(B1244,'[3]new sheet'!$A$1:$IV$65536,2,0),0)</f>
        <v>0</v>
      </c>
    </row>
    <row r="1245" spans="1:8" ht="24" customHeight="1">
      <c r="A1245" s="7">
        <v>300608</v>
      </c>
      <c r="B1245" s="7">
        <v>3094</v>
      </c>
      <c r="C1245" s="8" t="s">
        <v>1022</v>
      </c>
      <c r="D1245" s="8" t="s">
        <v>1934</v>
      </c>
      <c r="E1245" s="2">
        <f>IFERROR(VLOOKUP(B1245,'[1]new sheet'!$A$1:$IV$65536,5,FALSE),0)</f>
        <v>0</v>
      </c>
      <c r="F1245" s="3">
        <f>IFERROR(VLOOKUP(B1245,'[1]new sheet'!$A$1:$IV$65536,4,FALSE),0)</f>
        <v>0</v>
      </c>
      <c r="G1245" s="4">
        <f>IFERROR(VLOOKUP(B1245,'[2]new sheet'!$A$1:$IV$65536,2,0),0)</f>
        <v>0</v>
      </c>
      <c r="H1245" s="5">
        <f>IFERROR(VLOOKUP(B1245,'[3]new sheet'!$A$1:$IV$65536,2,0),0)</f>
        <v>0</v>
      </c>
    </row>
    <row r="1246" spans="1:8" ht="24" customHeight="1">
      <c r="A1246" s="7"/>
      <c r="B1246" s="7">
        <v>950</v>
      </c>
      <c r="C1246" s="8" t="s">
        <v>1023</v>
      </c>
      <c r="D1246" s="8" t="s">
        <v>1934</v>
      </c>
      <c r="E1246" s="2">
        <f>IFERROR(VLOOKUP(B1246,'[1]new sheet'!$A$1:$IV$65536,5,FALSE),0)</f>
        <v>0</v>
      </c>
      <c r="F1246" s="3">
        <f>IFERROR(VLOOKUP(B1246,'[1]new sheet'!$A$1:$IV$65536,4,FALSE),0)</f>
        <v>0</v>
      </c>
      <c r="G1246" s="4">
        <f>IFERROR(VLOOKUP(B1246,'[2]new sheet'!$A$1:$IV$65536,2,0),0)</f>
        <v>0</v>
      </c>
      <c r="H1246" s="5">
        <f>IFERROR(VLOOKUP(B1246,'[3]new sheet'!$A$1:$IV$65536,2,0),0)</f>
        <v>0</v>
      </c>
    </row>
    <row r="1247" spans="1:8" ht="24" customHeight="1">
      <c r="A1247" s="7"/>
      <c r="B1247" s="7">
        <v>836</v>
      </c>
      <c r="C1247" s="8" t="s">
        <v>1024</v>
      </c>
      <c r="D1247" s="8" t="s">
        <v>1937</v>
      </c>
      <c r="E1247" s="2">
        <f>IFERROR(VLOOKUP(B1247,'[1]new sheet'!$A$1:$IV$65536,5,FALSE),0)</f>
        <v>0</v>
      </c>
      <c r="F1247" s="3">
        <f>IFERROR(VLOOKUP(B1247,'[1]new sheet'!$A$1:$IV$65536,4,FALSE),0)</f>
        <v>0</v>
      </c>
      <c r="G1247" s="4">
        <f>IFERROR(VLOOKUP(B1247,'[2]new sheet'!$A$1:$IV$65536,2,0),0)</f>
        <v>0</v>
      </c>
      <c r="H1247" s="5">
        <f>IFERROR(VLOOKUP(B1247,'[3]new sheet'!$A$1:$IV$65536,2,0),0)</f>
        <v>0</v>
      </c>
    </row>
    <row r="1248" spans="1:8" ht="24" customHeight="1">
      <c r="A1248" s="7">
        <v>715</v>
      </c>
      <c r="B1248" s="7">
        <v>2079</v>
      </c>
      <c r="C1248" s="8" t="s">
        <v>1025</v>
      </c>
      <c r="D1248" s="8" t="s">
        <v>1937</v>
      </c>
      <c r="E1248" s="2">
        <f>IFERROR(VLOOKUP(B1248,'[1]new sheet'!$A$1:$IV$65536,5,FALSE),0)</f>
        <v>0</v>
      </c>
      <c r="F1248" s="3">
        <f>IFERROR(VLOOKUP(B1248,'[1]new sheet'!$A$1:$IV$65536,4,FALSE),0)</f>
        <v>0</v>
      </c>
      <c r="G1248" s="4">
        <f>IFERROR(VLOOKUP(B1248,'[2]new sheet'!$A$1:$IV$65536,2,0),0)</f>
        <v>0</v>
      </c>
      <c r="H1248" s="5">
        <f>IFERROR(VLOOKUP(B1248,'[3]new sheet'!$A$1:$IV$65536,2,0),0)</f>
        <v>0</v>
      </c>
    </row>
    <row r="1249" spans="1:8" ht="24" customHeight="1">
      <c r="A1249" s="7" t="s">
        <v>1680</v>
      </c>
      <c r="B1249" s="7">
        <v>4045</v>
      </c>
      <c r="C1249" s="8" t="s">
        <v>1681</v>
      </c>
      <c r="D1249" s="8" t="s">
        <v>1934</v>
      </c>
      <c r="E1249" s="2">
        <f>IFERROR(VLOOKUP(B1249,'[1]new sheet'!$A$1:$IV$65536,5,FALSE),0)</f>
        <v>35</v>
      </c>
      <c r="F1249" s="3">
        <f>IFERROR(VLOOKUP(B1249,'[1]new sheet'!$A$1:$IV$65536,4,FALSE),0)</f>
        <v>0</v>
      </c>
      <c r="G1249" s="4">
        <f>IFERROR(VLOOKUP(B1249,'[2]new sheet'!$A$1:$IV$65536,2,0),0)</f>
        <v>0</v>
      </c>
      <c r="H1249" s="5">
        <f>IFERROR(VLOOKUP(B1249,'[3]new sheet'!$A$1:$IV$65536,2,0),0)</f>
        <v>2</v>
      </c>
    </row>
    <row r="1250" spans="1:8" ht="24" customHeight="1">
      <c r="A1250" s="7"/>
      <c r="B1250" s="7">
        <v>391</v>
      </c>
      <c r="C1250" s="8" t="s">
        <v>1026</v>
      </c>
      <c r="D1250" s="8" t="s">
        <v>1936</v>
      </c>
      <c r="E1250" s="2">
        <f>IFERROR(VLOOKUP(B1250,'[1]new sheet'!$A$1:$IV$65536,5,FALSE),0)</f>
        <v>0</v>
      </c>
      <c r="F1250" s="3">
        <f>IFERROR(VLOOKUP(B1250,'[1]new sheet'!$A$1:$IV$65536,4,FALSE),0)</f>
        <v>0</v>
      </c>
      <c r="G1250" s="4">
        <f>IFERROR(VLOOKUP(B1250,'[2]new sheet'!$A$1:$IV$65536,2,0),0)</f>
        <v>0</v>
      </c>
      <c r="H1250" s="5">
        <f>IFERROR(VLOOKUP(B1250,'[3]new sheet'!$A$1:$IV$65536,2,0),0)</f>
        <v>0</v>
      </c>
    </row>
    <row r="1251" spans="1:8" ht="24" customHeight="1">
      <c r="A1251" s="7">
        <v>5550</v>
      </c>
      <c r="B1251" s="7">
        <v>670</v>
      </c>
      <c r="C1251" s="8" t="s">
        <v>1027</v>
      </c>
      <c r="D1251" s="8" t="s">
        <v>1936</v>
      </c>
      <c r="E1251" s="2">
        <f>IFERROR(VLOOKUP(B1251,'[1]new sheet'!$A$1:$IV$65536,5,FALSE),0)</f>
        <v>1545</v>
      </c>
      <c r="F1251" s="3">
        <f>IFERROR(VLOOKUP(B1251,'[1]new sheet'!$A$1:$IV$65536,4,FALSE),0)</f>
        <v>53</v>
      </c>
      <c r="G1251" s="4">
        <f>IFERROR(VLOOKUP(B1251,'[2]new sheet'!$A$1:$IV$65536,2,0),0)</f>
        <v>1379</v>
      </c>
      <c r="H1251" s="5">
        <f>IFERROR(VLOOKUP(B1251,'[3]new sheet'!$A$1:$IV$65536,2,0),0)</f>
        <v>481</v>
      </c>
    </row>
    <row r="1252" spans="1:8" ht="24" customHeight="1">
      <c r="A1252" s="7">
        <v>500195</v>
      </c>
      <c r="B1252" s="7">
        <v>838</v>
      </c>
      <c r="C1252" s="8" t="s">
        <v>1028</v>
      </c>
      <c r="D1252" s="8" t="s">
        <v>1936</v>
      </c>
      <c r="E1252" s="2">
        <f>IFERROR(VLOOKUP(B1252,'[1]new sheet'!$A$1:$IV$65536,5,FALSE),0)</f>
        <v>0</v>
      </c>
      <c r="F1252" s="3">
        <f>IFERROR(VLOOKUP(B1252,'[1]new sheet'!$A$1:$IV$65536,4,FALSE),0)</f>
        <v>0</v>
      </c>
      <c r="G1252" s="4">
        <f>IFERROR(VLOOKUP(B1252,'[2]new sheet'!$A$1:$IV$65536,2,0),0)</f>
        <v>29</v>
      </c>
      <c r="H1252" s="5">
        <f>IFERROR(VLOOKUP(B1252,'[3]new sheet'!$A$1:$IV$65536,2,0),0)</f>
        <v>13</v>
      </c>
    </row>
    <row r="1253" spans="1:8" ht="24" customHeight="1">
      <c r="A1253" s="7">
        <v>9644</v>
      </c>
      <c r="B1253" s="7">
        <v>280</v>
      </c>
      <c r="C1253" s="8" t="s">
        <v>1029</v>
      </c>
      <c r="D1253" s="8" t="s">
        <v>1936</v>
      </c>
      <c r="E1253" s="2">
        <f>IFERROR(VLOOKUP(B1253,'[1]new sheet'!$A$1:$IV$65536,5,FALSE),0)</f>
        <v>0</v>
      </c>
      <c r="F1253" s="3">
        <f>IFERROR(VLOOKUP(B1253,'[1]new sheet'!$A$1:$IV$65536,4,FALSE),0)</f>
        <v>0</v>
      </c>
      <c r="G1253" s="4">
        <f>IFERROR(VLOOKUP(B1253,'[2]new sheet'!$A$1:$IV$65536,2,0),0)</f>
        <v>13</v>
      </c>
      <c r="H1253" s="5">
        <f>IFERROR(VLOOKUP(B1253,'[3]new sheet'!$A$1:$IV$65536,2,0),0)</f>
        <v>14</v>
      </c>
    </row>
    <row r="1254" spans="1:8" ht="24" customHeight="1">
      <c r="A1254" s="7">
        <v>834651</v>
      </c>
      <c r="B1254" s="7">
        <v>671</v>
      </c>
      <c r="C1254" s="8" t="s">
        <v>1030</v>
      </c>
      <c r="D1254" s="8" t="s">
        <v>1934</v>
      </c>
      <c r="E1254" s="2">
        <f>IFERROR(VLOOKUP(B1254,'[1]new sheet'!$A$1:$IV$65536,5,FALSE),0)</f>
        <v>202</v>
      </c>
      <c r="F1254" s="3">
        <f>IFERROR(VLOOKUP(B1254,'[1]new sheet'!$A$1:$IV$65536,4,FALSE),0)</f>
        <v>11</v>
      </c>
      <c r="G1254" s="4">
        <f>IFERROR(VLOOKUP(B1254,'[2]new sheet'!$A$1:$IV$65536,2,0),0)</f>
        <v>374</v>
      </c>
      <c r="H1254" s="5">
        <f>IFERROR(VLOOKUP(B1254,'[3]new sheet'!$A$1:$IV$65536,2,0),0)</f>
        <v>108</v>
      </c>
    </row>
    <row r="1255" spans="1:8" ht="24" customHeight="1">
      <c r="A1255" s="7">
        <v>861372</v>
      </c>
      <c r="B1255" s="7">
        <v>672</v>
      </c>
      <c r="C1255" s="8" t="s">
        <v>1031</v>
      </c>
      <c r="D1255" s="8" t="s">
        <v>1936</v>
      </c>
      <c r="E1255" s="2">
        <f>IFERROR(VLOOKUP(B1255,'[1]new sheet'!$A$1:$IV$65536,5,FALSE),0)</f>
        <v>7662</v>
      </c>
      <c r="F1255" s="3">
        <f>IFERROR(VLOOKUP(B1255,'[1]new sheet'!$A$1:$IV$65536,4,FALSE),0)</f>
        <v>264</v>
      </c>
      <c r="G1255" s="4">
        <f>IFERROR(VLOOKUP(B1255,'[2]new sheet'!$A$1:$IV$65536,2,0),0)</f>
        <v>24820</v>
      </c>
      <c r="H1255" s="5">
        <f>IFERROR(VLOOKUP(B1255,'[3]new sheet'!$A$1:$IV$65536,2,0),0)</f>
        <v>9553</v>
      </c>
    </row>
    <row r="1256" spans="1:8" ht="24" customHeight="1">
      <c r="A1256" s="7">
        <v>578240</v>
      </c>
      <c r="B1256" s="7">
        <v>673</v>
      </c>
      <c r="C1256" s="8" t="s">
        <v>1032</v>
      </c>
      <c r="D1256" s="8" t="s">
        <v>1934</v>
      </c>
      <c r="E1256" s="2">
        <f>IFERROR(VLOOKUP(B1256,'[1]new sheet'!$A$1:$IV$65536,5,FALSE),0)</f>
        <v>371</v>
      </c>
      <c r="F1256" s="3">
        <f>IFERROR(VLOOKUP(B1256,'[1]new sheet'!$A$1:$IV$65536,4,FALSE),0)</f>
        <v>11</v>
      </c>
      <c r="G1256" s="4">
        <f>IFERROR(VLOOKUP(B1256,'[2]new sheet'!$A$1:$IV$65536,2,0),0)</f>
        <v>848</v>
      </c>
      <c r="H1256" s="5">
        <f>IFERROR(VLOOKUP(B1256,'[3]new sheet'!$A$1:$IV$65536,2,0),0)</f>
        <v>262</v>
      </c>
    </row>
    <row r="1257" spans="1:8" ht="24" customHeight="1">
      <c r="A1257" s="7">
        <v>992509</v>
      </c>
      <c r="B1257" s="7">
        <v>3457</v>
      </c>
      <c r="C1257" s="8" t="s">
        <v>1033</v>
      </c>
      <c r="D1257" s="8" t="s">
        <v>1934</v>
      </c>
      <c r="E1257" s="2">
        <f>IFERROR(VLOOKUP(B1257,'[1]new sheet'!$A$1:$IV$65536,5,FALSE),0)</f>
        <v>0</v>
      </c>
      <c r="F1257" s="3">
        <f>IFERROR(VLOOKUP(B1257,'[1]new sheet'!$A$1:$IV$65536,4,FALSE),0)</f>
        <v>0</v>
      </c>
      <c r="G1257" s="4">
        <f>IFERROR(VLOOKUP(B1257,'[2]new sheet'!$A$1:$IV$65536,2,0),0)</f>
        <v>0</v>
      </c>
      <c r="H1257" s="5">
        <f>IFERROR(VLOOKUP(B1257,'[3]new sheet'!$A$1:$IV$65536,2,0),0)</f>
        <v>0</v>
      </c>
    </row>
    <row r="1258" spans="1:8" ht="24" customHeight="1">
      <c r="A1258" s="7">
        <v>998541</v>
      </c>
      <c r="B1258" s="7">
        <v>674</v>
      </c>
      <c r="C1258" s="8" t="s">
        <v>1034</v>
      </c>
      <c r="D1258" s="8" t="s">
        <v>1934</v>
      </c>
      <c r="E1258" s="2">
        <f>IFERROR(VLOOKUP(B1258,'[1]new sheet'!$A$1:$IV$65536,5,FALSE),0)</f>
        <v>0</v>
      </c>
      <c r="F1258" s="3">
        <f>IFERROR(VLOOKUP(B1258,'[1]new sheet'!$A$1:$IV$65536,4,FALSE),0)</f>
        <v>0</v>
      </c>
      <c r="G1258" s="4">
        <f>IFERROR(VLOOKUP(B1258,'[2]new sheet'!$A$1:$IV$65536,2,0),0)</f>
        <v>83</v>
      </c>
      <c r="H1258" s="5">
        <f>IFERROR(VLOOKUP(B1258,'[3]new sheet'!$A$1:$IV$65536,2,0),0)</f>
        <v>0</v>
      </c>
    </row>
    <row r="1259" spans="1:8" ht="24" customHeight="1">
      <c r="A1259" s="7">
        <v>994388</v>
      </c>
      <c r="B1259" s="7">
        <v>902</v>
      </c>
      <c r="C1259" s="8" t="s">
        <v>1035</v>
      </c>
      <c r="D1259" s="8" t="s">
        <v>1934</v>
      </c>
      <c r="E1259" s="2">
        <f>IFERROR(VLOOKUP(B1259,'[1]new sheet'!$A$1:$IV$65536,5,FALSE),0)</f>
        <v>0</v>
      </c>
      <c r="F1259" s="3">
        <f>IFERROR(VLOOKUP(B1259,'[1]new sheet'!$A$1:$IV$65536,4,FALSE),0)</f>
        <v>0</v>
      </c>
      <c r="G1259" s="4">
        <f>IFERROR(VLOOKUP(B1259,'[2]new sheet'!$A$1:$IV$65536,2,0),0)</f>
        <v>0</v>
      </c>
      <c r="H1259" s="5">
        <f>IFERROR(VLOOKUP(B1259,'[3]new sheet'!$A$1:$IV$65536,2,0),0)</f>
        <v>0</v>
      </c>
    </row>
    <row r="1260" spans="1:8" ht="24" customHeight="1">
      <c r="A1260" s="7">
        <v>997223</v>
      </c>
      <c r="B1260" s="7">
        <v>675</v>
      </c>
      <c r="C1260" s="8" t="s">
        <v>1036</v>
      </c>
      <c r="D1260" s="8" t="s">
        <v>1934</v>
      </c>
      <c r="E1260" s="2">
        <f>IFERROR(VLOOKUP(B1260,'[1]new sheet'!$A$1:$IV$65536,5,FALSE),0)</f>
        <v>0</v>
      </c>
      <c r="F1260" s="3">
        <f>IFERROR(VLOOKUP(B1260,'[1]new sheet'!$A$1:$IV$65536,4,FALSE),0)</f>
        <v>0</v>
      </c>
      <c r="G1260" s="4">
        <f>IFERROR(VLOOKUP(B1260,'[2]new sheet'!$A$1:$IV$65536,2,0),0)</f>
        <v>11</v>
      </c>
      <c r="H1260" s="5">
        <f>IFERROR(VLOOKUP(B1260,'[3]new sheet'!$A$1:$IV$65536,2,0),0)</f>
        <v>0</v>
      </c>
    </row>
    <row r="1261" spans="1:8" ht="24" customHeight="1">
      <c r="A1261" s="7">
        <v>998545</v>
      </c>
      <c r="B1261" s="7">
        <v>279</v>
      </c>
      <c r="C1261" s="8" t="s">
        <v>1037</v>
      </c>
      <c r="D1261" s="8" t="s">
        <v>1934</v>
      </c>
      <c r="E1261" s="2">
        <f>IFERROR(VLOOKUP(B1261,'[1]new sheet'!$A$1:$IV$65536,5,FALSE),0)</f>
        <v>0</v>
      </c>
      <c r="F1261" s="3">
        <f>IFERROR(VLOOKUP(B1261,'[1]new sheet'!$A$1:$IV$65536,4,FALSE),0)</f>
        <v>0</v>
      </c>
      <c r="G1261" s="4">
        <f>IFERROR(VLOOKUP(B1261,'[2]new sheet'!$A$1:$IV$65536,2,0),0)</f>
        <v>15</v>
      </c>
      <c r="H1261" s="5">
        <f>IFERROR(VLOOKUP(B1261,'[3]new sheet'!$A$1:$IV$65536,2,0),0)</f>
        <v>5</v>
      </c>
    </row>
    <row r="1262" spans="1:8" ht="24" customHeight="1">
      <c r="A1262" s="7">
        <v>43856</v>
      </c>
      <c r="B1262" s="7">
        <v>676</v>
      </c>
      <c r="C1262" s="8" t="s">
        <v>1038</v>
      </c>
      <c r="D1262" s="8" t="s">
        <v>1934</v>
      </c>
      <c r="E1262" s="2">
        <f>IFERROR(VLOOKUP(B1262,'[1]new sheet'!$A$1:$IV$65536,5,FALSE),0)</f>
        <v>24</v>
      </c>
      <c r="F1262" s="3">
        <f>IFERROR(VLOOKUP(B1262,'[1]new sheet'!$A$1:$IV$65536,4,FALSE),0)</f>
        <v>1</v>
      </c>
      <c r="G1262" s="4">
        <f>IFERROR(VLOOKUP(B1262,'[2]new sheet'!$A$1:$IV$65536,2,0),0)</f>
        <v>73</v>
      </c>
      <c r="H1262" s="5">
        <f>IFERROR(VLOOKUP(B1262,'[3]new sheet'!$A$1:$IV$65536,2,0),0)</f>
        <v>35</v>
      </c>
    </row>
    <row r="1263" spans="1:8" ht="24" customHeight="1">
      <c r="A1263" s="7">
        <v>597830</v>
      </c>
      <c r="B1263" s="7">
        <v>277</v>
      </c>
      <c r="C1263" s="8" t="s">
        <v>1714</v>
      </c>
      <c r="D1263" s="8" t="s">
        <v>1934</v>
      </c>
      <c r="E1263" s="2">
        <f>IFERROR(VLOOKUP(B1263,'[1]new sheet'!$A$1:$IV$65536,5,FALSE),0)</f>
        <v>0</v>
      </c>
      <c r="F1263" s="3">
        <f>IFERROR(VLOOKUP(B1263,'[1]new sheet'!$A$1:$IV$65536,4,FALSE),0)</f>
        <v>0</v>
      </c>
      <c r="G1263" s="4">
        <f>IFERROR(VLOOKUP(B1263,'[2]new sheet'!$A$1:$IV$65536,2,0),0)</f>
        <v>0</v>
      </c>
      <c r="H1263" s="5">
        <f>IFERROR(VLOOKUP(B1263,'[3]new sheet'!$A$1:$IV$65536,2,0),0)</f>
        <v>0</v>
      </c>
    </row>
    <row r="1264" spans="1:8" ht="24" customHeight="1">
      <c r="A1264" s="7">
        <v>990727</v>
      </c>
      <c r="B1264" s="7">
        <v>278</v>
      </c>
      <c r="C1264" s="8" t="s">
        <v>1039</v>
      </c>
      <c r="D1264" s="8" t="s">
        <v>1934</v>
      </c>
      <c r="E1264" s="2">
        <f>IFERROR(VLOOKUP(B1264,'[1]new sheet'!$A$1:$IV$65536,5,FALSE),0)</f>
        <v>17</v>
      </c>
      <c r="F1264" s="3">
        <f>IFERROR(VLOOKUP(B1264,'[1]new sheet'!$A$1:$IV$65536,4,FALSE),0)</f>
        <v>0</v>
      </c>
      <c r="G1264" s="4">
        <f>IFERROR(VLOOKUP(B1264,'[2]new sheet'!$A$1:$IV$65536,2,0),0)</f>
        <v>43</v>
      </c>
      <c r="H1264" s="5">
        <f>IFERROR(VLOOKUP(B1264,'[3]new sheet'!$A$1:$IV$65536,2,0),0)</f>
        <v>14</v>
      </c>
    </row>
    <row r="1265" spans="1:8" ht="24" customHeight="1">
      <c r="A1265" s="7">
        <v>992508</v>
      </c>
      <c r="B1265" s="7">
        <v>4204</v>
      </c>
      <c r="C1265" s="8" t="s">
        <v>1842</v>
      </c>
      <c r="D1265" s="8" t="s">
        <v>1934</v>
      </c>
      <c r="E1265" s="2">
        <f>IFERROR(VLOOKUP(B1265,'[1]new sheet'!$A$1:$IV$65536,5,FALSE),0)</f>
        <v>0</v>
      </c>
      <c r="F1265" s="3">
        <f>IFERROR(VLOOKUP(B1265,'[1]new sheet'!$A$1:$IV$65536,4,FALSE),0)</f>
        <v>0</v>
      </c>
      <c r="G1265" s="4">
        <f>IFERROR(VLOOKUP(B1265,'[2]new sheet'!$A$1:$IV$65536,2,0),0)</f>
        <v>3</v>
      </c>
      <c r="H1265" s="5">
        <f>IFERROR(VLOOKUP(B1265,'[3]new sheet'!$A$1:$IV$65536,2,0),0)</f>
        <v>0</v>
      </c>
    </row>
    <row r="1266" spans="1:8" ht="24" customHeight="1">
      <c r="A1266" s="7">
        <v>990944</v>
      </c>
      <c r="B1266" s="7">
        <v>2591</v>
      </c>
      <c r="C1266" s="8" t="s">
        <v>1040</v>
      </c>
      <c r="D1266" s="8" t="s">
        <v>1936</v>
      </c>
      <c r="E1266" s="2"/>
      <c r="F1266" s="3"/>
      <c r="G1266" s="16"/>
      <c r="H1266" s="17" t="s">
        <v>1879</v>
      </c>
    </row>
    <row r="1267" spans="1:8" ht="24" customHeight="1">
      <c r="A1267" s="7">
        <v>950468</v>
      </c>
      <c r="B1267" s="7">
        <v>899</v>
      </c>
      <c r="C1267" s="8" t="s">
        <v>1041</v>
      </c>
      <c r="D1267" s="8" t="s">
        <v>1936</v>
      </c>
      <c r="E1267" s="2">
        <f>IFERROR(VLOOKUP(B1267,'[1]new sheet'!$A$1:$IV$65536,5,FALSE),0)</f>
        <v>63</v>
      </c>
      <c r="F1267" s="3">
        <f>IFERROR(VLOOKUP(B1267,'[1]new sheet'!$A$1:$IV$65536,4,FALSE),0)</f>
        <v>4</v>
      </c>
      <c r="G1267" s="4">
        <f>IFERROR(VLOOKUP(B1267,'[2]new sheet'!$A$1:$IV$65536,2,0),0)</f>
        <v>267</v>
      </c>
      <c r="H1267" s="5">
        <f>IFERROR(VLOOKUP(B1267,'[3]new sheet'!$A$1:$IV$65536,2,0),0)</f>
        <v>56</v>
      </c>
    </row>
    <row r="1268" spans="1:8" ht="24" customHeight="1">
      <c r="A1268" s="7">
        <v>950469</v>
      </c>
      <c r="B1268" s="7">
        <v>680</v>
      </c>
      <c r="C1268" s="8" t="s">
        <v>1042</v>
      </c>
      <c r="D1268" s="8" t="s">
        <v>1936</v>
      </c>
      <c r="E1268" s="2">
        <f>IFERROR(VLOOKUP(B1268,'[1]new sheet'!$A$1:$IV$65536,5,FALSE),0)</f>
        <v>0</v>
      </c>
      <c r="F1268" s="3">
        <f>IFERROR(VLOOKUP(B1268,'[1]new sheet'!$A$1:$IV$65536,4,FALSE),0)</f>
        <v>0</v>
      </c>
      <c r="G1268" s="4">
        <f>IFERROR(VLOOKUP(B1268,'[2]new sheet'!$A$1:$IV$65536,2,0),0)</f>
        <v>1670</v>
      </c>
      <c r="H1268" s="5">
        <f>IFERROR(VLOOKUP(B1268,'[3]new sheet'!$A$1:$IV$65536,2,0),0)</f>
        <v>1528</v>
      </c>
    </row>
    <row r="1269" spans="1:8" ht="24" customHeight="1">
      <c r="A1269" s="7">
        <v>43806</v>
      </c>
      <c r="B1269" s="7">
        <v>679</v>
      </c>
      <c r="C1269" s="8" t="s">
        <v>1043</v>
      </c>
      <c r="D1269" s="8" t="s">
        <v>1934</v>
      </c>
      <c r="E1269" s="2">
        <f>IFERROR(VLOOKUP(B1269,'[1]new sheet'!$A$1:$IV$65536,5,FALSE),0)</f>
        <v>14</v>
      </c>
      <c r="F1269" s="3">
        <f>IFERROR(VLOOKUP(B1269,'[1]new sheet'!$A$1:$IV$65536,4,FALSE),0)</f>
        <v>1</v>
      </c>
      <c r="G1269" s="4">
        <f>IFERROR(VLOOKUP(B1269,'[2]new sheet'!$A$1:$IV$65536,2,0),0)</f>
        <v>18</v>
      </c>
      <c r="H1269" s="5">
        <f>IFERROR(VLOOKUP(B1269,'[3]new sheet'!$A$1:$IV$65536,2,0),0)</f>
        <v>11</v>
      </c>
    </row>
    <row r="1270" spans="1:8" ht="24" customHeight="1">
      <c r="A1270" s="7"/>
      <c r="B1270" s="7">
        <v>869</v>
      </c>
      <c r="C1270" s="8" t="s">
        <v>1044</v>
      </c>
      <c r="D1270" s="8" t="s">
        <v>1934</v>
      </c>
      <c r="E1270" s="2">
        <f>IFERROR(VLOOKUP(B1270,'[1]new sheet'!$A$1:$IV$65536,5,FALSE),0)</f>
        <v>0</v>
      </c>
      <c r="F1270" s="3">
        <f>IFERROR(VLOOKUP(B1270,'[1]new sheet'!$A$1:$IV$65536,4,FALSE),0)</f>
        <v>0</v>
      </c>
      <c r="G1270" s="4">
        <f>IFERROR(VLOOKUP(B1270,'[2]new sheet'!$A$1:$IV$65536,2,0),0)</f>
        <v>0</v>
      </c>
      <c r="H1270" s="5">
        <f>IFERROR(VLOOKUP(B1270,'[3]new sheet'!$A$1:$IV$65536,2,0),0)</f>
        <v>0</v>
      </c>
    </row>
    <row r="1271" spans="1:8" ht="24" customHeight="1">
      <c r="A1271" s="7">
        <v>2393</v>
      </c>
      <c r="B1271" s="7">
        <v>972</v>
      </c>
      <c r="C1271" s="8" t="s">
        <v>1045</v>
      </c>
      <c r="D1271" s="8" t="s">
        <v>1937</v>
      </c>
      <c r="E1271" s="2">
        <f>IFERROR(VLOOKUP(B1271,'[1]new sheet'!$A$1:$IV$65536,5,FALSE),0)</f>
        <v>125</v>
      </c>
      <c r="F1271" s="3">
        <f>IFERROR(VLOOKUP(B1271,'[1]new sheet'!$A$1:$IV$65536,4,FALSE),0)</f>
        <v>1</v>
      </c>
      <c r="G1271" s="4">
        <f>IFERROR(VLOOKUP(B1271,'[2]new sheet'!$A$1:$IV$65536,2,0),0)</f>
        <v>25</v>
      </c>
      <c r="H1271" s="5">
        <f>IFERROR(VLOOKUP(B1271,'[3]new sheet'!$A$1:$IV$65536,2,0),0)</f>
        <v>3</v>
      </c>
    </row>
    <row r="1272" spans="1:8" ht="24" customHeight="1">
      <c r="A1272" s="7">
        <v>2294</v>
      </c>
      <c r="B1272" s="7">
        <v>974</v>
      </c>
      <c r="C1272" s="8" t="s">
        <v>1046</v>
      </c>
      <c r="D1272" s="8" t="s">
        <v>1934</v>
      </c>
      <c r="E1272" s="2">
        <f>IFERROR(VLOOKUP(B1272,'[1]new sheet'!$A$1:$IV$65536,5,FALSE),0)</f>
        <v>244</v>
      </c>
      <c r="F1272" s="3">
        <f>IFERROR(VLOOKUP(B1272,'[1]new sheet'!$A$1:$IV$65536,4,FALSE),0)</f>
        <v>0</v>
      </c>
      <c r="G1272" s="4">
        <f>IFERROR(VLOOKUP(B1272,'[2]new sheet'!$A$1:$IV$65536,2,0),0)</f>
        <v>4</v>
      </c>
      <c r="H1272" s="5">
        <f>IFERROR(VLOOKUP(B1272,'[3]new sheet'!$A$1:$IV$65536,2,0),0)</f>
        <v>3</v>
      </c>
    </row>
    <row r="1273" spans="1:8" ht="24" customHeight="1">
      <c r="A1273" s="7"/>
      <c r="B1273" s="7">
        <v>1155</v>
      </c>
      <c r="C1273" s="8" t="s">
        <v>1047</v>
      </c>
      <c r="D1273" s="8" t="s">
        <v>1934</v>
      </c>
      <c r="E1273" s="2">
        <f>IFERROR(VLOOKUP(B1273,'[1]new sheet'!$A$1:$IV$65536,5,FALSE),0)</f>
        <v>22</v>
      </c>
      <c r="F1273" s="3">
        <f>IFERROR(VLOOKUP(B1273,'[1]new sheet'!$A$1:$IV$65536,4,FALSE),0)</f>
        <v>0</v>
      </c>
      <c r="G1273" s="4">
        <f>IFERROR(VLOOKUP(B1273,'[2]new sheet'!$A$1:$IV$65536,2,0),0)</f>
        <v>3</v>
      </c>
      <c r="H1273" s="5">
        <f>IFERROR(VLOOKUP(B1273,'[3]new sheet'!$A$1:$IV$65536,2,0),0)</f>
        <v>2</v>
      </c>
    </row>
    <row r="1274" spans="1:8" ht="24" customHeight="1">
      <c r="A1274" s="7">
        <v>394</v>
      </c>
      <c r="B1274" s="7">
        <v>1359</v>
      </c>
      <c r="C1274" s="8" t="s">
        <v>1048</v>
      </c>
      <c r="D1274" s="8" t="s">
        <v>1935</v>
      </c>
      <c r="E1274" s="2">
        <f>IFERROR(VLOOKUP(B1274,'[1]new sheet'!$A$1:$IV$65536,5,FALSE),0)</f>
        <v>0</v>
      </c>
      <c r="F1274" s="3">
        <f>IFERROR(VLOOKUP(B1274,'[1]new sheet'!$A$1:$IV$65536,4,FALSE),0)</f>
        <v>0</v>
      </c>
      <c r="G1274" s="4">
        <f>IFERROR(VLOOKUP(B1274,'[2]new sheet'!$A$1:$IV$65536,2,0),0)</f>
        <v>0</v>
      </c>
      <c r="H1274" s="5">
        <f>IFERROR(VLOOKUP(B1274,'[3]new sheet'!$A$1:$IV$65536,2,0),0)</f>
        <v>0</v>
      </c>
    </row>
    <row r="1275" spans="1:8" ht="24" customHeight="1">
      <c r="A1275" s="7">
        <v>1</v>
      </c>
      <c r="B1275" s="7">
        <v>683</v>
      </c>
      <c r="C1275" s="8" t="s">
        <v>1049</v>
      </c>
      <c r="D1275" s="8" t="s">
        <v>1935</v>
      </c>
      <c r="E1275" s="2">
        <f>IFERROR(VLOOKUP(B1275,'[1]new sheet'!$A$1:$IV$65536,5,FALSE),0)</f>
        <v>405.97</v>
      </c>
      <c r="F1275" s="3">
        <f>IFERROR(VLOOKUP(B1275,'[1]new sheet'!$A$1:$IV$65536,4,FALSE),0)</f>
        <v>0</v>
      </c>
      <c r="G1275" s="4">
        <f>IFERROR(VLOOKUP(B1275,'[2]new sheet'!$A$1:$IV$65536,2,0),0)</f>
        <v>310.13</v>
      </c>
      <c r="H1275" s="5">
        <f>IFERROR(VLOOKUP(B1275,'[3]new sheet'!$A$1:$IV$65536,2,0),0)</f>
        <v>76.83</v>
      </c>
    </row>
    <row r="1276" spans="1:8" ht="24" customHeight="1">
      <c r="A1276" s="7">
        <v>733</v>
      </c>
      <c r="B1276" s="7">
        <v>4087</v>
      </c>
      <c r="C1276" s="8" t="s">
        <v>1709</v>
      </c>
      <c r="D1276" s="8" t="s">
        <v>1935</v>
      </c>
      <c r="E1276" s="2">
        <f>IFERROR(VLOOKUP(B1276,'[1]new sheet'!$A$1:$IV$65536,5,FALSE),0)</f>
        <v>4644.4799999999996</v>
      </c>
      <c r="F1276" s="3">
        <f>IFERROR(VLOOKUP(B1276,'[1]new sheet'!$A$1:$IV$65536,4,FALSE),0)</f>
        <v>0</v>
      </c>
      <c r="G1276" s="4">
        <f>IFERROR(VLOOKUP(B1276,'[2]new sheet'!$A$1:$IV$65536,2,0),0)</f>
        <v>1848.57</v>
      </c>
      <c r="H1276" s="5">
        <f>IFERROR(VLOOKUP(B1276,'[3]new sheet'!$A$1:$IV$65536,2,0),0)</f>
        <v>526.19000000000005</v>
      </c>
    </row>
    <row r="1277" spans="1:8" ht="24" customHeight="1">
      <c r="A1277" s="7" t="s">
        <v>1050</v>
      </c>
      <c r="B1277" s="7">
        <v>1413</v>
      </c>
      <c r="C1277" s="8" t="s">
        <v>1051</v>
      </c>
      <c r="D1277" s="8" t="s">
        <v>1935</v>
      </c>
      <c r="E1277" s="2">
        <f>IFERROR(VLOOKUP(B1277,'[1]new sheet'!$A$1:$IV$65536,5,FALSE),0)</f>
        <v>0</v>
      </c>
      <c r="F1277" s="3">
        <f>IFERROR(VLOOKUP(B1277,'[1]new sheet'!$A$1:$IV$65536,4,FALSE),0)</f>
        <v>0</v>
      </c>
      <c r="G1277" s="4">
        <f>IFERROR(VLOOKUP(B1277,'[2]new sheet'!$A$1:$IV$65536,2,0),0)</f>
        <v>0</v>
      </c>
      <c r="H1277" s="5">
        <f>IFERROR(VLOOKUP(B1277,'[3]new sheet'!$A$1:$IV$65536,2,0),0)</f>
        <v>0</v>
      </c>
    </row>
    <row r="1278" spans="1:8" ht="24" customHeight="1">
      <c r="A1278" s="7"/>
      <c r="B1278" s="7">
        <v>682</v>
      </c>
      <c r="C1278" s="8" t="s">
        <v>1052</v>
      </c>
      <c r="D1278" s="8" t="s">
        <v>1935</v>
      </c>
      <c r="E1278" s="2">
        <f>IFERROR(VLOOKUP(B1278,'[1]new sheet'!$A$1:$IV$65536,5,FALSE),0)</f>
        <v>0</v>
      </c>
      <c r="F1278" s="3">
        <f>IFERROR(VLOOKUP(B1278,'[1]new sheet'!$A$1:$IV$65536,4,FALSE),0)</f>
        <v>0</v>
      </c>
      <c r="G1278" s="4">
        <f>IFERROR(VLOOKUP(B1278,'[2]new sheet'!$A$1:$IV$65536,2,0),0)</f>
        <v>0</v>
      </c>
      <c r="H1278" s="5">
        <f>IFERROR(VLOOKUP(B1278,'[3]new sheet'!$A$1:$IV$65536,2,0),0)</f>
        <v>0</v>
      </c>
    </row>
    <row r="1279" spans="1:8" ht="24" customHeight="1">
      <c r="A1279" s="7" t="s">
        <v>1053</v>
      </c>
      <c r="B1279" s="7">
        <v>1703</v>
      </c>
      <c r="C1279" s="8" t="s">
        <v>1054</v>
      </c>
      <c r="D1279" s="8" t="s">
        <v>1935</v>
      </c>
      <c r="E1279" s="2">
        <f>IFERROR(VLOOKUP(B1279,'[1]new sheet'!$A$1:$IV$65536,5,FALSE),0)</f>
        <v>0</v>
      </c>
      <c r="F1279" s="3">
        <f>IFERROR(VLOOKUP(B1279,'[1]new sheet'!$A$1:$IV$65536,4,FALSE),0)</f>
        <v>0</v>
      </c>
      <c r="G1279" s="4">
        <f>IFERROR(VLOOKUP(B1279,'[2]new sheet'!$A$1:$IV$65536,2,0),0)</f>
        <v>0</v>
      </c>
      <c r="H1279" s="5">
        <f>IFERROR(VLOOKUP(B1279,'[3]new sheet'!$A$1:$IV$65536,2,0),0)</f>
        <v>0</v>
      </c>
    </row>
    <row r="1280" spans="1:8" ht="24" customHeight="1">
      <c r="A1280" s="7">
        <v>9000010758</v>
      </c>
      <c r="B1280" s="7">
        <v>3608</v>
      </c>
      <c r="C1280" s="8" t="s">
        <v>1055</v>
      </c>
      <c r="D1280" s="8" t="s">
        <v>1935</v>
      </c>
      <c r="E1280" s="2">
        <f>IFERROR(VLOOKUP(B1280,'[1]new sheet'!$A$1:$IV$65536,5,FALSE),0)</f>
        <v>0</v>
      </c>
      <c r="F1280" s="3">
        <f>IFERROR(VLOOKUP(B1280,'[1]new sheet'!$A$1:$IV$65536,4,FALSE),0)</f>
        <v>0</v>
      </c>
      <c r="G1280" s="4">
        <f>IFERROR(VLOOKUP(B1280,'[2]new sheet'!$A$1:$IV$65536,2,0),0)</f>
        <v>0</v>
      </c>
      <c r="H1280" s="5">
        <f>IFERROR(VLOOKUP(B1280,'[3]new sheet'!$A$1:$IV$65536,2,0),0)</f>
        <v>0</v>
      </c>
    </row>
    <row r="1281" spans="1:8" ht="24" customHeight="1">
      <c r="A1281" s="7">
        <v>13580</v>
      </c>
      <c r="B1281" s="7">
        <v>2368</v>
      </c>
      <c r="C1281" s="8" t="s">
        <v>1056</v>
      </c>
      <c r="D1281" s="8" t="s">
        <v>1935</v>
      </c>
      <c r="E1281" s="2">
        <f>IFERROR(VLOOKUP(B1281,'[1]new sheet'!$A$1:$IV$65536,5,FALSE),0)</f>
        <v>0</v>
      </c>
      <c r="F1281" s="3">
        <f>IFERROR(VLOOKUP(B1281,'[1]new sheet'!$A$1:$IV$65536,4,FALSE),0)</f>
        <v>0</v>
      </c>
      <c r="G1281" s="4">
        <f>IFERROR(VLOOKUP(B1281,'[2]new sheet'!$A$1:$IV$65536,2,0),0)</f>
        <v>0</v>
      </c>
      <c r="H1281" s="5">
        <f>IFERROR(VLOOKUP(B1281,'[3]new sheet'!$A$1:$IV$65536,2,0),0)</f>
        <v>0</v>
      </c>
    </row>
    <row r="1282" spans="1:8" ht="24" customHeight="1">
      <c r="A1282" s="7">
        <v>114181</v>
      </c>
      <c r="B1282" s="7">
        <v>2720</v>
      </c>
      <c r="C1282" s="8" t="s">
        <v>1057</v>
      </c>
      <c r="D1282" s="8" t="s">
        <v>1935</v>
      </c>
      <c r="E1282" s="2">
        <f>IFERROR(VLOOKUP(B1282,'[1]new sheet'!$A$1:$IV$65536,5,FALSE),0)</f>
        <v>0</v>
      </c>
      <c r="F1282" s="3">
        <f>IFERROR(VLOOKUP(B1282,'[1]new sheet'!$A$1:$IV$65536,4,FALSE),0)</f>
        <v>0</v>
      </c>
      <c r="G1282" s="4">
        <f>IFERROR(VLOOKUP(B1282,'[2]new sheet'!$A$1:$IV$65536,2,0),0)</f>
        <v>0</v>
      </c>
      <c r="H1282" s="5">
        <f>IFERROR(VLOOKUP(B1282,'[3]new sheet'!$A$1:$IV$65536,2,0),0)</f>
        <v>0</v>
      </c>
    </row>
    <row r="1283" spans="1:8" ht="24" customHeight="1">
      <c r="A1283" s="7">
        <v>0</v>
      </c>
      <c r="B1283" s="7">
        <v>4233</v>
      </c>
      <c r="C1283" s="8" t="s">
        <v>1924</v>
      </c>
      <c r="D1283" s="8" t="s">
        <v>1935</v>
      </c>
      <c r="E1283" s="2">
        <f>IFERROR(VLOOKUP(B1283,'[1]new sheet'!$A$1:$IV$65536,5,FALSE),0)</f>
        <v>98.33</v>
      </c>
      <c r="F1283" s="3">
        <f>IFERROR(VLOOKUP(B1283,'[1]new sheet'!$A$1:$IV$65536,4,FALSE),0)</f>
        <v>0</v>
      </c>
      <c r="G1283" s="4">
        <f>IFERROR(VLOOKUP(B1283,'[2]new sheet'!$A$1:$IV$65536,2,0),0)</f>
        <v>108.91</v>
      </c>
      <c r="H1283" s="5">
        <f>IFERROR(VLOOKUP(B1283,'[3]new sheet'!$A$1:$IV$65536,2,0),0)</f>
        <v>230.25</v>
      </c>
    </row>
    <row r="1284" spans="1:8" ht="24" customHeight="1">
      <c r="A1284" s="7">
        <v>463</v>
      </c>
      <c r="B1284" s="7">
        <v>4008</v>
      </c>
      <c r="C1284" s="8" t="s">
        <v>1657</v>
      </c>
      <c r="D1284" s="8" t="s">
        <v>1935</v>
      </c>
      <c r="E1284" s="2">
        <f>IFERROR(VLOOKUP(B1284,'[1]new sheet'!$A$1:$IV$65536,5,FALSE),0)</f>
        <v>0</v>
      </c>
      <c r="F1284" s="3">
        <f>IFERROR(VLOOKUP(B1284,'[1]new sheet'!$A$1:$IV$65536,4,FALSE),0)</f>
        <v>0</v>
      </c>
      <c r="G1284" s="4">
        <f>IFERROR(VLOOKUP(B1284,'[2]new sheet'!$A$1:$IV$65536,2,0),0)</f>
        <v>0</v>
      </c>
      <c r="H1284" s="5">
        <f>IFERROR(VLOOKUP(B1284,'[3]new sheet'!$A$1:$IV$65536,2,0),0)</f>
        <v>0</v>
      </c>
    </row>
    <row r="1285" spans="1:8" ht="24" customHeight="1">
      <c r="A1285" s="7">
        <v>100046</v>
      </c>
      <c r="B1285" s="7">
        <v>4265</v>
      </c>
      <c r="C1285" s="8" t="s">
        <v>1894</v>
      </c>
      <c r="D1285" s="8" t="s">
        <v>1937</v>
      </c>
      <c r="E1285" s="2">
        <f>IFERROR(VLOOKUP(B1285,'[1]new sheet'!$A$1:$IV$65536,5,FALSE),0)</f>
        <v>0</v>
      </c>
      <c r="F1285" s="3">
        <f>IFERROR(VLOOKUP(B1285,'[1]new sheet'!$A$1:$IV$65536,4,FALSE),0)</f>
        <v>0</v>
      </c>
      <c r="G1285" s="4">
        <f>IFERROR(VLOOKUP(B1285,'[2]new sheet'!$A$1:$IV$65536,2,0),0)</f>
        <v>0</v>
      </c>
      <c r="H1285" s="5">
        <f>IFERROR(VLOOKUP(B1285,'[3]new sheet'!$A$1:$IV$65536,2,0),0)</f>
        <v>24</v>
      </c>
    </row>
    <row r="1286" spans="1:8" ht="24" customHeight="1">
      <c r="A1286" s="7">
        <v>2</v>
      </c>
      <c r="B1286" s="7">
        <v>386</v>
      </c>
      <c r="C1286" s="8" t="s">
        <v>1875</v>
      </c>
      <c r="D1286" s="8" t="s">
        <v>1935</v>
      </c>
      <c r="E1286" s="2">
        <f>IFERROR(VLOOKUP(B1286,'[1]new sheet'!$A$1:$IV$65536,5,FALSE),0)</f>
        <v>26482.53</v>
      </c>
      <c r="F1286" s="3">
        <f>IFERROR(VLOOKUP(B1286,'[1]new sheet'!$A$1:$IV$65536,4,FALSE),0)</f>
        <v>956.63</v>
      </c>
      <c r="G1286" s="4">
        <f>IFERROR(VLOOKUP(B1286,'[2]new sheet'!$A$1:$IV$65536,2,0),0)</f>
        <v>55642.559999999998</v>
      </c>
      <c r="H1286" s="5">
        <f>IFERROR(VLOOKUP(B1286,'[3]new sheet'!$A$1:$IV$65536,2,0),0)</f>
        <v>18381.02</v>
      </c>
    </row>
    <row r="1287" spans="1:8" ht="24" customHeight="1">
      <c r="A1287" s="7"/>
      <c r="B1287" s="7">
        <v>996</v>
      </c>
      <c r="C1287" s="8" t="s">
        <v>1058</v>
      </c>
      <c r="D1287" s="8" t="s">
        <v>1934</v>
      </c>
      <c r="E1287" s="2">
        <f>IFERROR(VLOOKUP(B1287,'[1]new sheet'!$A$1:$IV$65536,5,FALSE),0)</f>
        <v>0</v>
      </c>
      <c r="F1287" s="3">
        <f>IFERROR(VLOOKUP(B1287,'[1]new sheet'!$A$1:$IV$65536,4,FALSE),0)</f>
        <v>0</v>
      </c>
      <c r="G1287" s="4">
        <f>IFERROR(VLOOKUP(B1287,'[2]new sheet'!$A$1:$IV$65536,2,0),0)</f>
        <v>0</v>
      </c>
      <c r="H1287" s="5">
        <f>IFERROR(VLOOKUP(B1287,'[3]new sheet'!$A$1:$IV$65536,2,0),0)</f>
        <v>0</v>
      </c>
    </row>
    <row r="1288" spans="1:8" ht="24" customHeight="1">
      <c r="A1288" s="7"/>
      <c r="B1288" s="7">
        <v>995</v>
      </c>
      <c r="C1288" s="8" t="s">
        <v>1059</v>
      </c>
      <c r="D1288" s="8" t="s">
        <v>1934</v>
      </c>
      <c r="E1288" s="2">
        <f>IFERROR(VLOOKUP(B1288,'[1]new sheet'!$A$1:$IV$65536,5,FALSE),0)</f>
        <v>0</v>
      </c>
      <c r="F1288" s="3">
        <f>IFERROR(VLOOKUP(B1288,'[1]new sheet'!$A$1:$IV$65536,4,FALSE),0)</f>
        <v>0</v>
      </c>
      <c r="G1288" s="4">
        <f>IFERROR(VLOOKUP(B1288,'[2]new sheet'!$A$1:$IV$65536,2,0),0)</f>
        <v>0</v>
      </c>
      <c r="H1288" s="5">
        <f>IFERROR(VLOOKUP(B1288,'[3]new sheet'!$A$1:$IV$65536,2,0),0)</f>
        <v>0</v>
      </c>
    </row>
    <row r="1289" spans="1:8" ht="24" customHeight="1">
      <c r="A1289" s="7">
        <v>4998</v>
      </c>
      <c r="B1289" s="7">
        <v>358</v>
      </c>
      <c r="C1289" s="8" t="s">
        <v>1634</v>
      </c>
      <c r="D1289" s="8" t="s">
        <v>1934</v>
      </c>
      <c r="E1289" s="2">
        <f>IFERROR(VLOOKUP(B1289,'[1]new sheet'!$A$1:$IV$65536,5,FALSE),0)</f>
        <v>0</v>
      </c>
      <c r="F1289" s="3">
        <f>IFERROR(VLOOKUP(B1289,'[1]new sheet'!$A$1:$IV$65536,4,FALSE),0)</f>
        <v>0</v>
      </c>
      <c r="G1289" s="4">
        <f>IFERROR(VLOOKUP(B1289,'[2]new sheet'!$A$1:$IV$65536,2,0),0)</f>
        <v>0</v>
      </c>
      <c r="H1289" s="5">
        <f>IFERROR(VLOOKUP(B1289,'[3]new sheet'!$A$1:$IV$65536,2,0),0)</f>
        <v>0</v>
      </c>
    </row>
    <row r="1290" spans="1:8" ht="24" customHeight="1">
      <c r="A1290" s="7">
        <v>4997</v>
      </c>
      <c r="B1290" s="7">
        <v>2632</v>
      </c>
      <c r="C1290" s="8" t="s">
        <v>1060</v>
      </c>
      <c r="D1290" s="8" t="s">
        <v>1934</v>
      </c>
      <c r="E1290" s="2">
        <f>IFERROR(VLOOKUP(B1290,'[1]new sheet'!$A$1:$IV$65536,5,FALSE),0)</f>
        <v>0</v>
      </c>
      <c r="F1290" s="3">
        <f>IFERROR(VLOOKUP(B1290,'[1]new sheet'!$A$1:$IV$65536,4,FALSE),0)</f>
        <v>0</v>
      </c>
      <c r="G1290" s="4">
        <f>IFERROR(VLOOKUP(B1290,'[2]new sheet'!$A$1:$IV$65536,2,0),0)</f>
        <v>293</v>
      </c>
      <c r="H1290" s="5">
        <f>IFERROR(VLOOKUP(B1290,'[3]new sheet'!$A$1:$IV$65536,2,0),0)</f>
        <v>0</v>
      </c>
    </row>
    <row r="1291" spans="1:8" ht="24" customHeight="1">
      <c r="A1291" s="7">
        <v>4997</v>
      </c>
      <c r="B1291" s="7">
        <v>357</v>
      </c>
      <c r="C1291" s="8" t="s">
        <v>1635</v>
      </c>
      <c r="D1291" s="8" t="s">
        <v>1934</v>
      </c>
      <c r="E1291" s="2">
        <f>IFERROR(VLOOKUP(B1291,'[1]new sheet'!$A$1:$IV$65536,5,FALSE),0)</f>
        <v>0</v>
      </c>
      <c r="F1291" s="3">
        <f>IFERROR(VLOOKUP(B1291,'[1]new sheet'!$A$1:$IV$65536,4,FALSE),0)</f>
        <v>0</v>
      </c>
      <c r="G1291" s="4">
        <f>IFERROR(VLOOKUP(B1291,'[2]new sheet'!$A$1:$IV$65536,2,0),0)</f>
        <v>0</v>
      </c>
      <c r="H1291" s="5">
        <f>IFERROR(VLOOKUP(B1291,'[3]new sheet'!$A$1:$IV$65536,2,0),0)</f>
        <v>0</v>
      </c>
    </row>
    <row r="1292" spans="1:8" ht="24" customHeight="1">
      <c r="A1292" s="7"/>
      <c r="B1292" s="7">
        <v>684</v>
      </c>
      <c r="C1292" s="8" t="s">
        <v>1061</v>
      </c>
      <c r="D1292" s="8" t="s">
        <v>1934</v>
      </c>
      <c r="E1292" s="2">
        <f>IFERROR(VLOOKUP(B1292,'[1]new sheet'!$A$1:$IV$65536,5,FALSE),0)</f>
        <v>0</v>
      </c>
      <c r="F1292" s="3">
        <f>IFERROR(VLOOKUP(B1292,'[1]new sheet'!$A$1:$IV$65536,4,FALSE),0)</f>
        <v>0</v>
      </c>
      <c r="G1292" s="4">
        <f>IFERROR(VLOOKUP(B1292,'[2]new sheet'!$A$1:$IV$65536,2,0),0)</f>
        <v>0</v>
      </c>
      <c r="H1292" s="5">
        <f>IFERROR(VLOOKUP(B1292,'[3]new sheet'!$A$1:$IV$65536,2,0),0)</f>
        <v>0</v>
      </c>
    </row>
    <row r="1293" spans="1:8" ht="24" customHeight="1">
      <c r="A1293" s="7">
        <v>1612</v>
      </c>
      <c r="B1293" s="7">
        <v>387</v>
      </c>
      <c r="C1293" s="8" t="s">
        <v>1062</v>
      </c>
      <c r="D1293" s="8" t="s">
        <v>1935</v>
      </c>
      <c r="E1293" s="2">
        <f>IFERROR(VLOOKUP(B1293,'[1]new sheet'!$A$1:$IV$65536,5,FALSE),0)</f>
        <v>0</v>
      </c>
      <c r="F1293" s="3">
        <f>IFERROR(VLOOKUP(B1293,'[1]new sheet'!$A$1:$IV$65536,4,FALSE),0)</f>
        <v>0</v>
      </c>
      <c r="G1293" s="4">
        <f>IFERROR(VLOOKUP(B1293,'[2]new sheet'!$A$1:$IV$65536,2,0),0)</f>
        <v>0</v>
      </c>
      <c r="H1293" s="5">
        <f>IFERROR(VLOOKUP(B1293,'[3]new sheet'!$A$1:$IV$65536,2,0),0)</f>
        <v>0</v>
      </c>
    </row>
    <row r="1294" spans="1:8" ht="24" customHeight="1">
      <c r="A1294" s="7">
        <v>1178</v>
      </c>
      <c r="B1294" s="7">
        <v>356</v>
      </c>
      <c r="C1294" s="8" t="s">
        <v>1063</v>
      </c>
      <c r="D1294" s="8" t="s">
        <v>1935</v>
      </c>
      <c r="E1294" s="2">
        <f>IFERROR(VLOOKUP(B1294,'[1]new sheet'!$A$1:$IV$65536,5,FALSE),0)</f>
        <v>28.04</v>
      </c>
      <c r="F1294" s="3">
        <f>IFERROR(VLOOKUP(B1294,'[1]new sheet'!$A$1:$IV$65536,4,FALSE),0)</f>
        <v>10.01</v>
      </c>
      <c r="G1294" s="4">
        <f>IFERROR(VLOOKUP(B1294,'[2]new sheet'!$A$1:$IV$65536,2,0),0)</f>
        <v>489.5</v>
      </c>
      <c r="H1294" s="5">
        <f>IFERROR(VLOOKUP(B1294,'[3]new sheet'!$A$1:$IV$65536,2,0),0)</f>
        <v>197.87</v>
      </c>
    </row>
    <row r="1295" spans="1:8" ht="24" customHeight="1">
      <c r="A1295" s="7">
        <v>100047</v>
      </c>
      <c r="B1295" s="7">
        <v>4266</v>
      </c>
      <c r="C1295" s="8" t="s">
        <v>1895</v>
      </c>
      <c r="D1295" s="8" t="s">
        <v>1937</v>
      </c>
      <c r="E1295" s="2">
        <f>IFERROR(VLOOKUP(B1295,'[1]new sheet'!$A$1:$IV$65536,5,FALSE),0)</f>
        <v>18</v>
      </c>
      <c r="F1295" s="3">
        <f>IFERROR(VLOOKUP(B1295,'[1]new sheet'!$A$1:$IV$65536,4,FALSE),0)</f>
        <v>0</v>
      </c>
      <c r="G1295" s="4">
        <f>IFERROR(VLOOKUP(B1295,'[2]new sheet'!$A$1:$IV$65536,2,0),0)</f>
        <v>0</v>
      </c>
      <c r="H1295" s="5">
        <f>IFERROR(VLOOKUP(B1295,'[3]new sheet'!$A$1:$IV$65536,2,0),0)</f>
        <v>6</v>
      </c>
    </row>
    <row r="1296" spans="1:8" ht="24" customHeight="1">
      <c r="A1296" s="7">
        <v>2</v>
      </c>
      <c r="B1296" s="7">
        <v>3523</v>
      </c>
      <c r="C1296" s="8" t="s">
        <v>1064</v>
      </c>
      <c r="D1296" s="8" t="s">
        <v>1935</v>
      </c>
      <c r="E1296" s="2">
        <f>IFERROR(VLOOKUP(B1296,'[1]new sheet'!$A$1:$IV$65536,5,FALSE),0)</f>
        <v>1445.1</v>
      </c>
      <c r="F1296" s="3">
        <f>IFERROR(VLOOKUP(B1296,'[1]new sheet'!$A$1:$IV$65536,4,FALSE),0)</f>
        <v>17.5</v>
      </c>
      <c r="G1296" s="4">
        <f>IFERROR(VLOOKUP(B1296,'[2]new sheet'!$A$1:$IV$65536,2,0),0)</f>
        <v>0</v>
      </c>
      <c r="H1296" s="5">
        <f>IFERROR(VLOOKUP(B1296,'[3]new sheet'!$A$1:$IV$65536,2,0),0)</f>
        <v>54.3</v>
      </c>
    </row>
    <row r="1297" spans="1:8" ht="24" customHeight="1">
      <c r="A1297" s="7">
        <v>100011</v>
      </c>
      <c r="B1297" s="7">
        <v>3134</v>
      </c>
      <c r="C1297" s="8" t="s">
        <v>1065</v>
      </c>
      <c r="D1297" s="8" t="s">
        <v>1935</v>
      </c>
      <c r="E1297" s="2">
        <f>IFERROR(VLOOKUP(B1297,'[1]new sheet'!$A$1:$IV$65536,5,FALSE),0)</f>
        <v>0</v>
      </c>
      <c r="F1297" s="3">
        <f>IFERROR(VLOOKUP(B1297,'[1]new sheet'!$A$1:$IV$65536,4,FALSE),0)</f>
        <v>0</v>
      </c>
      <c r="G1297" s="4">
        <f>IFERROR(VLOOKUP(B1297,'[2]new sheet'!$A$1:$IV$65536,2,0),0)</f>
        <v>0</v>
      </c>
      <c r="H1297" s="5">
        <f>IFERROR(VLOOKUP(B1297,'[3]new sheet'!$A$1:$IV$65536,2,0),0)</f>
        <v>0</v>
      </c>
    </row>
    <row r="1298" spans="1:8" ht="24" customHeight="1">
      <c r="A1298" s="7">
        <v>3</v>
      </c>
      <c r="B1298" s="7">
        <v>2576</v>
      </c>
      <c r="C1298" s="8" t="s">
        <v>1066</v>
      </c>
      <c r="D1298" s="8" t="s">
        <v>1935</v>
      </c>
      <c r="E1298" s="2">
        <f>IFERROR(VLOOKUP(B1298,'[1]new sheet'!$A$1:$IV$65536,5,FALSE),0)</f>
        <v>0</v>
      </c>
      <c r="F1298" s="3">
        <f>IFERROR(VLOOKUP(B1298,'[1]new sheet'!$A$1:$IV$65536,4,FALSE),0)</f>
        <v>0</v>
      </c>
      <c r="G1298" s="4">
        <f>IFERROR(VLOOKUP(B1298,'[2]new sheet'!$A$1:$IV$65536,2,0),0)</f>
        <v>0</v>
      </c>
      <c r="H1298" s="5">
        <f>IFERROR(VLOOKUP(B1298,'[3]new sheet'!$A$1:$IV$65536,2,0),0)</f>
        <v>0</v>
      </c>
    </row>
    <row r="1299" spans="1:8" ht="24" customHeight="1">
      <c r="A1299" s="7">
        <v>4225822</v>
      </c>
      <c r="B1299" s="7">
        <v>3626</v>
      </c>
      <c r="C1299" s="8" t="s">
        <v>1067</v>
      </c>
      <c r="D1299" s="8" t="s">
        <v>1934</v>
      </c>
      <c r="E1299" s="2">
        <f>IFERROR(VLOOKUP(B1299,'[1]new sheet'!$A$1:$IV$65536,5,FALSE),0)</f>
        <v>65</v>
      </c>
      <c r="F1299" s="3">
        <f>IFERROR(VLOOKUP(B1299,'[1]new sheet'!$A$1:$IV$65536,4,FALSE),0)</f>
        <v>0</v>
      </c>
      <c r="G1299" s="4">
        <f>IFERROR(VLOOKUP(B1299,'[2]new sheet'!$A$1:$IV$65536,2,0),0)</f>
        <v>23</v>
      </c>
      <c r="H1299" s="5">
        <f>IFERROR(VLOOKUP(B1299,'[3]new sheet'!$A$1:$IV$65536,2,0),0)</f>
        <v>5</v>
      </c>
    </row>
    <row r="1300" spans="1:8" ht="24" customHeight="1">
      <c r="A1300" s="7">
        <v>4225827</v>
      </c>
      <c r="B1300" s="7">
        <v>3902</v>
      </c>
      <c r="C1300" s="8" t="s">
        <v>1602</v>
      </c>
      <c r="D1300" s="8" t="s">
        <v>1934</v>
      </c>
      <c r="E1300" s="2">
        <f>IFERROR(VLOOKUP(B1300,'[1]new sheet'!$A$1:$IV$65536,5,FALSE),0)</f>
        <v>1</v>
      </c>
      <c r="F1300" s="3">
        <f>IFERROR(VLOOKUP(B1300,'[1]new sheet'!$A$1:$IV$65536,4,FALSE),0)</f>
        <v>0</v>
      </c>
      <c r="G1300" s="4">
        <f>IFERROR(VLOOKUP(B1300,'[2]new sheet'!$A$1:$IV$65536,2,0),0)</f>
        <v>1</v>
      </c>
      <c r="H1300" s="5">
        <f>IFERROR(VLOOKUP(B1300,'[3]new sheet'!$A$1:$IV$65536,2,0),0)</f>
        <v>1</v>
      </c>
    </row>
    <row r="1301" spans="1:8" ht="24" customHeight="1">
      <c r="A1301" s="7">
        <v>4225824</v>
      </c>
      <c r="B1301" s="7">
        <v>3627</v>
      </c>
      <c r="C1301" s="8" t="s">
        <v>1068</v>
      </c>
      <c r="D1301" s="8" t="s">
        <v>1934</v>
      </c>
      <c r="E1301" s="2">
        <f>IFERROR(VLOOKUP(B1301,'[1]new sheet'!$A$1:$IV$65536,5,FALSE),0)</f>
        <v>64</v>
      </c>
      <c r="F1301" s="3">
        <f>IFERROR(VLOOKUP(B1301,'[1]new sheet'!$A$1:$IV$65536,4,FALSE),0)</f>
        <v>0</v>
      </c>
      <c r="G1301" s="4">
        <f>IFERROR(VLOOKUP(B1301,'[2]new sheet'!$A$1:$IV$65536,2,0),0)</f>
        <v>25</v>
      </c>
      <c r="H1301" s="5">
        <f>IFERROR(VLOOKUP(B1301,'[3]new sheet'!$A$1:$IV$65536,2,0),0)</f>
        <v>6</v>
      </c>
    </row>
    <row r="1302" spans="1:8" ht="24" customHeight="1">
      <c r="A1302" s="7">
        <v>4225826</v>
      </c>
      <c r="B1302" s="7">
        <v>3628</v>
      </c>
      <c r="C1302" s="8" t="s">
        <v>1069</v>
      </c>
      <c r="D1302" s="8" t="s">
        <v>1934</v>
      </c>
      <c r="E1302" s="2">
        <f>IFERROR(VLOOKUP(B1302,'[1]new sheet'!$A$1:$IV$65536,5,FALSE),0)</f>
        <v>70</v>
      </c>
      <c r="F1302" s="3">
        <f>IFERROR(VLOOKUP(B1302,'[1]new sheet'!$A$1:$IV$65536,4,FALSE),0)</f>
        <v>0</v>
      </c>
      <c r="G1302" s="4">
        <f>IFERROR(VLOOKUP(B1302,'[2]new sheet'!$A$1:$IV$65536,2,0),0)</f>
        <v>26</v>
      </c>
      <c r="H1302" s="5">
        <f>IFERROR(VLOOKUP(B1302,'[3]new sheet'!$A$1:$IV$65536,2,0),0)</f>
        <v>2</v>
      </c>
    </row>
    <row r="1303" spans="1:8" ht="24" customHeight="1">
      <c r="A1303" s="7">
        <v>4225847</v>
      </c>
      <c r="B1303" s="7">
        <v>3901</v>
      </c>
      <c r="C1303" s="8" t="s">
        <v>1603</v>
      </c>
      <c r="D1303" s="8" t="s">
        <v>1934</v>
      </c>
      <c r="E1303" s="2">
        <f>IFERROR(VLOOKUP(B1303,'[1]new sheet'!$A$1:$IV$65536,5,FALSE),0)</f>
        <v>0</v>
      </c>
      <c r="F1303" s="3">
        <f>IFERROR(VLOOKUP(B1303,'[1]new sheet'!$A$1:$IV$65536,4,FALSE),0)</f>
        <v>0</v>
      </c>
      <c r="G1303" s="4">
        <f>IFERROR(VLOOKUP(B1303,'[2]new sheet'!$A$1:$IV$65536,2,0),0)</f>
        <v>0</v>
      </c>
      <c r="H1303" s="5">
        <f>IFERROR(VLOOKUP(B1303,'[3]new sheet'!$A$1:$IV$65536,2,0),0)</f>
        <v>0</v>
      </c>
    </row>
    <row r="1304" spans="1:8" ht="24" customHeight="1">
      <c r="A1304" s="7">
        <v>4225823</v>
      </c>
      <c r="B1304" s="7">
        <v>3629</v>
      </c>
      <c r="C1304" s="8" t="s">
        <v>1070</v>
      </c>
      <c r="D1304" s="8" t="s">
        <v>1934</v>
      </c>
      <c r="E1304" s="2">
        <f>IFERROR(VLOOKUP(B1304,'[1]new sheet'!$A$1:$IV$65536,5,FALSE),0)</f>
        <v>108</v>
      </c>
      <c r="F1304" s="3">
        <f>IFERROR(VLOOKUP(B1304,'[1]new sheet'!$A$1:$IV$65536,4,FALSE),0)</f>
        <v>0</v>
      </c>
      <c r="G1304" s="4">
        <f>IFERROR(VLOOKUP(B1304,'[2]new sheet'!$A$1:$IV$65536,2,0),0)</f>
        <v>25</v>
      </c>
      <c r="H1304" s="5">
        <f>IFERROR(VLOOKUP(B1304,'[3]new sheet'!$A$1:$IV$65536,2,0),0)</f>
        <v>3</v>
      </c>
    </row>
    <row r="1305" spans="1:8" ht="24" customHeight="1">
      <c r="A1305" s="7">
        <v>4225845</v>
      </c>
      <c r="B1305" s="7">
        <v>3900</v>
      </c>
      <c r="C1305" s="8" t="s">
        <v>1604</v>
      </c>
      <c r="D1305" s="8" t="s">
        <v>1934</v>
      </c>
      <c r="E1305" s="2">
        <f>IFERROR(VLOOKUP(B1305,'[1]new sheet'!$A$1:$IV$65536,5,FALSE),0)</f>
        <v>0</v>
      </c>
      <c r="F1305" s="3">
        <f>IFERROR(VLOOKUP(B1305,'[1]new sheet'!$A$1:$IV$65536,4,FALSE),0)</f>
        <v>0</v>
      </c>
      <c r="G1305" s="4">
        <f>IFERROR(VLOOKUP(B1305,'[2]new sheet'!$A$1:$IV$65536,2,0),0)</f>
        <v>1</v>
      </c>
      <c r="H1305" s="5">
        <f>IFERROR(VLOOKUP(B1305,'[3]new sheet'!$A$1:$IV$65536,2,0),0)</f>
        <v>0</v>
      </c>
    </row>
    <row r="1306" spans="1:8" ht="24" customHeight="1">
      <c r="A1306" s="7">
        <v>4225828</v>
      </c>
      <c r="B1306" s="7">
        <v>3903</v>
      </c>
      <c r="C1306" s="8" t="s">
        <v>1605</v>
      </c>
      <c r="D1306" s="8" t="s">
        <v>1934</v>
      </c>
      <c r="E1306" s="2">
        <f>IFERROR(VLOOKUP(B1306,'[1]new sheet'!$A$1:$IV$65536,5,FALSE),0)</f>
        <v>0</v>
      </c>
      <c r="F1306" s="3">
        <f>IFERROR(VLOOKUP(B1306,'[1]new sheet'!$A$1:$IV$65536,4,FALSE),0)</f>
        <v>1</v>
      </c>
      <c r="G1306" s="4">
        <f>IFERROR(VLOOKUP(B1306,'[2]new sheet'!$A$1:$IV$65536,2,0),0)</f>
        <v>6</v>
      </c>
      <c r="H1306" s="5">
        <f>IFERROR(VLOOKUP(B1306,'[3]new sheet'!$A$1:$IV$65536,2,0),0)</f>
        <v>0</v>
      </c>
    </row>
    <row r="1307" spans="1:8" ht="24" customHeight="1">
      <c r="A1307" s="7">
        <v>4225825</v>
      </c>
      <c r="B1307" s="7">
        <v>3630</v>
      </c>
      <c r="C1307" s="8" t="s">
        <v>1071</v>
      </c>
      <c r="D1307" s="8" t="s">
        <v>1934</v>
      </c>
      <c r="E1307" s="2">
        <f>IFERROR(VLOOKUP(B1307,'[1]new sheet'!$A$1:$IV$65536,5,FALSE),0)</f>
        <v>163</v>
      </c>
      <c r="F1307" s="3">
        <f>IFERROR(VLOOKUP(B1307,'[1]new sheet'!$A$1:$IV$65536,4,FALSE),0)</f>
        <v>0</v>
      </c>
      <c r="G1307" s="4">
        <f>IFERROR(VLOOKUP(B1307,'[2]new sheet'!$A$1:$IV$65536,2,0),0)</f>
        <v>34</v>
      </c>
      <c r="H1307" s="5">
        <f>IFERROR(VLOOKUP(B1307,'[3]new sheet'!$A$1:$IV$65536,2,0),0)</f>
        <v>4</v>
      </c>
    </row>
    <row r="1308" spans="1:8" ht="24" customHeight="1">
      <c r="A1308" s="7">
        <v>17939</v>
      </c>
      <c r="B1308" s="7">
        <v>3775</v>
      </c>
      <c r="C1308" s="8" t="s">
        <v>1537</v>
      </c>
      <c r="D1308" s="8" t="s">
        <v>1939</v>
      </c>
      <c r="E1308" s="2">
        <f>IFERROR(VLOOKUP(B1308,'[1]new sheet'!$A$1:$IV$65536,5,FALSE),0)</f>
        <v>81</v>
      </c>
      <c r="F1308" s="3">
        <f>IFERROR(VLOOKUP(B1308,'[1]new sheet'!$A$1:$IV$65536,4,FALSE),0)</f>
        <v>2</v>
      </c>
      <c r="G1308" s="4">
        <f>IFERROR(VLOOKUP(B1308,'[2]new sheet'!$A$1:$IV$65536,2,0),0)</f>
        <v>60</v>
      </c>
      <c r="H1308" s="5">
        <f>IFERROR(VLOOKUP(B1308,'[3]new sheet'!$A$1:$IV$65536,2,0),0)</f>
        <v>17</v>
      </c>
    </row>
    <row r="1309" spans="1:8" ht="24" customHeight="1">
      <c r="A1309" s="7">
        <v>17940</v>
      </c>
      <c r="B1309" s="7">
        <v>4027</v>
      </c>
      <c r="C1309" s="8" t="s">
        <v>1697</v>
      </c>
      <c r="D1309" s="8" t="s">
        <v>1937</v>
      </c>
      <c r="E1309" s="2">
        <f>IFERROR(VLOOKUP(B1309,'[1]new sheet'!$A$1:$IV$65536,5,FALSE),0)</f>
        <v>0</v>
      </c>
      <c r="F1309" s="3">
        <f>IFERROR(VLOOKUP(B1309,'[1]new sheet'!$A$1:$IV$65536,4,FALSE),0)</f>
        <v>0</v>
      </c>
      <c r="G1309" s="4">
        <f>IFERROR(VLOOKUP(B1309,'[2]new sheet'!$A$1:$IV$65536,2,0),0)</f>
        <v>127</v>
      </c>
      <c r="H1309" s="5">
        <f>IFERROR(VLOOKUP(B1309,'[3]new sheet'!$A$1:$IV$65536,2,0),0)</f>
        <v>45</v>
      </c>
    </row>
    <row r="1310" spans="1:8" ht="24" customHeight="1">
      <c r="A1310" s="7">
        <v>17937</v>
      </c>
      <c r="B1310" s="7">
        <v>4025</v>
      </c>
      <c r="C1310" s="8" t="s">
        <v>1682</v>
      </c>
      <c r="D1310" s="8" t="s">
        <v>1934</v>
      </c>
      <c r="E1310" s="2">
        <f>IFERROR(VLOOKUP(B1310,'[1]new sheet'!$A$1:$IV$65536,5,FALSE),0)</f>
        <v>11</v>
      </c>
      <c r="F1310" s="3">
        <f>IFERROR(VLOOKUP(B1310,'[1]new sheet'!$A$1:$IV$65536,4,FALSE),0)</f>
        <v>0</v>
      </c>
      <c r="G1310" s="4">
        <f>IFERROR(VLOOKUP(B1310,'[2]new sheet'!$A$1:$IV$65536,2,0),0)</f>
        <v>29</v>
      </c>
      <c r="H1310" s="5">
        <f>IFERROR(VLOOKUP(B1310,'[3]new sheet'!$A$1:$IV$65536,2,0),0)</f>
        <v>7</v>
      </c>
    </row>
    <row r="1311" spans="1:8" ht="24" customHeight="1">
      <c r="A1311" s="7">
        <v>275469000019</v>
      </c>
      <c r="B1311" s="7">
        <v>685</v>
      </c>
      <c r="C1311" s="8" t="s">
        <v>1072</v>
      </c>
      <c r="D1311" s="8" t="s">
        <v>1934</v>
      </c>
      <c r="E1311" s="2">
        <f>IFERROR(VLOOKUP(B1311,'[1]new sheet'!$A$1:$IV$65536,5,FALSE),0)</f>
        <v>0</v>
      </c>
      <c r="F1311" s="3">
        <f>IFERROR(VLOOKUP(B1311,'[1]new sheet'!$A$1:$IV$65536,4,FALSE),0)</f>
        <v>0</v>
      </c>
      <c r="G1311" s="4">
        <f>IFERROR(VLOOKUP(B1311,'[2]new sheet'!$A$1:$IV$65536,2,0),0)</f>
        <v>0</v>
      </c>
      <c r="H1311" s="5">
        <f>IFERROR(VLOOKUP(B1311,'[3]new sheet'!$A$1:$IV$65536,2,0),0)</f>
        <v>0</v>
      </c>
    </row>
    <row r="1312" spans="1:8" ht="24" customHeight="1">
      <c r="A1312" s="7"/>
      <c r="B1312" s="7">
        <v>1778</v>
      </c>
      <c r="C1312" s="8" t="s">
        <v>1073</v>
      </c>
      <c r="D1312" s="8" t="s">
        <v>1938</v>
      </c>
      <c r="E1312" s="2">
        <f>IFERROR(VLOOKUP(B1312,'[1]new sheet'!$A$1:$IV$65536,5,FALSE),0)</f>
        <v>0</v>
      </c>
      <c r="F1312" s="3">
        <f>IFERROR(VLOOKUP(B1312,'[1]new sheet'!$A$1:$IV$65536,4,FALSE),0)</f>
        <v>0</v>
      </c>
      <c r="G1312" s="4">
        <f>IFERROR(VLOOKUP(B1312,'[2]new sheet'!$A$1:$IV$65536,2,0),0)</f>
        <v>0</v>
      </c>
      <c r="H1312" s="5">
        <f>IFERROR(VLOOKUP(B1312,'[3]new sheet'!$A$1:$IV$65536,2,0),0)</f>
        <v>0</v>
      </c>
    </row>
    <row r="1313" spans="1:8" ht="24" customHeight="1">
      <c r="A1313" s="7">
        <v>410</v>
      </c>
      <c r="B1313" s="7">
        <v>3359</v>
      </c>
      <c r="C1313" s="8" t="s">
        <v>1074</v>
      </c>
      <c r="D1313" s="8" t="s">
        <v>1934</v>
      </c>
      <c r="E1313" s="2">
        <f>IFERROR(VLOOKUP(B1313,'[1]new sheet'!$A$1:$IV$65536,5,FALSE),0)</f>
        <v>0</v>
      </c>
      <c r="F1313" s="3">
        <f>IFERROR(VLOOKUP(B1313,'[1]new sheet'!$A$1:$IV$65536,4,FALSE),0)</f>
        <v>0</v>
      </c>
      <c r="G1313" s="4">
        <f>IFERROR(VLOOKUP(B1313,'[2]new sheet'!$A$1:$IV$65536,2,0),0)</f>
        <v>0</v>
      </c>
      <c r="H1313" s="5">
        <f>IFERROR(VLOOKUP(B1313,'[3]new sheet'!$A$1:$IV$65536,2,0),0)</f>
        <v>0</v>
      </c>
    </row>
    <row r="1314" spans="1:8" ht="24" customHeight="1">
      <c r="A1314" s="7"/>
      <c r="B1314" s="7">
        <v>1777</v>
      </c>
      <c r="C1314" s="8" t="s">
        <v>1075</v>
      </c>
      <c r="D1314" s="8" t="s">
        <v>1938</v>
      </c>
      <c r="E1314" s="2">
        <f>IFERROR(VLOOKUP(B1314,'[1]new sheet'!$A$1:$IV$65536,5,FALSE),0)</f>
        <v>0</v>
      </c>
      <c r="F1314" s="3">
        <f>IFERROR(VLOOKUP(B1314,'[1]new sheet'!$A$1:$IV$65536,4,FALSE),0)</f>
        <v>0</v>
      </c>
      <c r="G1314" s="4">
        <f>IFERROR(VLOOKUP(B1314,'[2]new sheet'!$A$1:$IV$65536,2,0),0)</f>
        <v>0</v>
      </c>
      <c r="H1314" s="5">
        <f>IFERROR(VLOOKUP(B1314,'[3]new sheet'!$A$1:$IV$65536,2,0),0)</f>
        <v>0</v>
      </c>
    </row>
    <row r="1315" spans="1:8" ht="24" customHeight="1">
      <c r="A1315" s="7">
        <v>69520</v>
      </c>
      <c r="B1315" s="7">
        <v>355</v>
      </c>
      <c r="C1315" s="8" t="s">
        <v>1076</v>
      </c>
      <c r="D1315" s="8" t="s">
        <v>1938</v>
      </c>
      <c r="E1315" s="2">
        <f>IFERROR(VLOOKUP(B1315,'[1]new sheet'!$A$1:$IV$65536,5,FALSE),0)</f>
        <v>1228</v>
      </c>
      <c r="F1315" s="3">
        <f>IFERROR(VLOOKUP(B1315,'[1]new sheet'!$A$1:$IV$65536,4,FALSE),0)</f>
        <v>7</v>
      </c>
      <c r="G1315" s="4">
        <f>IFERROR(VLOOKUP(B1315,'[2]new sheet'!$A$1:$IV$65536,2,0),0)</f>
        <v>755</v>
      </c>
      <c r="H1315" s="5">
        <f>IFERROR(VLOOKUP(B1315,'[3]new sheet'!$A$1:$IV$65536,2,0),0)</f>
        <v>107</v>
      </c>
    </row>
    <row r="1316" spans="1:8" ht="24" customHeight="1">
      <c r="A1316" s="7">
        <v>135205</v>
      </c>
      <c r="B1316" s="7">
        <v>4026</v>
      </c>
      <c r="C1316" s="8" t="s">
        <v>1683</v>
      </c>
      <c r="D1316" s="8" t="s">
        <v>1934</v>
      </c>
      <c r="E1316" s="2">
        <f>IFERROR(VLOOKUP(B1316,'[1]new sheet'!$A$1:$IV$65536,5,FALSE),0)</f>
        <v>0</v>
      </c>
      <c r="F1316" s="3">
        <f>IFERROR(VLOOKUP(B1316,'[1]new sheet'!$A$1:$IV$65536,4,FALSE),0)</f>
        <v>0</v>
      </c>
      <c r="G1316" s="4">
        <f>IFERROR(VLOOKUP(B1316,'[2]new sheet'!$A$1:$IV$65536,2,0),0)</f>
        <v>0</v>
      </c>
      <c r="H1316" s="5">
        <f>IFERROR(VLOOKUP(B1316,'[3]new sheet'!$A$1:$IV$65536,2,0),0)</f>
        <v>0</v>
      </c>
    </row>
    <row r="1317" spans="1:8" ht="24" customHeight="1">
      <c r="A1317" s="7"/>
      <c r="B1317" s="7">
        <v>1785</v>
      </c>
      <c r="C1317" s="8" t="s">
        <v>1077</v>
      </c>
      <c r="D1317" s="8" t="s">
        <v>1938</v>
      </c>
      <c r="E1317" s="2">
        <f>IFERROR(VLOOKUP(B1317,'[1]new sheet'!$A$1:$IV$65536,5,FALSE),0)</f>
        <v>0</v>
      </c>
      <c r="F1317" s="3">
        <f>IFERROR(VLOOKUP(B1317,'[1]new sheet'!$A$1:$IV$65536,4,FALSE),0)</f>
        <v>0</v>
      </c>
      <c r="G1317" s="4">
        <f>IFERROR(VLOOKUP(B1317,'[2]new sheet'!$A$1:$IV$65536,2,0),0)</f>
        <v>0</v>
      </c>
      <c r="H1317" s="5">
        <f>IFERROR(VLOOKUP(B1317,'[3]new sheet'!$A$1:$IV$65536,2,0),0)</f>
        <v>0</v>
      </c>
    </row>
    <row r="1318" spans="1:8" ht="24" customHeight="1">
      <c r="A1318" s="7">
        <v>72209</v>
      </c>
      <c r="B1318" s="7">
        <v>354</v>
      </c>
      <c r="C1318" s="8" t="s">
        <v>1078</v>
      </c>
      <c r="D1318" s="8" t="s">
        <v>1934</v>
      </c>
      <c r="E1318" s="2">
        <f>IFERROR(VLOOKUP(B1318,'[1]new sheet'!$A$1:$IV$65536,5,FALSE),0)</f>
        <v>2131</v>
      </c>
      <c r="F1318" s="3">
        <f>IFERROR(VLOOKUP(B1318,'[1]new sheet'!$A$1:$IV$65536,4,FALSE),0)</f>
        <v>37</v>
      </c>
      <c r="G1318" s="4">
        <f>IFERROR(VLOOKUP(B1318,'[2]new sheet'!$A$1:$IV$65536,2,0),0)</f>
        <v>1209</v>
      </c>
      <c r="H1318" s="5">
        <f>IFERROR(VLOOKUP(B1318,'[3]new sheet'!$A$1:$IV$65536,2,0),0)</f>
        <v>374</v>
      </c>
    </row>
    <row r="1319" spans="1:8" ht="24" customHeight="1">
      <c r="A1319" s="7" t="s">
        <v>1079</v>
      </c>
      <c r="B1319" s="7">
        <v>839</v>
      </c>
      <c r="C1319" s="8" t="s">
        <v>1080</v>
      </c>
      <c r="D1319" s="8" t="s">
        <v>1935</v>
      </c>
      <c r="E1319" s="2">
        <f>IFERROR(VLOOKUP(B1319,'[1]new sheet'!$A$1:$IV$65536,5,FALSE),0)</f>
        <v>0</v>
      </c>
      <c r="F1319" s="3">
        <f>IFERROR(VLOOKUP(B1319,'[1]new sheet'!$A$1:$IV$65536,4,FALSE),0)</f>
        <v>0</v>
      </c>
      <c r="G1319" s="4">
        <f>IFERROR(VLOOKUP(B1319,'[2]new sheet'!$A$1:$IV$65536,2,0),0)</f>
        <v>0</v>
      </c>
      <c r="H1319" s="5">
        <f>IFERROR(VLOOKUP(B1319,'[3]new sheet'!$A$1:$IV$65536,2,0),0)</f>
        <v>0</v>
      </c>
    </row>
    <row r="1320" spans="1:8" ht="24" customHeight="1">
      <c r="A1320" s="7">
        <v>363</v>
      </c>
      <c r="B1320" s="7">
        <v>3960</v>
      </c>
      <c r="C1320" s="8" t="s">
        <v>1641</v>
      </c>
      <c r="D1320" s="8" t="s">
        <v>1935</v>
      </c>
      <c r="E1320" s="2">
        <f>IFERROR(VLOOKUP(B1320,'[1]new sheet'!$A$1:$IV$65536,5,FALSE),0)</f>
        <v>0</v>
      </c>
      <c r="F1320" s="3">
        <f>IFERROR(VLOOKUP(B1320,'[1]new sheet'!$A$1:$IV$65536,4,FALSE),0)</f>
        <v>0</v>
      </c>
      <c r="G1320" s="4">
        <f>IFERROR(VLOOKUP(B1320,'[2]new sheet'!$A$1:$IV$65536,2,0),0)</f>
        <v>0</v>
      </c>
      <c r="H1320" s="5">
        <f>IFERROR(VLOOKUP(B1320,'[3]new sheet'!$A$1:$IV$65536,2,0),0)</f>
        <v>0</v>
      </c>
    </row>
    <row r="1321" spans="1:8" ht="24" customHeight="1">
      <c r="A1321" s="7"/>
      <c r="B1321" s="7">
        <v>686</v>
      </c>
      <c r="C1321" s="8" t="s">
        <v>1081</v>
      </c>
      <c r="D1321" s="8" t="s">
        <v>1935</v>
      </c>
      <c r="E1321" s="2">
        <f>IFERROR(VLOOKUP(B1321,'[1]new sheet'!$A$1:$IV$65536,5,FALSE),0)</f>
        <v>0</v>
      </c>
      <c r="F1321" s="3">
        <f>IFERROR(VLOOKUP(B1321,'[1]new sheet'!$A$1:$IV$65536,4,FALSE),0)</f>
        <v>0</v>
      </c>
      <c r="G1321" s="4">
        <f>IFERROR(VLOOKUP(B1321,'[2]new sheet'!$A$1:$IV$65536,2,0),0)</f>
        <v>0</v>
      </c>
      <c r="H1321" s="5">
        <f>IFERROR(VLOOKUP(B1321,'[3]new sheet'!$A$1:$IV$65536,2,0),0)</f>
        <v>0</v>
      </c>
    </row>
    <row r="1322" spans="1:8" ht="24" customHeight="1">
      <c r="A1322" s="7" t="s">
        <v>1082</v>
      </c>
      <c r="B1322" s="7">
        <v>1020</v>
      </c>
      <c r="C1322" s="8" t="s">
        <v>1083</v>
      </c>
      <c r="D1322" s="8" t="s">
        <v>1935</v>
      </c>
      <c r="E1322" s="2">
        <f>IFERROR(VLOOKUP(B1322,'[1]new sheet'!$A$1:$IV$65536,5,FALSE),0)</f>
        <v>1536.28</v>
      </c>
      <c r="F1322" s="3">
        <f>IFERROR(VLOOKUP(B1322,'[1]new sheet'!$A$1:$IV$65536,4,FALSE),0)</f>
        <v>0</v>
      </c>
      <c r="G1322" s="4">
        <f>IFERROR(VLOOKUP(B1322,'[2]new sheet'!$A$1:$IV$65536,2,0),0)</f>
        <v>1062.77</v>
      </c>
      <c r="H1322" s="5">
        <f>IFERROR(VLOOKUP(B1322,'[3]new sheet'!$A$1:$IV$65536,2,0),0)</f>
        <v>529.4</v>
      </c>
    </row>
    <row r="1323" spans="1:8" ht="24" customHeight="1">
      <c r="A1323" s="7"/>
      <c r="B1323" s="7">
        <v>953</v>
      </c>
      <c r="C1323" s="8" t="s">
        <v>1084</v>
      </c>
      <c r="D1323" s="8" t="s">
        <v>1935</v>
      </c>
      <c r="E1323" s="2">
        <f>IFERROR(VLOOKUP(B1323,'[1]new sheet'!$A$1:$IV$65536,5,FALSE),0)</f>
        <v>0</v>
      </c>
      <c r="F1323" s="3">
        <f>IFERROR(VLOOKUP(B1323,'[1]new sheet'!$A$1:$IV$65536,4,FALSE),0)</f>
        <v>0</v>
      </c>
      <c r="G1323" s="4">
        <f>IFERROR(VLOOKUP(B1323,'[2]new sheet'!$A$1:$IV$65536,2,0),0)</f>
        <v>0</v>
      </c>
      <c r="H1323" s="5">
        <f>IFERROR(VLOOKUP(B1323,'[3]new sheet'!$A$1:$IV$65536,2,0),0)</f>
        <v>0</v>
      </c>
    </row>
    <row r="1324" spans="1:8" ht="24" customHeight="1">
      <c r="A1324" s="7">
        <v>218560</v>
      </c>
      <c r="B1324" s="7">
        <v>98</v>
      </c>
      <c r="C1324" s="8" t="s">
        <v>1085</v>
      </c>
      <c r="D1324" s="8" t="s">
        <v>1935</v>
      </c>
      <c r="E1324" s="2">
        <f>IFERROR(VLOOKUP(B1324,'[1]new sheet'!$A$1:$IV$65536,5,FALSE),0)</f>
        <v>960.11</v>
      </c>
      <c r="F1324" s="3">
        <f>IFERROR(VLOOKUP(B1324,'[1]new sheet'!$A$1:$IV$65536,4,FALSE),0)</f>
        <v>0</v>
      </c>
      <c r="G1324" s="4">
        <f>IFERROR(VLOOKUP(B1324,'[2]new sheet'!$A$1:$IV$65536,2,0),0)</f>
        <v>560.17999999999995</v>
      </c>
      <c r="H1324" s="5">
        <f>IFERROR(VLOOKUP(B1324,'[3]new sheet'!$A$1:$IV$65536,2,0),0)</f>
        <v>223.29</v>
      </c>
    </row>
    <row r="1325" spans="1:8" ht="24" customHeight="1">
      <c r="A1325" s="7">
        <v>440</v>
      </c>
      <c r="B1325" s="7">
        <v>3823</v>
      </c>
      <c r="C1325" s="8" t="s">
        <v>1569</v>
      </c>
      <c r="D1325" s="8" t="s">
        <v>1935</v>
      </c>
      <c r="E1325" s="2">
        <f>IFERROR(VLOOKUP(B1325,'[1]new sheet'!$A$1:$IV$65536,5,FALSE),0)</f>
        <v>0.08</v>
      </c>
      <c r="F1325" s="3">
        <f>IFERROR(VLOOKUP(B1325,'[1]new sheet'!$A$1:$IV$65536,4,FALSE),0)</f>
        <v>0</v>
      </c>
      <c r="G1325" s="4">
        <f>IFERROR(VLOOKUP(B1325,'[2]new sheet'!$A$1:$IV$65536,2,0),0)</f>
        <v>0</v>
      </c>
      <c r="H1325" s="5">
        <f>IFERROR(VLOOKUP(B1325,'[3]new sheet'!$A$1:$IV$65536,2,0),0)</f>
        <v>0</v>
      </c>
    </row>
    <row r="1326" spans="1:8" ht="24" customHeight="1">
      <c r="A1326" s="7">
        <v>716</v>
      </c>
      <c r="B1326" s="7">
        <v>1213</v>
      </c>
      <c r="C1326" s="8" t="s">
        <v>1086</v>
      </c>
      <c r="D1326" s="8" t="s">
        <v>1935</v>
      </c>
      <c r="E1326" s="2">
        <f>IFERROR(VLOOKUP(B1326,'[1]new sheet'!$A$1:$IV$65536,5,FALSE),0)</f>
        <v>0.05</v>
      </c>
      <c r="F1326" s="3">
        <f>IFERROR(VLOOKUP(B1326,'[1]new sheet'!$A$1:$IV$65536,4,FALSE),0)</f>
        <v>0</v>
      </c>
      <c r="G1326" s="4">
        <f>IFERROR(VLOOKUP(B1326,'[2]new sheet'!$A$1:$IV$65536,2,0),0)</f>
        <v>0</v>
      </c>
      <c r="H1326" s="5">
        <f>IFERROR(VLOOKUP(B1326,'[3]new sheet'!$A$1:$IV$65536,2,0),0)</f>
        <v>0</v>
      </c>
    </row>
    <row r="1327" spans="1:8" ht="24" customHeight="1">
      <c r="A1327" s="7">
        <v>114271</v>
      </c>
      <c r="B1327" s="7">
        <v>2717</v>
      </c>
      <c r="C1327" s="8" t="s">
        <v>1087</v>
      </c>
      <c r="D1327" s="8" t="s">
        <v>1935</v>
      </c>
      <c r="E1327" s="2">
        <f>IFERROR(VLOOKUP(B1327,'[1]new sheet'!$A$1:$IV$65536,5,FALSE),0)</f>
        <v>0</v>
      </c>
      <c r="F1327" s="3">
        <f>IFERROR(VLOOKUP(B1327,'[1]new sheet'!$A$1:$IV$65536,4,FALSE),0)</f>
        <v>0</v>
      </c>
      <c r="G1327" s="4">
        <f>IFERROR(VLOOKUP(B1327,'[2]new sheet'!$A$1:$IV$65536,2,0),0)</f>
        <v>0</v>
      </c>
      <c r="H1327" s="5">
        <f>IFERROR(VLOOKUP(B1327,'[3]new sheet'!$A$1:$IV$65536,2,0),0)</f>
        <v>0</v>
      </c>
    </row>
    <row r="1328" spans="1:8" ht="24" customHeight="1">
      <c r="A1328" s="7">
        <v>9000011691</v>
      </c>
      <c r="B1328" s="7">
        <v>3168</v>
      </c>
      <c r="C1328" s="8" t="s">
        <v>1088</v>
      </c>
      <c r="D1328" s="8" t="s">
        <v>1935</v>
      </c>
      <c r="E1328" s="2">
        <f>IFERROR(VLOOKUP(B1328,'[1]new sheet'!$A$1:$IV$65536,5,FALSE),0)</f>
        <v>0</v>
      </c>
      <c r="F1328" s="3">
        <f>IFERROR(VLOOKUP(B1328,'[1]new sheet'!$A$1:$IV$65536,4,FALSE),0)</f>
        <v>0</v>
      </c>
      <c r="G1328" s="4">
        <f>IFERROR(VLOOKUP(B1328,'[2]new sheet'!$A$1:$IV$65536,2,0),0)</f>
        <v>0</v>
      </c>
      <c r="H1328" s="5">
        <f>IFERROR(VLOOKUP(B1328,'[3]new sheet'!$A$1:$IV$65536,2,0),0)</f>
        <v>0</v>
      </c>
    </row>
    <row r="1329" spans="1:8" ht="24" customHeight="1">
      <c r="A1329" s="7">
        <v>0</v>
      </c>
      <c r="B1329" s="7">
        <v>99</v>
      </c>
      <c r="C1329" s="8" t="s">
        <v>1089</v>
      </c>
      <c r="D1329" s="8" t="s">
        <v>1935</v>
      </c>
      <c r="E1329" s="2">
        <f>IFERROR(VLOOKUP(B1329,'[1]new sheet'!$A$1:$IV$65536,5,FALSE),0)</f>
        <v>0</v>
      </c>
      <c r="F1329" s="3">
        <f>IFERROR(VLOOKUP(B1329,'[1]new sheet'!$A$1:$IV$65536,4,FALSE),0)</f>
        <v>0</v>
      </c>
      <c r="G1329" s="4">
        <f>IFERROR(VLOOKUP(B1329,'[2]new sheet'!$A$1:$IV$65536,2,0),0)</f>
        <v>0</v>
      </c>
      <c r="H1329" s="5">
        <f>IFERROR(VLOOKUP(B1329,'[3]new sheet'!$A$1:$IV$65536,2,0),0)</f>
        <v>0</v>
      </c>
    </row>
    <row r="1330" spans="1:8" ht="24" customHeight="1">
      <c r="A1330" s="7">
        <v>9000011762</v>
      </c>
      <c r="B1330" s="7">
        <v>3174</v>
      </c>
      <c r="C1330" s="8" t="s">
        <v>1090</v>
      </c>
      <c r="D1330" s="8" t="s">
        <v>1935</v>
      </c>
      <c r="E1330" s="2">
        <f>IFERROR(VLOOKUP(B1330,'[1]new sheet'!$A$1:$IV$65536,5,FALSE),0)</f>
        <v>0</v>
      </c>
      <c r="F1330" s="3">
        <f>IFERROR(VLOOKUP(B1330,'[1]new sheet'!$A$1:$IV$65536,4,FALSE),0)</f>
        <v>0</v>
      </c>
      <c r="G1330" s="4">
        <f>IFERROR(VLOOKUP(B1330,'[2]new sheet'!$A$1:$IV$65536,2,0),0)</f>
        <v>21.26</v>
      </c>
      <c r="H1330" s="5">
        <f>IFERROR(VLOOKUP(B1330,'[3]new sheet'!$A$1:$IV$65536,2,0),0)</f>
        <v>0</v>
      </c>
    </row>
    <row r="1331" spans="1:8" ht="24" customHeight="1">
      <c r="A1331" s="7">
        <v>33109</v>
      </c>
      <c r="B1331" s="7">
        <v>2604</v>
      </c>
      <c r="C1331" s="8" t="s">
        <v>1091</v>
      </c>
      <c r="D1331" s="8" t="s">
        <v>1935</v>
      </c>
      <c r="E1331" s="2">
        <f>IFERROR(VLOOKUP(B1331,'[1]new sheet'!$A$1:$IV$65536,5,FALSE),0)</f>
        <v>0.06</v>
      </c>
      <c r="F1331" s="3">
        <f>IFERROR(VLOOKUP(B1331,'[1]new sheet'!$A$1:$IV$65536,4,FALSE),0)</f>
        <v>0</v>
      </c>
      <c r="G1331" s="4">
        <f>IFERROR(VLOOKUP(B1331,'[2]new sheet'!$A$1:$IV$65536,2,0),0)</f>
        <v>0</v>
      </c>
      <c r="H1331" s="5">
        <f>IFERROR(VLOOKUP(B1331,'[3]new sheet'!$A$1:$IV$65536,2,0),0)</f>
        <v>0</v>
      </c>
    </row>
    <row r="1332" spans="1:8" ht="24" customHeight="1">
      <c r="A1332" s="7" t="s">
        <v>1092</v>
      </c>
      <c r="B1332" s="7">
        <v>125</v>
      </c>
      <c r="C1332" s="8" t="s">
        <v>1093</v>
      </c>
      <c r="D1332" s="8" t="s">
        <v>1935</v>
      </c>
      <c r="E1332" s="2">
        <f>IFERROR(VLOOKUP(B1332,'[1]new sheet'!$A$1:$IV$65536,5,FALSE),0)</f>
        <v>94.79</v>
      </c>
      <c r="F1332" s="3">
        <f>IFERROR(VLOOKUP(B1332,'[1]new sheet'!$A$1:$IV$65536,4,FALSE),0)</f>
        <v>0</v>
      </c>
      <c r="G1332" s="4">
        <f>IFERROR(VLOOKUP(B1332,'[2]new sheet'!$A$1:$IV$65536,2,0),0)</f>
        <v>4199.9799999999996</v>
      </c>
      <c r="H1332" s="5">
        <f>IFERROR(VLOOKUP(B1332,'[3]new sheet'!$A$1:$IV$65536,2,0),0)</f>
        <v>1866.22</v>
      </c>
    </row>
    <row r="1333" spans="1:8" ht="24" customHeight="1">
      <c r="A1333" s="7"/>
      <c r="B1333" s="7">
        <v>126</v>
      </c>
      <c r="C1333" s="8" t="s">
        <v>1757</v>
      </c>
      <c r="D1333" s="8" t="s">
        <v>1935</v>
      </c>
      <c r="E1333" s="2">
        <f>IFERROR(VLOOKUP(B1333,'[1]new sheet'!$A$1:$IV$65536,5,FALSE),0)</f>
        <v>3498.81</v>
      </c>
      <c r="F1333" s="3">
        <f>IFERROR(VLOOKUP(B1333,'[1]new sheet'!$A$1:$IV$65536,4,FALSE),0)</f>
        <v>300</v>
      </c>
      <c r="G1333" s="4">
        <f>IFERROR(VLOOKUP(B1333,'[2]new sheet'!$A$1:$IV$65536,2,0),0)</f>
        <v>763.02</v>
      </c>
      <c r="H1333" s="5">
        <f>IFERROR(VLOOKUP(B1333,'[3]new sheet'!$A$1:$IV$65536,2,0),0)</f>
        <v>259.44</v>
      </c>
    </row>
    <row r="1334" spans="1:8" ht="24" customHeight="1">
      <c r="A1334" s="7"/>
      <c r="B1334" s="7">
        <v>772</v>
      </c>
      <c r="C1334" s="8" t="s">
        <v>1094</v>
      </c>
      <c r="D1334" s="8" t="s">
        <v>1935</v>
      </c>
      <c r="E1334" s="2">
        <f>IFERROR(VLOOKUP(B1334,'[1]new sheet'!$A$1:$IV$65536,5,FALSE),0)</f>
        <v>0</v>
      </c>
      <c r="F1334" s="3">
        <f>IFERROR(VLOOKUP(B1334,'[1]new sheet'!$A$1:$IV$65536,4,FALSE),0)</f>
        <v>0</v>
      </c>
      <c r="G1334" s="4">
        <f>IFERROR(VLOOKUP(B1334,'[2]new sheet'!$A$1:$IV$65536,2,0),0)</f>
        <v>0</v>
      </c>
      <c r="H1334" s="5">
        <f>IFERROR(VLOOKUP(B1334,'[3]new sheet'!$A$1:$IV$65536,2,0),0)</f>
        <v>0</v>
      </c>
    </row>
    <row r="1335" spans="1:8" ht="24" customHeight="1">
      <c r="A1335" s="7" t="s">
        <v>1095</v>
      </c>
      <c r="B1335" s="7">
        <v>2272</v>
      </c>
      <c r="C1335" s="8" t="s">
        <v>1096</v>
      </c>
      <c r="D1335" s="8" t="s">
        <v>1935</v>
      </c>
      <c r="E1335" s="2">
        <f>IFERROR(VLOOKUP(B1335,'[1]new sheet'!$A$1:$IV$65536,5,FALSE),0)</f>
        <v>0</v>
      </c>
      <c r="F1335" s="3">
        <f>IFERROR(VLOOKUP(B1335,'[1]new sheet'!$A$1:$IV$65536,4,FALSE),0)</f>
        <v>0</v>
      </c>
      <c r="G1335" s="4">
        <f>IFERROR(VLOOKUP(B1335,'[2]new sheet'!$A$1:$IV$65536,2,0),0)</f>
        <v>0</v>
      </c>
      <c r="H1335" s="5">
        <f>IFERROR(VLOOKUP(B1335,'[3]new sheet'!$A$1:$IV$65536,2,0),0)</f>
        <v>0</v>
      </c>
    </row>
    <row r="1336" spans="1:8" ht="24" customHeight="1">
      <c r="A1336" s="7" t="s">
        <v>1097</v>
      </c>
      <c r="B1336" s="7">
        <v>1631</v>
      </c>
      <c r="C1336" s="8" t="s">
        <v>1098</v>
      </c>
      <c r="D1336" s="8" t="s">
        <v>1935</v>
      </c>
      <c r="E1336" s="2">
        <f>IFERROR(VLOOKUP(B1336,'[1]new sheet'!$A$1:$IV$65536,5,FALSE),0)</f>
        <v>0</v>
      </c>
      <c r="F1336" s="3">
        <f>IFERROR(VLOOKUP(B1336,'[1]new sheet'!$A$1:$IV$65536,4,FALSE),0)</f>
        <v>0</v>
      </c>
      <c r="G1336" s="4">
        <f>IFERROR(VLOOKUP(B1336,'[2]new sheet'!$A$1:$IV$65536,2,0),0)</f>
        <v>0</v>
      </c>
      <c r="H1336" s="5">
        <f>IFERROR(VLOOKUP(B1336,'[3]new sheet'!$A$1:$IV$65536,2,0),0)</f>
        <v>0</v>
      </c>
    </row>
    <row r="1337" spans="1:8" ht="24" customHeight="1">
      <c r="A1337" s="7"/>
      <c r="B1337" s="7">
        <v>352</v>
      </c>
      <c r="C1337" s="8" t="s">
        <v>1099</v>
      </c>
      <c r="D1337" s="8" t="s">
        <v>1934</v>
      </c>
      <c r="E1337" s="2">
        <f>IFERROR(VLOOKUP(B1337,'[1]new sheet'!$A$1:$IV$65536,5,FALSE),0)</f>
        <v>0</v>
      </c>
      <c r="F1337" s="3">
        <f>IFERROR(VLOOKUP(B1337,'[1]new sheet'!$A$1:$IV$65536,4,FALSE),0)</f>
        <v>0</v>
      </c>
      <c r="G1337" s="4">
        <f>IFERROR(VLOOKUP(B1337,'[2]new sheet'!$A$1:$IV$65536,2,0),0)</f>
        <v>0</v>
      </c>
      <c r="H1337" s="5">
        <f>IFERROR(VLOOKUP(B1337,'[3]new sheet'!$A$1:$IV$65536,2,0),0)</f>
        <v>0</v>
      </c>
    </row>
    <row r="1338" spans="1:8" ht="24" customHeight="1">
      <c r="A1338" s="7">
        <v>27177</v>
      </c>
      <c r="B1338" s="7">
        <v>1899</v>
      </c>
      <c r="C1338" s="8" t="s">
        <v>1100</v>
      </c>
      <c r="D1338" s="8" t="s">
        <v>1935</v>
      </c>
      <c r="E1338" s="2">
        <f>IFERROR(VLOOKUP(B1338,'[1]new sheet'!$A$1:$IV$65536,5,FALSE),0)</f>
        <v>9.07</v>
      </c>
      <c r="F1338" s="3">
        <f>IFERROR(VLOOKUP(B1338,'[1]new sheet'!$A$1:$IV$65536,4,FALSE),0)</f>
        <v>0</v>
      </c>
      <c r="G1338" s="4">
        <f>IFERROR(VLOOKUP(B1338,'[2]new sheet'!$A$1:$IV$65536,2,0),0)</f>
        <v>0</v>
      </c>
      <c r="H1338" s="5">
        <f>IFERROR(VLOOKUP(B1338,'[3]new sheet'!$A$1:$IV$65536,2,0),0)</f>
        <v>0</v>
      </c>
    </row>
    <row r="1339" spans="1:8" ht="24" customHeight="1">
      <c r="A1339" s="7">
        <v>992989</v>
      </c>
      <c r="B1339" s="7">
        <v>1901</v>
      </c>
      <c r="C1339" s="8" t="s">
        <v>1101</v>
      </c>
      <c r="D1339" s="8" t="s">
        <v>1934</v>
      </c>
      <c r="E1339" s="2">
        <f>IFERROR(VLOOKUP(B1339,'[1]new sheet'!$A$1:$IV$65536,5,FALSE),0)</f>
        <v>4</v>
      </c>
      <c r="F1339" s="3">
        <f>IFERROR(VLOOKUP(B1339,'[1]new sheet'!$A$1:$IV$65536,4,FALSE),0)</f>
        <v>0</v>
      </c>
      <c r="G1339" s="4">
        <f>IFERROR(VLOOKUP(B1339,'[2]new sheet'!$A$1:$IV$65536,2,0),0)</f>
        <v>5</v>
      </c>
      <c r="H1339" s="5">
        <f>IFERROR(VLOOKUP(B1339,'[3]new sheet'!$A$1:$IV$65536,2,0),0)</f>
        <v>1</v>
      </c>
    </row>
    <row r="1340" spans="1:8" ht="24" customHeight="1">
      <c r="A1340" s="7">
        <v>992994</v>
      </c>
      <c r="B1340" s="7">
        <v>1902</v>
      </c>
      <c r="C1340" s="8" t="s">
        <v>1102</v>
      </c>
      <c r="D1340" s="8" t="s">
        <v>1934</v>
      </c>
      <c r="E1340" s="2">
        <f>IFERROR(VLOOKUP(B1340,'[1]new sheet'!$A$1:$IV$65536,5,FALSE),0)</f>
        <v>5</v>
      </c>
      <c r="F1340" s="3">
        <f>IFERROR(VLOOKUP(B1340,'[1]new sheet'!$A$1:$IV$65536,4,FALSE),0)</f>
        <v>0</v>
      </c>
      <c r="G1340" s="4">
        <f>IFERROR(VLOOKUP(B1340,'[2]new sheet'!$A$1:$IV$65536,2,0),0)</f>
        <v>1</v>
      </c>
      <c r="H1340" s="5">
        <f>IFERROR(VLOOKUP(B1340,'[3]new sheet'!$A$1:$IV$65536,2,0),0)</f>
        <v>0</v>
      </c>
    </row>
    <row r="1341" spans="1:8" ht="24" customHeight="1">
      <c r="A1341" s="7">
        <v>992993</v>
      </c>
      <c r="B1341" s="7">
        <v>1903</v>
      </c>
      <c r="C1341" s="8" t="s">
        <v>1103</v>
      </c>
      <c r="D1341" s="8" t="s">
        <v>1934</v>
      </c>
      <c r="E1341" s="2">
        <f>IFERROR(VLOOKUP(B1341,'[1]new sheet'!$A$1:$IV$65536,5,FALSE),0)</f>
        <v>5</v>
      </c>
      <c r="F1341" s="3">
        <f>IFERROR(VLOOKUP(B1341,'[1]new sheet'!$A$1:$IV$65536,4,FALSE),0)</f>
        <v>0</v>
      </c>
      <c r="G1341" s="4">
        <f>IFERROR(VLOOKUP(B1341,'[2]new sheet'!$A$1:$IV$65536,2,0),0)</f>
        <v>2</v>
      </c>
      <c r="H1341" s="5">
        <f>IFERROR(VLOOKUP(B1341,'[3]new sheet'!$A$1:$IV$65536,2,0),0)</f>
        <v>0</v>
      </c>
    </row>
    <row r="1342" spans="1:8" ht="24" customHeight="1">
      <c r="A1342" s="7">
        <v>992991</v>
      </c>
      <c r="B1342" s="7">
        <v>1904</v>
      </c>
      <c r="C1342" s="8" t="s">
        <v>1104</v>
      </c>
      <c r="D1342" s="8" t="s">
        <v>1934</v>
      </c>
      <c r="E1342" s="2">
        <f>IFERROR(VLOOKUP(B1342,'[1]new sheet'!$A$1:$IV$65536,5,FALSE),0)</f>
        <v>4</v>
      </c>
      <c r="F1342" s="3">
        <f>IFERROR(VLOOKUP(B1342,'[1]new sheet'!$A$1:$IV$65536,4,FALSE),0)</f>
        <v>0</v>
      </c>
      <c r="G1342" s="4">
        <f>IFERROR(VLOOKUP(B1342,'[2]new sheet'!$A$1:$IV$65536,2,0),0)</f>
        <v>1</v>
      </c>
      <c r="H1342" s="5">
        <f>IFERROR(VLOOKUP(B1342,'[3]new sheet'!$A$1:$IV$65536,2,0),0)</f>
        <v>0</v>
      </c>
    </row>
    <row r="1343" spans="1:8" ht="24" customHeight="1">
      <c r="A1343" s="7">
        <v>992988</v>
      </c>
      <c r="B1343" s="7">
        <v>1894</v>
      </c>
      <c r="C1343" s="8" t="s">
        <v>1105</v>
      </c>
      <c r="D1343" s="8" t="s">
        <v>1934</v>
      </c>
      <c r="E1343" s="2">
        <f>IFERROR(VLOOKUP(B1343,'[1]new sheet'!$A$1:$IV$65536,5,FALSE),0)</f>
        <v>5</v>
      </c>
      <c r="F1343" s="3">
        <f>IFERROR(VLOOKUP(B1343,'[1]new sheet'!$A$1:$IV$65536,4,FALSE),0)</f>
        <v>0</v>
      </c>
      <c r="G1343" s="4">
        <f>IFERROR(VLOOKUP(B1343,'[2]new sheet'!$A$1:$IV$65536,2,0),0)</f>
        <v>5</v>
      </c>
      <c r="H1343" s="5">
        <f>IFERROR(VLOOKUP(B1343,'[3]new sheet'!$A$1:$IV$65536,2,0),0)</f>
        <v>0</v>
      </c>
    </row>
    <row r="1344" spans="1:8" ht="24" customHeight="1">
      <c r="A1344" s="7">
        <v>992987</v>
      </c>
      <c r="B1344" s="7">
        <v>1906</v>
      </c>
      <c r="C1344" s="8" t="s">
        <v>1106</v>
      </c>
      <c r="D1344" s="8" t="s">
        <v>1934</v>
      </c>
      <c r="E1344" s="2">
        <f>IFERROR(VLOOKUP(B1344,'[1]new sheet'!$A$1:$IV$65536,5,FALSE),0)</f>
        <v>5</v>
      </c>
      <c r="F1344" s="3">
        <f>IFERROR(VLOOKUP(B1344,'[1]new sheet'!$A$1:$IV$65536,4,FALSE),0)</f>
        <v>0</v>
      </c>
      <c r="G1344" s="4">
        <f>IFERROR(VLOOKUP(B1344,'[2]new sheet'!$A$1:$IV$65536,2,0),0)</f>
        <v>0</v>
      </c>
      <c r="H1344" s="5">
        <f>IFERROR(VLOOKUP(B1344,'[3]new sheet'!$A$1:$IV$65536,2,0),0)</f>
        <v>0</v>
      </c>
    </row>
    <row r="1345" spans="1:8" ht="24" customHeight="1">
      <c r="A1345" s="7">
        <v>992990</v>
      </c>
      <c r="B1345" s="7">
        <v>1905</v>
      </c>
      <c r="C1345" s="8" t="s">
        <v>1107</v>
      </c>
      <c r="D1345" s="8" t="s">
        <v>1934</v>
      </c>
      <c r="E1345" s="2">
        <f>IFERROR(VLOOKUP(B1345,'[1]new sheet'!$A$1:$IV$65536,5,FALSE),0)</f>
        <v>2</v>
      </c>
      <c r="F1345" s="3">
        <f>IFERROR(VLOOKUP(B1345,'[1]new sheet'!$A$1:$IV$65536,4,FALSE),0)</f>
        <v>0</v>
      </c>
      <c r="G1345" s="4">
        <f>IFERROR(VLOOKUP(B1345,'[2]new sheet'!$A$1:$IV$65536,2,0),0)</f>
        <v>3</v>
      </c>
      <c r="H1345" s="5">
        <f>IFERROR(VLOOKUP(B1345,'[3]new sheet'!$A$1:$IV$65536,2,0),0)</f>
        <v>3</v>
      </c>
    </row>
    <row r="1346" spans="1:8" ht="24" customHeight="1">
      <c r="A1346" s="7">
        <v>3004003</v>
      </c>
      <c r="B1346" s="7">
        <v>840</v>
      </c>
      <c r="C1346" s="8" t="s">
        <v>1108</v>
      </c>
      <c r="D1346" s="8" t="s">
        <v>1934</v>
      </c>
      <c r="E1346" s="2">
        <f>IFERROR(VLOOKUP(B1346,'[1]new sheet'!$A$1:$IV$65536,5,FALSE),0)</f>
        <v>50</v>
      </c>
      <c r="F1346" s="3">
        <f>IFERROR(VLOOKUP(B1346,'[1]new sheet'!$A$1:$IV$65536,4,FALSE),0)</f>
        <v>0</v>
      </c>
      <c r="G1346" s="4">
        <f>IFERROR(VLOOKUP(B1346,'[2]new sheet'!$A$1:$IV$65536,2,0),0)</f>
        <v>74</v>
      </c>
      <c r="H1346" s="5">
        <f>IFERROR(VLOOKUP(B1346,'[3]new sheet'!$A$1:$IV$65536,2,0),0)</f>
        <v>30</v>
      </c>
    </row>
    <row r="1347" spans="1:8" ht="24" customHeight="1">
      <c r="A1347" s="7" t="s">
        <v>1109</v>
      </c>
      <c r="B1347" s="7">
        <v>2730</v>
      </c>
      <c r="C1347" s="8" t="s">
        <v>1110</v>
      </c>
      <c r="D1347" s="8" t="s">
        <v>1934</v>
      </c>
      <c r="E1347" s="2">
        <f>IFERROR(VLOOKUP(B1347,'[1]new sheet'!$A$1:$IV$65536,5,FALSE),0)</f>
        <v>0</v>
      </c>
      <c r="F1347" s="3">
        <f>IFERROR(VLOOKUP(B1347,'[1]new sheet'!$A$1:$IV$65536,4,FALSE),0)</f>
        <v>0</v>
      </c>
      <c r="G1347" s="4">
        <f>IFERROR(VLOOKUP(B1347,'[2]new sheet'!$A$1:$IV$65536,2,0),0)</f>
        <v>0</v>
      </c>
      <c r="H1347" s="5">
        <f>IFERROR(VLOOKUP(B1347,'[3]new sheet'!$A$1:$IV$65536,2,0),0)</f>
        <v>0</v>
      </c>
    </row>
    <row r="1348" spans="1:8" ht="24" customHeight="1">
      <c r="A1348" s="7"/>
      <c r="B1348" s="7">
        <v>687</v>
      </c>
      <c r="C1348" s="8" t="s">
        <v>1111</v>
      </c>
      <c r="D1348" s="8" t="s">
        <v>1934</v>
      </c>
      <c r="E1348" s="2">
        <f>IFERROR(VLOOKUP(B1348,'[1]new sheet'!$A$1:$IV$65536,5,FALSE),0)</f>
        <v>0</v>
      </c>
      <c r="F1348" s="3">
        <f>IFERROR(VLOOKUP(B1348,'[1]new sheet'!$A$1:$IV$65536,4,FALSE),0)</f>
        <v>0</v>
      </c>
      <c r="G1348" s="4">
        <f>IFERROR(VLOOKUP(B1348,'[2]new sheet'!$A$1:$IV$65536,2,0),0)</f>
        <v>0</v>
      </c>
      <c r="H1348" s="5">
        <f>IFERROR(VLOOKUP(B1348,'[3]new sheet'!$A$1:$IV$65536,2,0),0)</f>
        <v>0</v>
      </c>
    </row>
    <row r="1349" spans="1:8" ht="24" customHeight="1">
      <c r="A1349" s="7"/>
      <c r="B1349" s="7">
        <v>353</v>
      </c>
      <c r="C1349" s="8" t="s">
        <v>1112</v>
      </c>
      <c r="D1349" s="8" t="s">
        <v>1934</v>
      </c>
      <c r="E1349" s="2">
        <f>IFERROR(VLOOKUP(B1349,'[1]new sheet'!$A$1:$IV$65536,5,FALSE),0)</f>
        <v>0</v>
      </c>
      <c r="F1349" s="3">
        <f>IFERROR(VLOOKUP(B1349,'[1]new sheet'!$A$1:$IV$65536,4,FALSE),0)</f>
        <v>0</v>
      </c>
      <c r="G1349" s="4">
        <f>IFERROR(VLOOKUP(B1349,'[2]new sheet'!$A$1:$IV$65536,2,0),0)</f>
        <v>0</v>
      </c>
      <c r="H1349" s="5">
        <f>IFERROR(VLOOKUP(B1349,'[3]new sheet'!$A$1:$IV$65536,2,0),0)</f>
        <v>0</v>
      </c>
    </row>
    <row r="1350" spans="1:8" ht="24" customHeight="1">
      <c r="A1350" s="7">
        <v>16</v>
      </c>
      <c r="B1350" s="7">
        <v>3672</v>
      </c>
      <c r="C1350" s="8" t="s">
        <v>1570</v>
      </c>
      <c r="D1350" s="8" t="s">
        <v>1934</v>
      </c>
      <c r="E1350" s="2">
        <f>IFERROR(VLOOKUP(B1350,'[1]new sheet'!$A$1:$IV$65536,5,FALSE),0)</f>
        <v>28</v>
      </c>
      <c r="F1350" s="3">
        <f>IFERROR(VLOOKUP(B1350,'[1]new sheet'!$A$1:$IV$65536,4,FALSE),0)</f>
        <v>2</v>
      </c>
      <c r="G1350" s="4">
        <f>IFERROR(VLOOKUP(B1350,'[2]new sheet'!$A$1:$IV$65536,2,0),0)</f>
        <v>45</v>
      </c>
      <c r="H1350" s="5">
        <f>IFERROR(VLOOKUP(B1350,'[3]new sheet'!$A$1:$IV$65536,2,0),0)</f>
        <v>12</v>
      </c>
    </row>
    <row r="1351" spans="1:8" ht="24" customHeight="1">
      <c r="A1351" s="7">
        <v>1130</v>
      </c>
      <c r="B1351" s="7">
        <v>3995</v>
      </c>
      <c r="C1351" s="8" t="s">
        <v>1715</v>
      </c>
      <c r="D1351" s="8" t="s">
        <v>1934</v>
      </c>
      <c r="E1351" s="2">
        <f>IFERROR(VLOOKUP(B1351,'[1]new sheet'!$A$1:$IV$65536,5,FALSE),0)</f>
        <v>9</v>
      </c>
      <c r="F1351" s="3">
        <f>IFERROR(VLOOKUP(B1351,'[1]new sheet'!$A$1:$IV$65536,4,FALSE),0)</f>
        <v>0</v>
      </c>
      <c r="G1351" s="4">
        <f>IFERROR(VLOOKUP(B1351,'[2]new sheet'!$A$1:$IV$65536,2,0),0)</f>
        <v>17</v>
      </c>
      <c r="H1351" s="5">
        <f>IFERROR(VLOOKUP(B1351,'[3]new sheet'!$A$1:$IV$65536,2,0),0)</f>
        <v>2</v>
      </c>
    </row>
    <row r="1352" spans="1:8" ht="24" customHeight="1">
      <c r="A1352" s="7">
        <v>1133</v>
      </c>
      <c r="B1352" s="7">
        <v>3592</v>
      </c>
      <c r="C1352" s="8" t="s">
        <v>1716</v>
      </c>
      <c r="D1352" s="8" t="s">
        <v>1934</v>
      </c>
      <c r="E1352" s="2">
        <f>IFERROR(VLOOKUP(B1352,'[1]new sheet'!$A$1:$IV$65536,5,FALSE),0)</f>
        <v>23</v>
      </c>
      <c r="F1352" s="3">
        <f>IFERROR(VLOOKUP(B1352,'[1]new sheet'!$A$1:$IV$65536,4,FALSE),0)</f>
        <v>0</v>
      </c>
      <c r="G1352" s="4">
        <f>IFERROR(VLOOKUP(B1352,'[2]new sheet'!$A$1:$IV$65536,2,0),0)</f>
        <v>25</v>
      </c>
      <c r="H1352" s="5">
        <f>IFERROR(VLOOKUP(B1352,'[3]new sheet'!$A$1:$IV$65536,2,0),0)</f>
        <v>4</v>
      </c>
    </row>
    <row r="1353" spans="1:8" ht="24" customHeight="1">
      <c r="A1353" s="7">
        <v>1132</v>
      </c>
      <c r="B1353" s="7">
        <v>3593</v>
      </c>
      <c r="C1353" s="8" t="s">
        <v>1717</v>
      </c>
      <c r="D1353" s="8" t="s">
        <v>1934</v>
      </c>
      <c r="E1353" s="2">
        <f>IFERROR(VLOOKUP(B1353,'[1]new sheet'!$A$1:$IV$65536,5,FALSE),0)</f>
        <v>0</v>
      </c>
      <c r="F1353" s="3">
        <f>IFERROR(VLOOKUP(B1353,'[1]new sheet'!$A$1:$IV$65536,4,FALSE),0)</f>
        <v>0</v>
      </c>
      <c r="G1353" s="4">
        <f>IFERROR(VLOOKUP(B1353,'[2]new sheet'!$A$1:$IV$65536,2,0),0)</f>
        <v>0</v>
      </c>
      <c r="H1353" s="5">
        <f>IFERROR(VLOOKUP(B1353,'[3]new sheet'!$A$1:$IV$65536,2,0),0)</f>
        <v>0</v>
      </c>
    </row>
    <row r="1354" spans="1:8" ht="24" customHeight="1">
      <c r="A1354" s="7">
        <v>954</v>
      </c>
      <c r="B1354" s="7">
        <v>3028</v>
      </c>
      <c r="C1354" s="8" t="s">
        <v>1718</v>
      </c>
      <c r="D1354" s="8" t="s">
        <v>1934</v>
      </c>
      <c r="E1354" s="2">
        <f>IFERROR(VLOOKUP(B1354,'[1]new sheet'!$A$1:$IV$65536,5,FALSE),0)</f>
        <v>0</v>
      </c>
      <c r="F1354" s="3">
        <f>IFERROR(VLOOKUP(B1354,'[1]new sheet'!$A$1:$IV$65536,4,FALSE),0)</f>
        <v>0</v>
      </c>
      <c r="G1354" s="4">
        <f>IFERROR(VLOOKUP(B1354,'[2]new sheet'!$A$1:$IV$65536,2,0),0)</f>
        <v>0</v>
      </c>
      <c r="H1354" s="5">
        <f>IFERROR(VLOOKUP(B1354,'[3]new sheet'!$A$1:$IV$65536,2,0),0)</f>
        <v>0</v>
      </c>
    </row>
    <row r="1355" spans="1:8" ht="24" customHeight="1">
      <c r="A1355" s="7">
        <v>1131</v>
      </c>
      <c r="B1355" s="7">
        <v>3594</v>
      </c>
      <c r="C1355" s="8" t="s">
        <v>1719</v>
      </c>
      <c r="D1355" s="8" t="s">
        <v>1934</v>
      </c>
      <c r="E1355" s="2">
        <f>IFERROR(VLOOKUP(B1355,'[1]new sheet'!$A$1:$IV$65536,5,FALSE),0)</f>
        <v>103</v>
      </c>
      <c r="F1355" s="3">
        <f>IFERROR(VLOOKUP(B1355,'[1]new sheet'!$A$1:$IV$65536,4,FALSE),0)</f>
        <v>1</v>
      </c>
      <c r="G1355" s="4">
        <f>IFERROR(VLOOKUP(B1355,'[2]new sheet'!$A$1:$IV$65536,2,0),0)</f>
        <v>26</v>
      </c>
      <c r="H1355" s="5">
        <f>IFERROR(VLOOKUP(B1355,'[3]new sheet'!$A$1:$IV$65536,2,0),0)</f>
        <v>3</v>
      </c>
    </row>
    <row r="1356" spans="1:8" ht="24" customHeight="1">
      <c r="A1356" s="7">
        <v>813</v>
      </c>
      <c r="B1356" s="7">
        <v>3673</v>
      </c>
      <c r="C1356" s="8" t="s">
        <v>1720</v>
      </c>
      <c r="D1356" s="8" t="s">
        <v>1934</v>
      </c>
      <c r="E1356" s="2">
        <f>IFERROR(VLOOKUP(B1356,'[1]new sheet'!$A$1:$IV$65536,5,FALSE),0)</f>
        <v>0</v>
      </c>
      <c r="F1356" s="3">
        <f>IFERROR(VLOOKUP(B1356,'[1]new sheet'!$A$1:$IV$65536,4,FALSE),0)</f>
        <v>0</v>
      </c>
      <c r="G1356" s="4">
        <f>IFERROR(VLOOKUP(B1356,'[2]new sheet'!$A$1:$IV$65536,2,0),0)</f>
        <v>152</v>
      </c>
      <c r="H1356" s="5">
        <f>IFERROR(VLOOKUP(B1356,'[3]new sheet'!$A$1:$IV$65536,2,0),0)</f>
        <v>0</v>
      </c>
    </row>
    <row r="1357" spans="1:8" ht="24" customHeight="1">
      <c r="A1357" s="7">
        <v>97</v>
      </c>
      <c r="B1357" s="7">
        <v>3591</v>
      </c>
      <c r="C1357" s="8" t="s">
        <v>1113</v>
      </c>
      <c r="D1357" s="8" t="s">
        <v>1934</v>
      </c>
      <c r="E1357" s="2">
        <f>IFERROR(VLOOKUP(B1357,'[1]new sheet'!$A$1:$IV$65536,5,FALSE),0)</f>
        <v>44</v>
      </c>
      <c r="F1357" s="3">
        <f>IFERROR(VLOOKUP(B1357,'[1]new sheet'!$A$1:$IV$65536,4,FALSE),0)</f>
        <v>0</v>
      </c>
      <c r="G1357" s="4">
        <f>IFERROR(VLOOKUP(B1357,'[2]new sheet'!$A$1:$IV$65536,2,0),0)</f>
        <v>69</v>
      </c>
      <c r="H1357" s="5">
        <f>IFERROR(VLOOKUP(B1357,'[3]new sheet'!$A$1:$IV$65536,2,0),0)</f>
        <v>11</v>
      </c>
    </row>
    <row r="1358" spans="1:8" ht="24" customHeight="1">
      <c r="A1358" s="7">
        <v>718599</v>
      </c>
      <c r="B1358" s="7">
        <v>2520</v>
      </c>
      <c r="C1358" s="8" t="s">
        <v>1114</v>
      </c>
      <c r="D1358" s="8" t="s">
        <v>1934</v>
      </c>
      <c r="E1358" s="2">
        <f>IFERROR(VLOOKUP(B1358,'[1]new sheet'!$A$1:$IV$65536,5,FALSE),0)</f>
        <v>0</v>
      </c>
      <c r="F1358" s="3">
        <f>IFERROR(VLOOKUP(B1358,'[1]new sheet'!$A$1:$IV$65536,4,FALSE),0)</f>
        <v>0</v>
      </c>
      <c r="G1358" s="4">
        <f>IFERROR(VLOOKUP(B1358,'[2]new sheet'!$A$1:$IV$65536,2,0),0)</f>
        <v>0</v>
      </c>
      <c r="H1358" s="5">
        <f>IFERROR(VLOOKUP(B1358,'[3]new sheet'!$A$1:$IV$65536,2,0),0)</f>
        <v>0</v>
      </c>
    </row>
    <row r="1359" spans="1:8" ht="24" customHeight="1">
      <c r="A1359" s="7">
        <v>50140</v>
      </c>
      <c r="B1359" s="7">
        <v>350</v>
      </c>
      <c r="C1359" s="8" t="s">
        <v>1115</v>
      </c>
      <c r="D1359" s="8" t="s">
        <v>1934</v>
      </c>
      <c r="E1359" s="2">
        <f>IFERROR(VLOOKUP(B1359,'[1]new sheet'!$A$1:$IV$65536,5,FALSE),0)</f>
        <v>0</v>
      </c>
      <c r="F1359" s="3">
        <f>IFERROR(VLOOKUP(B1359,'[1]new sheet'!$A$1:$IV$65536,4,FALSE),0)</f>
        <v>0</v>
      </c>
      <c r="G1359" s="4">
        <f>IFERROR(VLOOKUP(B1359,'[2]new sheet'!$A$1:$IV$65536,2,0),0)</f>
        <v>0</v>
      </c>
      <c r="H1359" s="5">
        <f>IFERROR(VLOOKUP(B1359,'[3]new sheet'!$A$1:$IV$65536,2,0),0)</f>
        <v>0</v>
      </c>
    </row>
    <row r="1360" spans="1:8" ht="24" customHeight="1">
      <c r="A1360" s="7">
        <v>1154</v>
      </c>
      <c r="B1360" s="7">
        <v>3595</v>
      </c>
      <c r="C1360" s="8" t="s">
        <v>1116</v>
      </c>
      <c r="D1360" s="8" t="s">
        <v>1934</v>
      </c>
      <c r="E1360" s="2">
        <f>IFERROR(VLOOKUP(B1360,'[1]new sheet'!$A$1:$IV$65536,5,FALSE),0)</f>
        <v>0</v>
      </c>
      <c r="F1360" s="3">
        <f>IFERROR(VLOOKUP(B1360,'[1]new sheet'!$A$1:$IV$65536,4,FALSE),0)</f>
        <v>0</v>
      </c>
      <c r="G1360" s="4">
        <f>IFERROR(VLOOKUP(B1360,'[2]new sheet'!$A$1:$IV$65536,2,0),0)</f>
        <v>0</v>
      </c>
      <c r="H1360" s="5">
        <f>IFERROR(VLOOKUP(B1360,'[3]new sheet'!$A$1:$IV$65536,2,0),0)</f>
        <v>0</v>
      </c>
    </row>
    <row r="1361" spans="1:8" ht="24" customHeight="1">
      <c r="A1361" s="7">
        <v>998295</v>
      </c>
      <c r="B1361" s="7">
        <v>276</v>
      </c>
      <c r="C1361" s="8" t="s">
        <v>1117</v>
      </c>
      <c r="D1361" s="8" t="s">
        <v>1934</v>
      </c>
      <c r="E1361" s="2">
        <f>IFERROR(VLOOKUP(B1361,'[1]new sheet'!$A$1:$IV$65536,5,FALSE),0)</f>
        <v>2</v>
      </c>
      <c r="F1361" s="3">
        <f>IFERROR(VLOOKUP(B1361,'[1]new sheet'!$A$1:$IV$65536,4,FALSE),0)</f>
        <v>0</v>
      </c>
      <c r="G1361" s="4">
        <f>IFERROR(VLOOKUP(B1361,'[2]new sheet'!$A$1:$IV$65536,2,0),0)</f>
        <v>0</v>
      </c>
      <c r="H1361" s="5">
        <f>IFERROR(VLOOKUP(B1361,'[3]new sheet'!$A$1:$IV$65536,2,0),0)</f>
        <v>0</v>
      </c>
    </row>
    <row r="1362" spans="1:8" ht="24" customHeight="1">
      <c r="A1362" s="7">
        <v>40</v>
      </c>
      <c r="B1362" s="7">
        <v>3674</v>
      </c>
      <c r="C1362" s="8" t="s">
        <v>1118</v>
      </c>
      <c r="D1362" s="8" t="s">
        <v>1934</v>
      </c>
      <c r="E1362" s="2">
        <f>IFERROR(VLOOKUP(B1362,'[1]new sheet'!$A$1:$IV$65536,5,FALSE),0)</f>
        <v>33</v>
      </c>
      <c r="F1362" s="3">
        <f>IFERROR(VLOOKUP(B1362,'[1]new sheet'!$A$1:$IV$65536,4,FALSE),0)</f>
        <v>8</v>
      </c>
      <c r="G1362" s="4">
        <f>IFERROR(VLOOKUP(B1362,'[2]new sheet'!$A$1:$IV$65536,2,0),0)</f>
        <v>111</v>
      </c>
      <c r="H1362" s="5">
        <f>IFERROR(VLOOKUP(B1362,'[3]new sheet'!$A$1:$IV$65536,2,0),0)</f>
        <v>19</v>
      </c>
    </row>
    <row r="1363" spans="1:8" ht="24" customHeight="1">
      <c r="A1363" s="7">
        <v>1010</v>
      </c>
      <c r="B1363" s="7">
        <v>3031</v>
      </c>
      <c r="C1363" s="8" t="s">
        <v>1742</v>
      </c>
      <c r="D1363" s="8" t="s">
        <v>1934</v>
      </c>
      <c r="E1363" s="2">
        <f>IFERROR(VLOOKUP(B1363,'[1]new sheet'!$A$1:$IV$65536,5,FALSE),0)</f>
        <v>0</v>
      </c>
      <c r="F1363" s="3">
        <f>IFERROR(VLOOKUP(B1363,'[1]new sheet'!$A$1:$IV$65536,4,FALSE),0)</f>
        <v>4</v>
      </c>
      <c r="G1363" s="4">
        <f>IFERROR(VLOOKUP(B1363,'[2]new sheet'!$A$1:$IV$65536,2,0),0)</f>
        <v>112</v>
      </c>
      <c r="H1363" s="5">
        <f>IFERROR(VLOOKUP(B1363,'[3]new sheet'!$A$1:$IV$65536,2,0),0)</f>
        <v>34</v>
      </c>
    </row>
    <row r="1364" spans="1:8" ht="24" customHeight="1">
      <c r="A1364" s="7">
        <v>718572</v>
      </c>
      <c r="B1364" s="7">
        <v>2519</v>
      </c>
      <c r="C1364" s="8" t="s">
        <v>1119</v>
      </c>
      <c r="D1364" s="8" t="s">
        <v>1934</v>
      </c>
      <c r="E1364" s="2">
        <f>IFERROR(VLOOKUP(B1364,'[1]new sheet'!$A$1:$IV$65536,5,FALSE),0)</f>
        <v>0</v>
      </c>
      <c r="F1364" s="3">
        <f>IFERROR(VLOOKUP(B1364,'[1]new sheet'!$A$1:$IV$65536,4,FALSE),0)</f>
        <v>0</v>
      </c>
      <c r="G1364" s="4">
        <f>IFERROR(VLOOKUP(B1364,'[2]new sheet'!$A$1:$IV$65536,2,0),0)</f>
        <v>0</v>
      </c>
      <c r="H1364" s="5">
        <f>IFERROR(VLOOKUP(B1364,'[3]new sheet'!$A$1:$IV$65536,2,0),0)</f>
        <v>0</v>
      </c>
    </row>
    <row r="1365" spans="1:8" ht="24" customHeight="1">
      <c r="A1365" s="7">
        <v>990121</v>
      </c>
      <c r="B1365" s="7">
        <v>3644</v>
      </c>
      <c r="C1365" s="8" t="s">
        <v>1120</v>
      </c>
      <c r="D1365" s="8" t="s">
        <v>1934</v>
      </c>
      <c r="E1365" s="2">
        <f>IFERROR(VLOOKUP(B1365,'[1]new sheet'!$A$1:$IV$65536,5,FALSE),0)</f>
        <v>0</v>
      </c>
      <c r="F1365" s="3">
        <f>IFERROR(VLOOKUP(B1365,'[1]new sheet'!$A$1:$IV$65536,4,FALSE),0)</f>
        <v>0</v>
      </c>
      <c r="G1365" s="4">
        <f>IFERROR(VLOOKUP(B1365,'[2]new sheet'!$A$1:$IV$65536,2,0),0)</f>
        <v>0</v>
      </c>
      <c r="H1365" s="5">
        <f>IFERROR(VLOOKUP(B1365,'[3]new sheet'!$A$1:$IV$65536,2,0),0)</f>
        <v>0</v>
      </c>
    </row>
    <row r="1366" spans="1:8" ht="24" customHeight="1">
      <c r="A1366" s="7">
        <v>56153</v>
      </c>
      <c r="B1366" s="7">
        <v>349</v>
      </c>
      <c r="C1366" s="8" t="s">
        <v>1121</v>
      </c>
      <c r="D1366" s="8" t="s">
        <v>1934</v>
      </c>
      <c r="E1366" s="2">
        <f>IFERROR(VLOOKUP(B1366,'[1]new sheet'!$A$1:$IV$65536,5,FALSE),0)</f>
        <v>26</v>
      </c>
      <c r="F1366" s="3">
        <f>IFERROR(VLOOKUP(B1366,'[1]new sheet'!$A$1:$IV$65536,4,FALSE),0)</f>
        <v>0</v>
      </c>
      <c r="G1366" s="4">
        <f>IFERROR(VLOOKUP(B1366,'[2]new sheet'!$A$1:$IV$65536,2,0),0)</f>
        <v>5</v>
      </c>
      <c r="H1366" s="5">
        <f>IFERROR(VLOOKUP(B1366,'[3]new sheet'!$A$1:$IV$65536,2,0),0)</f>
        <v>1</v>
      </c>
    </row>
    <row r="1367" spans="1:8" ht="24" customHeight="1">
      <c r="A1367" s="7">
        <v>4770</v>
      </c>
      <c r="B1367" s="7">
        <v>4132</v>
      </c>
      <c r="C1367" s="8" t="s">
        <v>1771</v>
      </c>
      <c r="D1367" s="8" t="s">
        <v>1934</v>
      </c>
      <c r="E1367" s="2">
        <f>IFERROR(VLOOKUP(B1367,'[1]new sheet'!$A$1:$IV$65536,5,FALSE),0)</f>
        <v>0</v>
      </c>
      <c r="F1367" s="3">
        <f>IFERROR(VLOOKUP(B1367,'[1]new sheet'!$A$1:$IV$65536,4,FALSE),0)</f>
        <v>0</v>
      </c>
      <c r="G1367" s="4">
        <f>IFERROR(VLOOKUP(B1367,'[2]new sheet'!$A$1:$IV$65536,2,0),0)</f>
        <v>18</v>
      </c>
      <c r="H1367" s="5">
        <f>IFERROR(VLOOKUP(B1367,'[3]new sheet'!$A$1:$IV$65536,2,0),0)</f>
        <v>0</v>
      </c>
    </row>
    <row r="1368" spans="1:8" ht="24" customHeight="1">
      <c r="A1368" s="7">
        <v>718580</v>
      </c>
      <c r="B1368" s="7">
        <v>2590</v>
      </c>
      <c r="C1368" s="8" t="s">
        <v>1122</v>
      </c>
      <c r="D1368" s="8" t="s">
        <v>1934</v>
      </c>
      <c r="E1368" s="2">
        <f>IFERROR(VLOOKUP(B1368,'[1]new sheet'!$A$1:$IV$65536,5,FALSE),0)</f>
        <v>0</v>
      </c>
      <c r="F1368" s="3">
        <f>IFERROR(VLOOKUP(B1368,'[1]new sheet'!$A$1:$IV$65536,4,FALSE),0)</f>
        <v>0</v>
      </c>
      <c r="G1368" s="4">
        <f>IFERROR(VLOOKUP(B1368,'[2]new sheet'!$A$1:$IV$65536,2,0),0)</f>
        <v>0</v>
      </c>
      <c r="H1368" s="5">
        <f>IFERROR(VLOOKUP(B1368,'[3]new sheet'!$A$1:$IV$65536,2,0),0)</f>
        <v>0</v>
      </c>
    </row>
    <row r="1369" spans="1:8" ht="24" customHeight="1">
      <c r="A1369" s="7">
        <v>717061</v>
      </c>
      <c r="B1369" s="7">
        <v>2521</v>
      </c>
      <c r="C1369" s="8" t="s">
        <v>1123</v>
      </c>
      <c r="D1369" s="8" t="s">
        <v>1934</v>
      </c>
      <c r="E1369" s="2">
        <f>IFERROR(VLOOKUP(B1369,'[1]new sheet'!$A$1:$IV$65536,5,FALSE),0)</f>
        <v>0</v>
      </c>
      <c r="F1369" s="3">
        <f>IFERROR(VLOOKUP(B1369,'[1]new sheet'!$A$1:$IV$65536,4,FALSE),0)</f>
        <v>0</v>
      </c>
      <c r="G1369" s="4">
        <f>IFERROR(VLOOKUP(B1369,'[2]new sheet'!$A$1:$IV$65536,2,0),0)</f>
        <v>0</v>
      </c>
      <c r="H1369" s="5">
        <f>IFERROR(VLOOKUP(B1369,'[3]new sheet'!$A$1:$IV$65536,2,0),0)</f>
        <v>0</v>
      </c>
    </row>
    <row r="1370" spans="1:8" ht="24" customHeight="1">
      <c r="A1370" s="7">
        <v>722</v>
      </c>
      <c r="B1370" s="7">
        <v>3590</v>
      </c>
      <c r="C1370" s="8" t="s">
        <v>1571</v>
      </c>
      <c r="D1370" s="8" t="s">
        <v>1934</v>
      </c>
      <c r="E1370" s="2">
        <f>IFERROR(VLOOKUP(B1370,'[1]new sheet'!$A$1:$IV$65536,5,FALSE),0)</f>
        <v>28</v>
      </c>
      <c r="F1370" s="3">
        <f>IFERROR(VLOOKUP(B1370,'[1]new sheet'!$A$1:$IV$65536,4,FALSE),0)</f>
        <v>2</v>
      </c>
      <c r="G1370" s="4">
        <f>IFERROR(VLOOKUP(B1370,'[2]new sheet'!$A$1:$IV$65536,2,0),0)</f>
        <v>21</v>
      </c>
      <c r="H1370" s="5">
        <f>IFERROR(VLOOKUP(B1370,'[3]new sheet'!$A$1:$IV$65536,2,0),0)</f>
        <v>7</v>
      </c>
    </row>
    <row r="1371" spans="1:8" ht="24" customHeight="1">
      <c r="A1371" s="7"/>
      <c r="B1371" s="7">
        <v>1921</v>
      </c>
      <c r="C1371" s="8" t="s">
        <v>1124</v>
      </c>
      <c r="D1371" s="8" t="s">
        <v>1934</v>
      </c>
      <c r="E1371" s="2">
        <f>IFERROR(VLOOKUP(B1371,'[1]new sheet'!$A$1:$IV$65536,5,FALSE),0)</f>
        <v>0</v>
      </c>
      <c r="F1371" s="3">
        <f>IFERROR(VLOOKUP(B1371,'[1]new sheet'!$A$1:$IV$65536,4,FALSE),0)</f>
        <v>0</v>
      </c>
      <c r="G1371" s="4">
        <f>IFERROR(VLOOKUP(B1371,'[2]new sheet'!$A$1:$IV$65536,2,0),0)</f>
        <v>0</v>
      </c>
      <c r="H1371" s="5">
        <f>IFERROR(VLOOKUP(B1371,'[3]new sheet'!$A$1:$IV$65536,2,0),0)</f>
        <v>0</v>
      </c>
    </row>
    <row r="1372" spans="1:8" ht="24" customHeight="1">
      <c r="A1372" s="7">
        <v>991590</v>
      </c>
      <c r="B1372" s="7">
        <v>2634</v>
      </c>
      <c r="C1372" s="8" t="s">
        <v>1125</v>
      </c>
      <c r="D1372" s="8" t="s">
        <v>1934</v>
      </c>
      <c r="E1372" s="2">
        <f>IFERROR(VLOOKUP(B1372,'[1]new sheet'!$A$1:$IV$65536,5,FALSE),0)</f>
        <v>6</v>
      </c>
      <c r="F1372" s="3">
        <f>IFERROR(VLOOKUP(B1372,'[1]new sheet'!$A$1:$IV$65536,4,FALSE),0)</f>
        <v>0</v>
      </c>
      <c r="G1372" s="4">
        <f>IFERROR(VLOOKUP(B1372,'[2]new sheet'!$A$1:$IV$65536,2,0),0)</f>
        <v>8</v>
      </c>
      <c r="H1372" s="5">
        <f>IFERROR(VLOOKUP(B1372,'[3]new sheet'!$A$1:$IV$65536,2,0),0)</f>
        <v>1</v>
      </c>
    </row>
    <row r="1373" spans="1:8" ht="24" customHeight="1">
      <c r="A1373" s="7">
        <v>991591</v>
      </c>
      <c r="B1373" s="7">
        <v>2633</v>
      </c>
      <c r="C1373" s="8" t="s">
        <v>1126</v>
      </c>
      <c r="D1373" s="8" t="s">
        <v>1934</v>
      </c>
      <c r="E1373" s="2">
        <f>IFERROR(VLOOKUP(B1373,'[1]new sheet'!$A$1:$IV$65536,5,FALSE),0)</f>
        <v>5</v>
      </c>
      <c r="F1373" s="3">
        <f>IFERROR(VLOOKUP(B1373,'[1]new sheet'!$A$1:$IV$65536,4,FALSE),0)</f>
        <v>0</v>
      </c>
      <c r="G1373" s="4">
        <f>IFERROR(VLOOKUP(B1373,'[2]new sheet'!$A$1:$IV$65536,2,0),0)</f>
        <v>9</v>
      </c>
      <c r="H1373" s="5">
        <f>IFERROR(VLOOKUP(B1373,'[3]new sheet'!$A$1:$IV$65536,2,0),0)</f>
        <v>3</v>
      </c>
    </row>
    <row r="1374" spans="1:8" ht="24" customHeight="1">
      <c r="A1374" s="7">
        <v>597848</v>
      </c>
      <c r="B1374" s="7">
        <v>275</v>
      </c>
      <c r="C1374" s="8" t="s">
        <v>1127</v>
      </c>
      <c r="D1374" s="8" t="s">
        <v>1934</v>
      </c>
      <c r="E1374" s="2">
        <f>IFERROR(VLOOKUP(B1374,'[1]new sheet'!$A$1:$IV$65536,5,FALSE),0)</f>
        <v>0</v>
      </c>
      <c r="F1374" s="3">
        <f>IFERROR(VLOOKUP(B1374,'[1]new sheet'!$A$1:$IV$65536,4,FALSE),0)</f>
        <v>0</v>
      </c>
      <c r="G1374" s="4">
        <f>IFERROR(VLOOKUP(B1374,'[2]new sheet'!$A$1:$IV$65536,2,0),0)</f>
        <v>0</v>
      </c>
      <c r="H1374" s="5">
        <f>IFERROR(VLOOKUP(B1374,'[3]new sheet'!$A$1:$IV$65536,2,0),0)</f>
        <v>0</v>
      </c>
    </row>
    <row r="1375" spans="1:8" ht="24" customHeight="1">
      <c r="A1375" s="7">
        <v>990120</v>
      </c>
      <c r="B1375" s="7">
        <v>3643</v>
      </c>
      <c r="C1375" s="8" t="s">
        <v>1128</v>
      </c>
      <c r="D1375" s="8" t="s">
        <v>1934</v>
      </c>
      <c r="E1375" s="2">
        <f>IFERROR(VLOOKUP(B1375,'[1]new sheet'!$A$1:$IV$65536,5,FALSE),0)</f>
        <v>9</v>
      </c>
      <c r="F1375" s="3">
        <f>IFERROR(VLOOKUP(B1375,'[1]new sheet'!$A$1:$IV$65536,4,FALSE),0)</f>
        <v>0</v>
      </c>
      <c r="G1375" s="4">
        <f>IFERROR(VLOOKUP(B1375,'[2]new sheet'!$A$1:$IV$65536,2,0),0)</f>
        <v>0</v>
      </c>
      <c r="H1375" s="5">
        <f>IFERROR(VLOOKUP(B1375,'[3]new sheet'!$A$1:$IV$65536,2,0),0)</f>
        <v>1</v>
      </c>
    </row>
    <row r="1376" spans="1:8" ht="24" customHeight="1">
      <c r="A1376" s="7">
        <v>592</v>
      </c>
      <c r="B1376" s="7">
        <v>3029</v>
      </c>
      <c r="C1376" s="8" t="s">
        <v>1743</v>
      </c>
      <c r="D1376" s="8" t="s">
        <v>1934</v>
      </c>
      <c r="E1376" s="2">
        <f>IFERROR(VLOOKUP(B1376,'[1]new sheet'!$A$1:$IV$65536,5,FALSE),0)</f>
        <v>52</v>
      </c>
      <c r="F1376" s="3">
        <f>IFERROR(VLOOKUP(B1376,'[1]new sheet'!$A$1:$IV$65536,4,FALSE),0)</f>
        <v>6</v>
      </c>
      <c r="G1376" s="4">
        <f>IFERROR(VLOOKUP(B1376,'[2]new sheet'!$A$1:$IV$65536,2,0),0)</f>
        <v>147</v>
      </c>
      <c r="H1376" s="5">
        <f>IFERROR(VLOOKUP(B1376,'[3]new sheet'!$A$1:$IV$65536,2,0),0)</f>
        <v>57</v>
      </c>
    </row>
    <row r="1377" spans="1:8" ht="24" customHeight="1">
      <c r="A1377" s="7">
        <v>591</v>
      </c>
      <c r="B1377" s="7">
        <v>3030</v>
      </c>
      <c r="C1377" s="8" t="s">
        <v>1744</v>
      </c>
      <c r="D1377" s="8" t="s">
        <v>1934</v>
      </c>
      <c r="E1377" s="2">
        <f>IFERROR(VLOOKUP(B1377,'[1]new sheet'!$A$1:$IV$65536,5,FALSE),0)</f>
        <v>0</v>
      </c>
      <c r="F1377" s="3">
        <f>IFERROR(VLOOKUP(B1377,'[1]new sheet'!$A$1:$IV$65536,4,FALSE),0)</f>
        <v>0</v>
      </c>
      <c r="G1377" s="4">
        <f>IFERROR(VLOOKUP(B1377,'[2]new sheet'!$A$1:$IV$65536,2,0),0)</f>
        <v>185</v>
      </c>
      <c r="H1377" s="5">
        <f>IFERROR(VLOOKUP(B1377,'[3]new sheet'!$A$1:$IV$65536,2,0),0)</f>
        <v>82</v>
      </c>
    </row>
    <row r="1378" spans="1:8" ht="24" customHeight="1">
      <c r="A1378" s="7">
        <v>5459</v>
      </c>
      <c r="B1378" s="7">
        <v>4165</v>
      </c>
      <c r="C1378" s="8" t="s">
        <v>1779</v>
      </c>
      <c r="D1378" s="8" t="s">
        <v>1934</v>
      </c>
      <c r="E1378" s="2">
        <f>IFERROR(VLOOKUP(B1378,'[1]new sheet'!$A$1:$IV$65536,5,FALSE),0)</f>
        <v>62</v>
      </c>
      <c r="F1378" s="3">
        <f>IFERROR(VLOOKUP(B1378,'[1]new sheet'!$A$1:$IV$65536,4,FALSE),0)</f>
        <v>0</v>
      </c>
      <c r="G1378" s="4">
        <f>IFERROR(VLOOKUP(B1378,'[2]new sheet'!$A$1:$IV$65536,2,0),0)</f>
        <v>0</v>
      </c>
      <c r="H1378" s="5">
        <f>IFERROR(VLOOKUP(B1378,'[3]new sheet'!$A$1:$IV$65536,2,0),0)</f>
        <v>0</v>
      </c>
    </row>
    <row r="1379" spans="1:8" ht="24" customHeight="1">
      <c r="A1379" s="7"/>
      <c r="B1379" s="7">
        <v>1164</v>
      </c>
      <c r="C1379" s="8" t="s">
        <v>1129</v>
      </c>
      <c r="D1379" s="8" t="s">
        <v>1934</v>
      </c>
      <c r="E1379" s="2">
        <f>IFERROR(VLOOKUP(B1379,'[1]new sheet'!$A$1:$IV$65536,5,FALSE),0)</f>
        <v>8</v>
      </c>
      <c r="F1379" s="3">
        <f>IFERROR(VLOOKUP(B1379,'[1]new sheet'!$A$1:$IV$65536,4,FALSE),0)</f>
        <v>0</v>
      </c>
      <c r="G1379" s="4">
        <f>IFERROR(VLOOKUP(B1379,'[2]new sheet'!$A$1:$IV$65536,2,0),0)</f>
        <v>0</v>
      </c>
      <c r="H1379" s="5">
        <f>IFERROR(VLOOKUP(B1379,'[3]new sheet'!$A$1:$IV$65536,2,0),0)</f>
        <v>0</v>
      </c>
    </row>
    <row r="1380" spans="1:8" ht="24" customHeight="1">
      <c r="A1380" s="7">
        <v>988372</v>
      </c>
      <c r="B1380" s="7">
        <v>4133</v>
      </c>
      <c r="C1380" s="8" t="s">
        <v>1772</v>
      </c>
      <c r="D1380" s="8" t="s">
        <v>1934</v>
      </c>
      <c r="E1380" s="2">
        <f>IFERROR(VLOOKUP(B1380,'[1]new sheet'!$A$1:$IV$65536,5,FALSE),0)</f>
        <v>29</v>
      </c>
      <c r="F1380" s="3">
        <f>IFERROR(VLOOKUP(B1380,'[1]new sheet'!$A$1:$IV$65536,4,FALSE),0)</f>
        <v>0</v>
      </c>
      <c r="G1380" s="4">
        <f>IFERROR(VLOOKUP(B1380,'[2]new sheet'!$A$1:$IV$65536,2,0),0)</f>
        <v>22</v>
      </c>
      <c r="H1380" s="5">
        <f>IFERROR(VLOOKUP(B1380,'[3]new sheet'!$A$1:$IV$65536,2,0),0)</f>
        <v>14</v>
      </c>
    </row>
    <row r="1381" spans="1:8" ht="24" customHeight="1">
      <c r="A1381" s="7">
        <v>996649</v>
      </c>
      <c r="B1381" s="7">
        <v>3733</v>
      </c>
      <c r="C1381" s="8" t="s">
        <v>1130</v>
      </c>
      <c r="D1381" s="8" t="s">
        <v>1934</v>
      </c>
      <c r="E1381" s="2">
        <f>IFERROR(VLOOKUP(B1381,'[1]new sheet'!$A$1:$IV$65536,5,FALSE),0)</f>
        <v>1</v>
      </c>
      <c r="F1381" s="3">
        <f>IFERROR(VLOOKUP(B1381,'[1]new sheet'!$A$1:$IV$65536,4,FALSE),0)</f>
        <v>0</v>
      </c>
      <c r="G1381" s="4">
        <f>IFERROR(VLOOKUP(B1381,'[2]new sheet'!$A$1:$IV$65536,2,0),0)</f>
        <v>1</v>
      </c>
      <c r="H1381" s="5">
        <f>IFERROR(VLOOKUP(B1381,'[3]new sheet'!$A$1:$IV$65536,2,0),0)</f>
        <v>0</v>
      </c>
    </row>
    <row r="1382" spans="1:8" ht="24" customHeight="1">
      <c r="A1382" s="7">
        <v>996647</v>
      </c>
      <c r="B1382" s="7">
        <v>1967</v>
      </c>
      <c r="C1382" s="8" t="s">
        <v>1131</v>
      </c>
      <c r="D1382" s="8" t="s">
        <v>1934</v>
      </c>
      <c r="E1382" s="2">
        <f>IFERROR(VLOOKUP(B1382,'[1]new sheet'!$A$1:$IV$65536,5,FALSE),0)</f>
        <v>1</v>
      </c>
      <c r="F1382" s="3">
        <f>IFERROR(VLOOKUP(B1382,'[1]new sheet'!$A$1:$IV$65536,4,FALSE),0)</f>
        <v>0</v>
      </c>
      <c r="G1382" s="4">
        <f>IFERROR(VLOOKUP(B1382,'[2]new sheet'!$A$1:$IV$65536,2,0),0)</f>
        <v>1</v>
      </c>
      <c r="H1382" s="5">
        <f>IFERROR(VLOOKUP(B1382,'[3]new sheet'!$A$1:$IV$65536,2,0),0)</f>
        <v>0</v>
      </c>
    </row>
    <row r="1383" spans="1:8" ht="24" customHeight="1">
      <c r="A1383" s="7">
        <v>573396</v>
      </c>
      <c r="B1383" s="7">
        <v>1603</v>
      </c>
      <c r="C1383" s="8" t="s">
        <v>1132</v>
      </c>
      <c r="D1383" s="8" t="s">
        <v>1934</v>
      </c>
      <c r="E1383" s="2">
        <f>IFERROR(VLOOKUP(B1383,'[1]new sheet'!$A$1:$IV$65536,5,FALSE),0)</f>
        <v>2</v>
      </c>
      <c r="F1383" s="3">
        <f>IFERROR(VLOOKUP(B1383,'[1]new sheet'!$A$1:$IV$65536,4,FALSE),0)</f>
        <v>0</v>
      </c>
      <c r="G1383" s="4">
        <f>IFERROR(VLOOKUP(B1383,'[2]new sheet'!$A$1:$IV$65536,2,0),0)</f>
        <v>2</v>
      </c>
      <c r="H1383" s="5">
        <f>IFERROR(VLOOKUP(B1383,'[3]new sheet'!$A$1:$IV$65536,2,0),0)</f>
        <v>0</v>
      </c>
    </row>
    <row r="1384" spans="1:8" ht="24" customHeight="1">
      <c r="A1384" s="7">
        <v>573426</v>
      </c>
      <c r="B1384" s="7">
        <v>274</v>
      </c>
      <c r="C1384" s="8" t="s">
        <v>1133</v>
      </c>
      <c r="D1384" s="8" t="s">
        <v>1934</v>
      </c>
      <c r="E1384" s="2">
        <f>IFERROR(VLOOKUP(B1384,'[1]new sheet'!$A$1:$IV$65536,5,FALSE),0)</f>
        <v>1</v>
      </c>
      <c r="F1384" s="3">
        <f>IFERROR(VLOOKUP(B1384,'[1]new sheet'!$A$1:$IV$65536,4,FALSE),0)</f>
        <v>0</v>
      </c>
      <c r="G1384" s="4">
        <f>IFERROR(VLOOKUP(B1384,'[2]new sheet'!$A$1:$IV$65536,2,0),0)</f>
        <v>0</v>
      </c>
      <c r="H1384" s="5">
        <f>IFERROR(VLOOKUP(B1384,'[3]new sheet'!$A$1:$IV$65536,2,0),0)</f>
        <v>0</v>
      </c>
    </row>
    <row r="1385" spans="1:8" ht="24" customHeight="1">
      <c r="A1385" s="7">
        <v>996651</v>
      </c>
      <c r="B1385" s="7">
        <v>1417</v>
      </c>
      <c r="C1385" s="8" t="s">
        <v>1134</v>
      </c>
      <c r="D1385" s="8" t="s">
        <v>1934</v>
      </c>
      <c r="E1385" s="2">
        <f>IFERROR(VLOOKUP(B1385,'[1]new sheet'!$A$1:$IV$65536,5,FALSE),0)</f>
        <v>1</v>
      </c>
      <c r="F1385" s="3">
        <f>IFERROR(VLOOKUP(B1385,'[1]new sheet'!$A$1:$IV$65536,4,FALSE),0)</f>
        <v>0</v>
      </c>
      <c r="G1385" s="4">
        <f>IFERROR(VLOOKUP(B1385,'[2]new sheet'!$A$1:$IV$65536,2,0),0)</f>
        <v>1</v>
      </c>
      <c r="H1385" s="5">
        <f>IFERROR(VLOOKUP(B1385,'[3]new sheet'!$A$1:$IV$65536,2,0),0)</f>
        <v>0</v>
      </c>
    </row>
    <row r="1386" spans="1:8" ht="24" customHeight="1">
      <c r="A1386" s="7">
        <v>573388</v>
      </c>
      <c r="B1386" s="7">
        <v>273</v>
      </c>
      <c r="C1386" s="8" t="s">
        <v>1135</v>
      </c>
      <c r="D1386" s="8" t="s">
        <v>1934</v>
      </c>
      <c r="E1386" s="2">
        <f>IFERROR(VLOOKUP(B1386,'[1]new sheet'!$A$1:$IV$65536,5,FALSE),0)</f>
        <v>1</v>
      </c>
      <c r="F1386" s="3">
        <f>IFERROR(VLOOKUP(B1386,'[1]new sheet'!$A$1:$IV$65536,4,FALSE),0)</f>
        <v>0</v>
      </c>
      <c r="G1386" s="4">
        <f>IFERROR(VLOOKUP(B1386,'[2]new sheet'!$A$1:$IV$65536,2,0),0)</f>
        <v>2</v>
      </c>
      <c r="H1386" s="5">
        <f>IFERROR(VLOOKUP(B1386,'[3]new sheet'!$A$1:$IV$65536,2,0),0)</f>
        <v>0</v>
      </c>
    </row>
    <row r="1387" spans="1:8" ht="24" customHeight="1">
      <c r="A1387" s="7">
        <v>395</v>
      </c>
      <c r="B1387" s="7">
        <v>1360</v>
      </c>
      <c r="C1387" s="8" t="s">
        <v>1136</v>
      </c>
      <c r="D1387" s="8" t="s">
        <v>1935</v>
      </c>
      <c r="E1387" s="2">
        <f>IFERROR(VLOOKUP(B1387,'[1]new sheet'!$A$1:$IV$65536,5,FALSE),0)</f>
        <v>0</v>
      </c>
      <c r="F1387" s="3">
        <f>IFERROR(VLOOKUP(B1387,'[1]new sheet'!$A$1:$IV$65536,4,FALSE),0)</f>
        <v>0</v>
      </c>
      <c r="G1387" s="4">
        <f>IFERROR(VLOOKUP(B1387,'[2]new sheet'!$A$1:$IV$65536,2,0),0)</f>
        <v>0</v>
      </c>
      <c r="H1387" s="5">
        <f>IFERROR(VLOOKUP(B1387,'[3]new sheet'!$A$1:$IV$65536,2,0),0)</f>
        <v>0</v>
      </c>
    </row>
    <row r="1388" spans="1:8" ht="24" customHeight="1">
      <c r="A1388" s="7">
        <v>9000011775</v>
      </c>
      <c r="B1388" s="7">
        <v>3170</v>
      </c>
      <c r="C1388" s="8" t="s">
        <v>1137</v>
      </c>
      <c r="D1388" s="8" t="s">
        <v>1935</v>
      </c>
      <c r="E1388" s="2">
        <f>IFERROR(VLOOKUP(B1388,'[1]new sheet'!$A$1:$IV$65536,5,FALSE),0)</f>
        <v>0</v>
      </c>
      <c r="F1388" s="3">
        <f>IFERROR(VLOOKUP(B1388,'[1]new sheet'!$A$1:$IV$65536,4,FALSE),0)</f>
        <v>0</v>
      </c>
      <c r="G1388" s="4">
        <f>IFERROR(VLOOKUP(B1388,'[2]new sheet'!$A$1:$IV$65536,2,0),0)</f>
        <v>0</v>
      </c>
      <c r="H1388" s="5">
        <f>IFERROR(VLOOKUP(B1388,'[3]new sheet'!$A$1:$IV$65536,2,0),0)</f>
        <v>0</v>
      </c>
    </row>
    <row r="1389" spans="1:8" ht="24" customHeight="1">
      <c r="A1389" s="7">
        <v>701</v>
      </c>
      <c r="B1389" s="7">
        <v>2006</v>
      </c>
      <c r="C1389" s="8" t="s">
        <v>1572</v>
      </c>
      <c r="D1389" s="8" t="s">
        <v>1935</v>
      </c>
      <c r="E1389" s="2">
        <f>IFERROR(VLOOKUP(B1389,'[1]new sheet'!$A$1:$IV$65536,5,FALSE),0)</f>
        <v>264.99</v>
      </c>
      <c r="F1389" s="3">
        <f>IFERROR(VLOOKUP(B1389,'[1]new sheet'!$A$1:$IV$65536,4,FALSE),0)</f>
        <v>0</v>
      </c>
      <c r="G1389" s="4">
        <f>IFERROR(VLOOKUP(B1389,'[2]new sheet'!$A$1:$IV$65536,2,0),0)</f>
        <v>218.96</v>
      </c>
      <c r="H1389" s="5">
        <f>IFERROR(VLOOKUP(B1389,'[3]new sheet'!$A$1:$IV$65536,2,0),0)</f>
        <v>90.75</v>
      </c>
    </row>
    <row r="1390" spans="1:8" ht="24" customHeight="1">
      <c r="A1390" s="7"/>
      <c r="B1390" s="7">
        <v>688</v>
      </c>
      <c r="C1390" s="8" t="s">
        <v>1138</v>
      </c>
      <c r="D1390" s="8" t="s">
        <v>1935</v>
      </c>
      <c r="E1390" s="2">
        <f>IFERROR(VLOOKUP(B1390,'[1]new sheet'!$A$1:$IV$65536,5,FALSE),0)</f>
        <v>0</v>
      </c>
      <c r="F1390" s="3">
        <f>IFERROR(VLOOKUP(B1390,'[1]new sheet'!$A$1:$IV$65536,4,FALSE),0)</f>
        <v>0</v>
      </c>
      <c r="G1390" s="4">
        <f>IFERROR(VLOOKUP(B1390,'[2]new sheet'!$A$1:$IV$65536,2,0),0)</f>
        <v>0</v>
      </c>
      <c r="H1390" s="5">
        <f>IFERROR(VLOOKUP(B1390,'[3]new sheet'!$A$1:$IV$65536,2,0),0)</f>
        <v>0</v>
      </c>
    </row>
    <row r="1391" spans="1:8" ht="24" customHeight="1">
      <c r="A1391" s="7"/>
      <c r="B1391" s="7">
        <v>348</v>
      </c>
      <c r="C1391" s="8" t="s">
        <v>1139</v>
      </c>
      <c r="D1391" s="8" t="s">
        <v>1935</v>
      </c>
      <c r="E1391" s="2">
        <f>IFERROR(VLOOKUP(B1391,'[1]new sheet'!$A$1:$IV$65536,5,FALSE),0)</f>
        <v>1320.91</v>
      </c>
      <c r="F1391" s="3">
        <f>IFERROR(VLOOKUP(B1391,'[1]new sheet'!$A$1:$IV$65536,4,FALSE),0)</f>
        <v>0</v>
      </c>
      <c r="G1391" s="4">
        <f>IFERROR(VLOOKUP(B1391,'[2]new sheet'!$A$1:$IV$65536,2,0),0)</f>
        <v>49.27</v>
      </c>
      <c r="H1391" s="5">
        <f>IFERROR(VLOOKUP(B1391,'[3]new sheet'!$A$1:$IV$65536,2,0),0)</f>
        <v>0</v>
      </c>
    </row>
    <row r="1392" spans="1:8" ht="24" customHeight="1">
      <c r="A1392" s="7"/>
      <c r="B1392" s="7">
        <v>347</v>
      </c>
      <c r="C1392" s="8" t="s">
        <v>1140</v>
      </c>
      <c r="D1392" s="8" t="s">
        <v>1935</v>
      </c>
      <c r="E1392" s="2">
        <f>IFERROR(VLOOKUP(B1392,'[1]new sheet'!$A$1:$IV$65536,5,FALSE),0)</f>
        <v>0</v>
      </c>
      <c r="F1392" s="3">
        <f>IFERROR(VLOOKUP(B1392,'[1]new sheet'!$A$1:$IV$65536,4,FALSE),0)</f>
        <v>0</v>
      </c>
      <c r="G1392" s="4">
        <f>IFERROR(VLOOKUP(B1392,'[2]new sheet'!$A$1:$IV$65536,2,0),0)</f>
        <v>0</v>
      </c>
      <c r="H1392" s="5">
        <f>IFERROR(VLOOKUP(B1392,'[3]new sheet'!$A$1:$IV$65536,2,0),0)</f>
        <v>0</v>
      </c>
    </row>
    <row r="1393" spans="1:8" ht="24" customHeight="1">
      <c r="A1393" s="7">
        <v>224</v>
      </c>
      <c r="B1393" s="7">
        <v>1562</v>
      </c>
      <c r="C1393" s="8" t="s">
        <v>1141</v>
      </c>
      <c r="D1393" s="8" t="s">
        <v>1934</v>
      </c>
      <c r="E1393" s="2">
        <f>IFERROR(VLOOKUP(B1393,'[1]new sheet'!$A$1:$IV$65536,5,FALSE),0)</f>
        <v>0</v>
      </c>
      <c r="F1393" s="3">
        <f>IFERROR(VLOOKUP(B1393,'[1]new sheet'!$A$1:$IV$65536,4,FALSE),0)</f>
        <v>0</v>
      </c>
      <c r="G1393" s="4">
        <f>IFERROR(VLOOKUP(B1393,'[2]new sheet'!$A$1:$IV$65536,2,0),0)</f>
        <v>0</v>
      </c>
      <c r="H1393" s="5">
        <f>IFERROR(VLOOKUP(B1393,'[3]new sheet'!$A$1:$IV$65536,2,0),0)</f>
        <v>0</v>
      </c>
    </row>
    <row r="1394" spans="1:8" ht="24" customHeight="1">
      <c r="A1394" s="7">
        <v>1376</v>
      </c>
      <c r="B1394" s="7">
        <v>29</v>
      </c>
      <c r="C1394" s="8" t="s">
        <v>1142</v>
      </c>
      <c r="D1394" s="8" t="s">
        <v>1934</v>
      </c>
      <c r="E1394" s="2">
        <f>IFERROR(VLOOKUP(B1394,'[1]new sheet'!$A$1:$IV$65536,5,FALSE),0)</f>
        <v>0</v>
      </c>
      <c r="F1394" s="3">
        <f>IFERROR(VLOOKUP(B1394,'[1]new sheet'!$A$1:$IV$65536,4,FALSE),0)</f>
        <v>0</v>
      </c>
      <c r="G1394" s="4">
        <f>IFERROR(VLOOKUP(B1394,'[2]new sheet'!$A$1:$IV$65536,2,0),0)</f>
        <v>0</v>
      </c>
      <c r="H1394" s="5">
        <f>IFERROR(VLOOKUP(B1394,'[3]new sheet'!$A$1:$IV$65536,2,0),0)</f>
        <v>0</v>
      </c>
    </row>
    <row r="1395" spans="1:8" ht="24" customHeight="1">
      <c r="A1395" s="7">
        <v>376</v>
      </c>
      <c r="B1395" s="7">
        <v>1344</v>
      </c>
      <c r="C1395" s="8" t="s">
        <v>1143</v>
      </c>
      <c r="D1395" s="8" t="s">
        <v>1934</v>
      </c>
      <c r="E1395" s="2">
        <f>IFERROR(VLOOKUP(B1395,'[1]new sheet'!$A$1:$IV$65536,5,FALSE),0)</f>
        <v>0</v>
      </c>
      <c r="F1395" s="3">
        <f>IFERROR(VLOOKUP(B1395,'[1]new sheet'!$A$1:$IV$65536,4,FALSE),0)</f>
        <v>0</v>
      </c>
      <c r="G1395" s="4">
        <f>IFERROR(VLOOKUP(B1395,'[2]new sheet'!$A$1:$IV$65536,2,0),0)</f>
        <v>0</v>
      </c>
      <c r="H1395" s="5">
        <f>IFERROR(VLOOKUP(B1395,'[3]new sheet'!$A$1:$IV$65536,2,0),0)</f>
        <v>0</v>
      </c>
    </row>
    <row r="1396" spans="1:8" ht="24" customHeight="1">
      <c r="A1396" s="7">
        <v>27286</v>
      </c>
      <c r="B1396" s="7">
        <v>1981</v>
      </c>
      <c r="C1396" s="8" t="s">
        <v>1144</v>
      </c>
      <c r="D1396" s="8" t="s">
        <v>1934</v>
      </c>
      <c r="E1396" s="2">
        <f>IFERROR(VLOOKUP(B1396,'[1]new sheet'!$A$1:$IV$65536,5,FALSE),0)</f>
        <v>0</v>
      </c>
      <c r="F1396" s="3">
        <f>IFERROR(VLOOKUP(B1396,'[1]new sheet'!$A$1:$IV$65536,4,FALSE),0)</f>
        <v>0</v>
      </c>
      <c r="G1396" s="4">
        <f>IFERROR(VLOOKUP(B1396,'[2]new sheet'!$A$1:$IV$65536,2,0),0)</f>
        <v>0</v>
      </c>
      <c r="H1396" s="5">
        <f>IFERROR(VLOOKUP(B1396,'[3]new sheet'!$A$1:$IV$65536,2,0),0)</f>
        <v>0</v>
      </c>
    </row>
    <row r="1397" spans="1:8" ht="24" customHeight="1">
      <c r="A1397" s="7"/>
      <c r="B1397" s="7">
        <v>26</v>
      </c>
      <c r="C1397" s="8" t="s">
        <v>1145</v>
      </c>
      <c r="D1397" s="8" t="s">
        <v>1934</v>
      </c>
      <c r="E1397" s="2">
        <f>IFERROR(VLOOKUP(B1397,'[1]new sheet'!$A$1:$IV$65536,5,FALSE),0)</f>
        <v>0</v>
      </c>
      <c r="F1397" s="3">
        <f>IFERROR(VLOOKUP(B1397,'[1]new sheet'!$A$1:$IV$65536,4,FALSE),0)</f>
        <v>0</v>
      </c>
      <c r="G1397" s="4">
        <f>IFERROR(VLOOKUP(B1397,'[2]new sheet'!$A$1:$IV$65536,2,0),0)</f>
        <v>0</v>
      </c>
      <c r="H1397" s="5">
        <f>IFERROR(VLOOKUP(B1397,'[3]new sheet'!$A$1:$IV$65536,2,0),0)</f>
        <v>0</v>
      </c>
    </row>
    <row r="1398" spans="1:8" ht="24" customHeight="1">
      <c r="A1398" s="7">
        <v>383086</v>
      </c>
      <c r="B1398" s="7">
        <v>1698</v>
      </c>
      <c r="C1398" s="8" t="s">
        <v>1146</v>
      </c>
      <c r="D1398" s="8" t="s">
        <v>1934</v>
      </c>
      <c r="E1398" s="2">
        <f>IFERROR(VLOOKUP(B1398,'[1]new sheet'!$A$1:$IV$65536,5,FALSE),0)</f>
        <v>0</v>
      </c>
      <c r="F1398" s="3">
        <f>IFERROR(VLOOKUP(B1398,'[1]new sheet'!$A$1:$IV$65536,4,FALSE),0)</f>
        <v>0</v>
      </c>
      <c r="G1398" s="4">
        <f>IFERROR(VLOOKUP(B1398,'[2]new sheet'!$A$1:$IV$65536,2,0),0)</f>
        <v>0</v>
      </c>
      <c r="H1398" s="5">
        <f>IFERROR(VLOOKUP(B1398,'[3]new sheet'!$A$1:$IV$65536,2,0),0)</f>
        <v>0</v>
      </c>
    </row>
    <row r="1399" spans="1:8" ht="24" customHeight="1">
      <c r="A1399" s="7">
        <v>71078</v>
      </c>
      <c r="B1399" s="7">
        <v>3357</v>
      </c>
      <c r="C1399" s="8" t="s">
        <v>1147</v>
      </c>
      <c r="D1399" s="8" t="s">
        <v>1934</v>
      </c>
      <c r="E1399" s="2">
        <f>IFERROR(VLOOKUP(B1399,'[1]new sheet'!$A$1:$IV$65536,5,FALSE),0)</f>
        <v>0</v>
      </c>
      <c r="F1399" s="3">
        <f>IFERROR(VLOOKUP(B1399,'[1]new sheet'!$A$1:$IV$65536,4,FALSE),0)</f>
        <v>0</v>
      </c>
      <c r="G1399" s="4">
        <f>IFERROR(VLOOKUP(B1399,'[2]new sheet'!$A$1:$IV$65536,2,0),0)</f>
        <v>0</v>
      </c>
      <c r="H1399" s="5">
        <f>IFERROR(VLOOKUP(B1399,'[3]new sheet'!$A$1:$IV$65536,2,0),0)</f>
        <v>0</v>
      </c>
    </row>
    <row r="1400" spans="1:8" ht="24" customHeight="1">
      <c r="A1400" s="19">
        <v>196</v>
      </c>
      <c r="B1400" s="7">
        <v>4066</v>
      </c>
      <c r="C1400" s="8" t="s">
        <v>1693</v>
      </c>
      <c r="D1400" s="8" t="s">
        <v>1934</v>
      </c>
      <c r="E1400" s="2">
        <f>IFERROR(VLOOKUP(B1400,'[1]new sheet'!$A$1:$IV$65536,5,FALSE),0)</f>
        <v>0</v>
      </c>
      <c r="F1400" s="3">
        <f>IFERROR(VLOOKUP(B1400,'[1]new sheet'!$A$1:$IV$65536,4,FALSE),0)</f>
        <v>0</v>
      </c>
      <c r="G1400" s="4">
        <f>IFERROR(VLOOKUP(B1400,'[2]new sheet'!$A$1:$IV$65536,2,0),0)</f>
        <v>0</v>
      </c>
      <c r="H1400" s="5">
        <f>IFERROR(VLOOKUP(B1400,'[3]new sheet'!$A$1:$IV$65536,2,0),0)</f>
        <v>0</v>
      </c>
    </row>
    <row r="1401" spans="1:8" ht="24" customHeight="1">
      <c r="A1401" s="7">
        <v>24</v>
      </c>
      <c r="B1401" s="7">
        <v>3232</v>
      </c>
      <c r="C1401" s="8" t="s">
        <v>1148</v>
      </c>
      <c r="D1401" s="8" t="s">
        <v>1934</v>
      </c>
      <c r="E1401" s="2">
        <f>IFERROR(VLOOKUP(B1401,'[1]new sheet'!$A$1:$IV$65536,5,FALSE),0)</f>
        <v>181</v>
      </c>
      <c r="F1401" s="3">
        <f>IFERROR(VLOOKUP(B1401,'[1]new sheet'!$A$1:$IV$65536,4,FALSE),0)</f>
        <v>69</v>
      </c>
      <c r="G1401" s="4">
        <f>IFERROR(VLOOKUP(B1401,'[2]new sheet'!$A$1:$IV$65536,2,0),0)</f>
        <v>0</v>
      </c>
      <c r="H1401" s="5">
        <f>IFERROR(VLOOKUP(B1401,'[3]new sheet'!$A$1:$IV$65536,2,0),0)</f>
        <v>0</v>
      </c>
    </row>
    <row r="1402" spans="1:8" ht="24" customHeight="1">
      <c r="A1402" s="19">
        <v>1196</v>
      </c>
      <c r="B1402" s="7">
        <v>28</v>
      </c>
      <c r="C1402" s="8" t="s">
        <v>1149</v>
      </c>
      <c r="D1402" s="8" t="s">
        <v>1934</v>
      </c>
      <c r="E1402" s="2">
        <f>IFERROR(VLOOKUP(B1402,'[1]new sheet'!$A$1:$IV$65536,5,FALSE),0)</f>
        <v>0</v>
      </c>
      <c r="F1402" s="3">
        <f>IFERROR(VLOOKUP(B1402,'[1]new sheet'!$A$1:$IV$65536,4,FALSE),0)</f>
        <v>0</v>
      </c>
      <c r="G1402" s="4">
        <f>IFERROR(VLOOKUP(B1402,'[2]new sheet'!$A$1:$IV$65536,2,0),0)</f>
        <v>0</v>
      </c>
      <c r="H1402" s="5">
        <f>IFERROR(VLOOKUP(B1402,'[3]new sheet'!$A$1:$IV$65536,2,0),0)</f>
        <v>0</v>
      </c>
    </row>
    <row r="1403" spans="1:8" ht="24" customHeight="1">
      <c r="A1403" s="7">
        <v>99</v>
      </c>
      <c r="B1403" s="7">
        <v>27</v>
      </c>
      <c r="C1403" s="8" t="s">
        <v>1150</v>
      </c>
      <c r="D1403" s="8" t="s">
        <v>1934</v>
      </c>
      <c r="E1403" s="2">
        <f>IFERROR(VLOOKUP(B1403,'[1]new sheet'!$A$1:$IV$65536,5,FALSE),0)</f>
        <v>0</v>
      </c>
      <c r="F1403" s="3">
        <f>IFERROR(VLOOKUP(B1403,'[1]new sheet'!$A$1:$IV$65536,4,FALSE),0)</f>
        <v>0</v>
      </c>
      <c r="G1403" s="4">
        <f>IFERROR(VLOOKUP(B1403,'[2]new sheet'!$A$1:$IV$65536,2,0),0)</f>
        <v>669</v>
      </c>
      <c r="H1403" s="5">
        <f>IFERROR(VLOOKUP(B1403,'[3]new sheet'!$A$1:$IV$65536,2,0),0)</f>
        <v>2</v>
      </c>
    </row>
    <row r="1404" spans="1:8" ht="24" customHeight="1">
      <c r="A1404" s="7">
        <v>206</v>
      </c>
      <c r="B1404" s="7">
        <v>689</v>
      </c>
      <c r="C1404" s="8" t="s">
        <v>1151</v>
      </c>
      <c r="D1404" s="8" t="s">
        <v>1934</v>
      </c>
      <c r="E1404" s="2">
        <f>IFERROR(VLOOKUP(B1404,'[1]new sheet'!$A$1:$IV$65536,5,FALSE),0)</f>
        <v>0</v>
      </c>
      <c r="F1404" s="3">
        <f>IFERROR(VLOOKUP(B1404,'[1]new sheet'!$A$1:$IV$65536,4,FALSE),0)</f>
        <v>0</v>
      </c>
      <c r="G1404" s="4">
        <f>IFERROR(VLOOKUP(B1404,'[2]new sheet'!$A$1:$IV$65536,2,0),0)</f>
        <v>0</v>
      </c>
      <c r="H1404" s="5">
        <f>IFERROR(VLOOKUP(B1404,'[3]new sheet'!$A$1:$IV$65536,2,0),0)</f>
        <v>0</v>
      </c>
    </row>
    <row r="1405" spans="1:8" ht="24" customHeight="1">
      <c r="A1405" s="19">
        <v>3627</v>
      </c>
      <c r="B1405" s="7">
        <v>1982</v>
      </c>
      <c r="C1405" s="8" t="s">
        <v>1152</v>
      </c>
      <c r="D1405" s="8" t="s">
        <v>1934</v>
      </c>
      <c r="E1405" s="2">
        <f>IFERROR(VLOOKUP(B1405,'[1]new sheet'!$A$1:$IV$65536,5,FALSE),0)</f>
        <v>0</v>
      </c>
      <c r="F1405" s="3">
        <f>IFERROR(VLOOKUP(B1405,'[1]new sheet'!$A$1:$IV$65536,4,FALSE),0)</f>
        <v>0</v>
      </c>
      <c r="G1405" s="4">
        <f>IFERROR(VLOOKUP(B1405,'[2]new sheet'!$A$1:$IV$65536,2,0),0)</f>
        <v>0</v>
      </c>
      <c r="H1405" s="5">
        <f>IFERROR(VLOOKUP(B1405,'[3]new sheet'!$A$1:$IV$65536,2,0),0)</f>
        <v>0</v>
      </c>
    </row>
    <row r="1406" spans="1:8" ht="24" customHeight="1">
      <c r="A1406" s="7">
        <v>677297</v>
      </c>
      <c r="B1406" s="7">
        <v>2649</v>
      </c>
      <c r="C1406" s="8" t="s">
        <v>1153</v>
      </c>
      <c r="D1406" s="8" t="s">
        <v>1934</v>
      </c>
      <c r="E1406" s="2">
        <f>IFERROR(VLOOKUP(B1406,'[1]new sheet'!$A$1:$IV$65536,5,FALSE),0)</f>
        <v>0</v>
      </c>
      <c r="F1406" s="3">
        <f>IFERROR(VLOOKUP(B1406,'[1]new sheet'!$A$1:$IV$65536,4,FALSE),0)</f>
        <v>0</v>
      </c>
      <c r="G1406" s="4">
        <f>IFERROR(VLOOKUP(B1406,'[2]new sheet'!$A$1:$IV$65536,2,0),0)</f>
        <v>0</v>
      </c>
      <c r="H1406" s="5">
        <f>IFERROR(VLOOKUP(B1406,'[3]new sheet'!$A$1:$IV$65536,2,0),0)</f>
        <v>0</v>
      </c>
    </row>
    <row r="1407" spans="1:8" ht="24" customHeight="1">
      <c r="A1407" s="7">
        <v>212012</v>
      </c>
      <c r="B1407" s="7">
        <v>3290</v>
      </c>
      <c r="C1407" s="8" t="s">
        <v>1154</v>
      </c>
      <c r="D1407" s="8" t="s">
        <v>1935</v>
      </c>
      <c r="E1407" s="2">
        <f>IFERROR(VLOOKUP(B1407,'[1]new sheet'!$A$1:$IV$65536,5,FALSE),0)</f>
        <v>0</v>
      </c>
      <c r="F1407" s="3">
        <f>IFERROR(VLOOKUP(B1407,'[1]new sheet'!$A$1:$IV$65536,4,FALSE),0)</f>
        <v>0</v>
      </c>
      <c r="G1407" s="4">
        <f>IFERROR(VLOOKUP(B1407,'[2]new sheet'!$A$1:$IV$65536,2,0),0)</f>
        <v>0</v>
      </c>
      <c r="H1407" s="5">
        <f>IFERROR(VLOOKUP(B1407,'[3]new sheet'!$A$1:$IV$65536,2,0),0)</f>
        <v>0</v>
      </c>
    </row>
    <row r="1408" spans="1:8" ht="24" customHeight="1">
      <c r="A1408" s="7">
        <v>408</v>
      </c>
      <c r="B1408" s="7">
        <v>4304</v>
      </c>
      <c r="C1408" s="8" t="s">
        <v>1925</v>
      </c>
      <c r="D1408" s="8" t="s">
        <v>1934</v>
      </c>
      <c r="E1408" s="2">
        <f>IFERROR(VLOOKUP(B1408,'[1]new sheet'!$A$1:$IV$65536,5,FALSE),0)</f>
        <v>124</v>
      </c>
      <c r="F1408" s="3">
        <f>IFERROR(VLOOKUP(B1408,'[1]new sheet'!$A$1:$IV$65536,4,FALSE),0)</f>
        <v>7</v>
      </c>
      <c r="G1408" s="4">
        <f>IFERROR(VLOOKUP(B1408,'[2]new sheet'!$A$1:$IV$65536,2,0),0)</f>
        <v>7</v>
      </c>
      <c r="H1408" s="5">
        <f>IFERROR(VLOOKUP(B1408,'[3]new sheet'!$A$1:$IV$65536,2,0),0)</f>
        <v>63</v>
      </c>
    </row>
    <row r="1409" spans="1:8" ht="24" customHeight="1">
      <c r="A1409" s="7" t="s">
        <v>1155</v>
      </c>
      <c r="B1409" s="7">
        <v>690</v>
      </c>
      <c r="C1409" s="8" t="s">
        <v>1156</v>
      </c>
      <c r="D1409" s="8" t="s">
        <v>1935</v>
      </c>
      <c r="E1409" s="2">
        <f>IFERROR(VLOOKUP(B1409,'[1]new sheet'!$A$1:$IV$65536,5,FALSE),0)</f>
        <v>0</v>
      </c>
      <c r="F1409" s="3">
        <f>IFERROR(VLOOKUP(B1409,'[1]new sheet'!$A$1:$IV$65536,4,FALSE),0)</f>
        <v>0</v>
      </c>
      <c r="G1409" s="4">
        <f>IFERROR(VLOOKUP(B1409,'[2]new sheet'!$A$1:$IV$65536,2,0),0)</f>
        <v>0</v>
      </c>
      <c r="H1409" s="5">
        <f>IFERROR(VLOOKUP(B1409,'[3]new sheet'!$A$1:$IV$65536,2,0),0)</f>
        <v>0</v>
      </c>
    </row>
    <row r="1410" spans="1:8" ht="24" customHeight="1">
      <c r="A1410" s="7">
        <v>71</v>
      </c>
      <c r="B1410" s="7">
        <v>2091</v>
      </c>
      <c r="C1410" s="8" t="s">
        <v>1157</v>
      </c>
      <c r="D1410" s="8" t="s">
        <v>1935</v>
      </c>
      <c r="E1410" s="2">
        <f>IFERROR(VLOOKUP(B1410,'[1]new sheet'!$A$1:$IV$65536,5,FALSE),0)</f>
        <v>0</v>
      </c>
      <c r="F1410" s="3">
        <f>IFERROR(VLOOKUP(B1410,'[1]new sheet'!$A$1:$IV$65536,4,FALSE),0)</f>
        <v>0</v>
      </c>
      <c r="G1410" s="4">
        <f>IFERROR(VLOOKUP(B1410,'[2]new sheet'!$A$1:$IV$65536,2,0),0)</f>
        <v>0</v>
      </c>
      <c r="H1410" s="5">
        <f>IFERROR(VLOOKUP(B1410,'[3]new sheet'!$A$1:$IV$65536,2,0),0)</f>
        <v>0</v>
      </c>
    </row>
    <row r="1411" spans="1:8" ht="24" customHeight="1">
      <c r="A1411" s="7">
        <v>1701820</v>
      </c>
      <c r="B1411" s="7">
        <v>3090</v>
      </c>
      <c r="C1411" s="8" t="s">
        <v>1158</v>
      </c>
      <c r="D1411" s="8" t="s">
        <v>1935</v>
      </c>
      <c r="E1411" s="2">
        <f>IFERROR(VLOOKUP(B1411,'[1]new sheet'!$A$1:$IV$65536,5,FALSE),0)</f>
        <v>0</v>
      </c>
      <c r="F1411" s="3">
        <f>IFERROR(VLOOKUP(B1411,'[1]new sheet'!$A$1:$IV$65536,4,FALSE),0)</f>
        <v>0</v>
      </c>
      <c r="G1411" s="4">
        <f>IFERROR(VLOOKUP(B1411,'[2]new sheet'!$A$1:$IV$65536,2,0),0)</f>
        <v>0</v>
      </c>
      <c r="H1411" s="5">
        <f>IFERROR(VLOOKUP(B1411,'[3]new sheet'!$A$1:$IV$65536,2,0),0)</f>
        <v>0</v>
      </c>
    </row>
    <row r="1412" spans="1:8" ht="24" customHeight="1">
      <c r="A1412" s="19">
        <v>60061</v>
      </c>
      <c r="B1412" s="7">
        <v>118</v>
      </c>
      <c r="C1412" s="8" t="s">
        <v>1159</v>
      </c>
      <c r="D1412" s="8" t="s">
        <v>1934</v>
      </c>
      <c r="E1412" s="2">
        <f>IFERROR(VLOOKUP(B1412,'[1]new sheet'!$A$1:$IV$65536,5,FALSE),0)</f>
        <v>0</v>
      </c>
      <c r="F1412" s="3">
        <f>IFERROR(VLOOKUP(B1412,'[1]new sheet'!$A$1:$IV$65536,4,FALSE),0)</f>
        <v>0</v>
      </c>
      <c r="G1412" s="4">
        <f>IFERROR(VLOOKUP(B1412,'[2]new sheet'!$A$1:$IV$65536,2,0),0)</f>
        <v>370</v>
      </c>
      <c r="H1412" s="5">
        <f>IFERROR(VLOOKUP(B1412,'[3]new sheet'!$A$1:$IV$65536,2,0),0)</f>
        <v>0</v>
      </c>
    </row>
    <row r="1413" spans="1:8" ht="24" customHeight="1">
      <c r="A1413" s="7" t="s">
        <v>1160</v>
      </c>
      <c r="B1413" s="7">
        <v>691</v>
      </c>
      <c r="C1413" s="8" t="s">
        <v>1161</v>
      </c>
      <c r="D1413" s="8" t="s">
        <v>1934</v>
      </c>
      <c r="E1413" s="2">
        <f>IFERROR(VLOOKUP(B1413,'[1]new sheet'!$A$1:$IV$65536,5,FALSE),0)</f>
        <v>0</v>
      </c>
      <c r="F1413" s="3">
        <f>IFERROR(VLOOKUP(B1413,'[1]new sheet'!$A$1:$IV$65536,4,FALSE),0)</f>
        <v>0</v>
      </c>
      <c r="G1413" s="4">
        <f>IFERROR(VLOOKUP(B1413,'[2]new sheet'!$A$1:$IV$65536,2,0),0)</f>
        <v>0</v>
      </c>
      <c r="H1413" s="5">
        <f>IFERROR(VLOOKUP(B1413,'[3]new sheet'!$A$1:$IV$65536,2,0),0)</f>
        <v>0</v>
      </c>
    </row>
    <row r="1414" spans="1:8" ht="24" customHeight="1">
      <c r="A1414" s="7">
        <v>999572</v>
      </c>
      <c r="B1414" s="7">
        <v>694</v>
      </c>
      <c r="C1414" s="8" t="s">
        <v>1162</v>
      </c>
      <c r="D1414" s="8" t="s">
        <v>1935</v>
      </c>
      <c r="E1414" s="2">
        <f>IFERROR(VLOOKUP(B1414,'[1]new sheet'!$A$1:$IV$65536,5,FALSE),0)</f>
        <v>13.09</v>
      </c>
      <c r="F1414" s="3">
        <f>IFERROR(VLOOKUP(B1414,'[1]new sheet'!$A$1:$IV$65536,4,FALSE),0)</f>
        <v>0</v>
      </c>
      <c r="G1414" s="4">
        <f>IFERROR(VLOOKUP(B1414,'[2]new sheet'!$A$1:$IV$65536,2,0),0)</f>
        <v>0</v>
      </c>
      <c r="H1414" s="5">
        <f>IFERROR(VLOOKUP(B1414,'[3]new sheet'!$A$1:$IV$65536,2,0),0)</f>
        <v>0</v>
      </c>
    </row>
    <row r="1415" spans="1:8" ht="24" customHeight="1">
      <c r="A1415" s="7">
        <v>8338</v>
      </c>
      <c r="B1415" s="7">
        <v>272</v>
      </c>
      <c r="C1415" s="8" t="s">
        <v>1163</v>
      </c>
      <c r="D1415" s="8" t="s">
        <v>1936</v>
      </c>
      <c r="E1415" s="2">
        <f>IFERROR(VLOOKUP(B1415,'[1]new sheet'!$A$1:$IV$65536,5,FALSE),0)</f>
        <v>0</v>
      </c>
      <c r="F1415" s="3">
        <f>IFERROR(VLOOKUP(B1415,'[1]new sheet'!$A$1:$IV$65536,4,FALSE),0)</f>
        <v>0</v>
      </c>
      <c r="G1415" s="4">
        <f>IFERROR(VLOOKUP(B1415,'[2]new sheet'!$A$1:$IV$65536,2,0),0)</f>
        <v>15</v>
      </c>
      <c r="H1415" s="5">
        <f>IFERROR(VLOOKUP(B1415,'[3]new sheet'!$A$1:$IV$65536,2,0),0)</f>
        <v>4</v>
      </c>
    </row>
    <row r="1416" spans="1:8" ht="24" customHeight="1">
      <c r="A1416" s="7">
        <v>755</v>
      </c>
      <c r="B1416" s="7">
        <v>998</v>
      </c>
      <c r="C1416" s="8" t="s">
        <v>1164</v>
      </c>
      <c r="D1416" s="8" t="s">
        <v>1934</v>
      </c>
      <c r="E1416" s="2">
        <f>IFERROR(VLOOKUP(B1416,'[1]new sheet'!$A$1:$IV$65536,5,FALSE),0)</f>
        <v>0</v>
      </c>
      <c r="F1416" s="3">
        <f>IFERROR(VLOOKUP(B1416,'[1]new sheet'!$A$1:$IV$65536,4,FALSE),0)</f>
        <v>0</v>
      </c>
      <c r="G1416" s="4">
        <f>IFERROR(VLOOKUP(B1416,'[2]new sheet'!$A$1:$IV$65536,2,0),0)</f>
        <v>0</v>
      </c>
      <c r="H1416" s="5">
        <f>IFERROR(VLOOKUP(B1416,'[3]new sheet'!$A$1:$IV$65536,2,0),0)</f>
        <v>0</v>
      </c>
    </row>
    <row r="1417" spans="1:8" ht="24" customHeight="1">
      <c r="A1417" s="7">
        <v>1000110</v>
      </c>
      <c r="B1417" s="7">
        <v>346</v>
      </c>
      <c r="C1417" s="8" t="s">
        <v>1165</v>
      </c>
      <c r="D1417" s="8" t="s">
        <v>1934</v>
      </c>
      <c r="E1417" s="2">
        <f>IFERROR(VLOOKUP(B1417,'[1]new sheet'!$A$1:$IV$65536,5,FALSE),0)</f>
        <v>0</v>
      </c>
      <c r="F1417" s="3">
        <f>IFERROR(VLOOKUP(B1417,'[1]new sheet'!$A$1:$IV$65536,4,FALSE),0)</f>
        <v>0</v>
      </c>
      <c r="G1417" s="4">
        <f>IFERROR(VLOOKUP(B1417,'[2]new sheet'!$A$1:$IV$65536,2,0),0)</f>
        <v>0</v>
      </c>
      <c r="H1417" s="5">
        <f>IFERROR(VLOOKUP(B1417,'[3]new sheet'!$A$1:$IV$65536,2,0),0)</f>
        <v>0</v>
      </c>
    </row>
    <row r="1418" spans="1:8" ht="24" customHeight="1">
      <c r="A1418" s="19">
        <v>2100042001255</v>
      </c>
      <c r="B1418" s="7">
        <v>345</v>
      </c>
      <c r="C1418" s="8" t="s">
        <v>1166</v>
      </c>
      <c r="D1418" s="8" t="s">
        <v>1934</v>
      </c>
      <c r="E1418" s="2">
        <f>IFERROR(VLOOKUP(B1418,'[1]new sheet'!$A$1:$IV$65536,5,FALSE),0)</f>
        <v>47</v>
      </c>
      <c r="F1418" s="3">
        <f>IFERROR(VLOOKUP(B1418,'[1]new sheet'!$A$1:$IV$65536,4,FALSE),0)</f>
        <v>0</v>
      </c>
      <c r="G1418" s="4">
        <f>IFERROR(VLOOKUP(B1418,'[2]new sheet'!$A$1:$IV$65536,2,0),0)</f>
        <v>27</v>
      </c>
      <c r="H1418" s="5">
        <f>IFERROR(VLOOKUP(B1418,'[3]new sheet'!$A$1:$IV$65536,2,0),0)</f>
        <v>10</v>
      </c>
    </row>
    <row r="1419" spans="1:8" ht="24" customHeight="1">
      <c r="A1419" s="7">
        <v>5</v>
      </c>
      <c r="B1419" s="7">
        <v>3212</v>
      </c>
      <c r="C1419" s="8" t="s">
        <v>1167</v>
      </c>
      <c r="D1419" s="8" t="s">
        <v>1934</v>
      </c>
      <c r="E1419" s="2">
        <f>IFERROR(VLOOKUP(B1419,'[1]new sheet'!$A$1:$IV$65536,5,FALSE),0)</f>
        <v>0</v>
      </c>
      <c r="F1419" s="3">
        <f>IFERROR(VLOOKUP(B1419,'[1]new sheet'!$A$1:$IV$65536,4,FALSE),0)</f>
        <v>0</v>
      </c>
      <c r="G1419" s="4">
        <f>IFERROR(VLOOKUP(B1419,'[2]new sheet'!$A$1:$IV$65536,2,0),0)</f>
        <v>0</v>
      </c>
      <c r="H1419" s="5">
        <f>IFERROR(VLOOKUP(B1419,'[3]new sheet'!$A$1:$IV$65536,2,0),0)</f>
        <v>0</v>
      </c>
    </row>
    <row r="1420" spans="1:8" ht="24" customHeight="1">
      <c r="A1420" s="19">
        <v>34398</v>
      </c>
      <c r="B1420" s="7">
        <v>1842</v>
      </c>
      <c r="C1420" s="8" t="s">
        <v>1168</v>
      </c>
      <c r="D1420" s="8" t="s">
        <v>1934</v>
      </c>
      <c r="E1420" s="2">
        <f>IFERROR(VLOOKUP(B1420,'[1]new sheet'!$A$1:$IV$65536,5,FALSE),0)</f>
        <v>0</v>
      </c>
      <c r="F1420" s="3">
        <f>IFERROR(VLOOKUP(B1420,'[1]new sheet'!$A$1:$IV$65536,4,FALSE),0)</f>
        <v>0</v>
      </c>
      <c r="G1420" s="4">
        <f>IFERROR(VLOOKUP(B1420,'[2]new sheet'!$A$1:$IV$65536,2,0),0)</f>
        <v>0</v>
      </c>
      <c r="H1420" s="5">
        <f>IFERROR(VLOOKUP(B1420,'[3]new sheet'!$A$1:$IV$65536,2,0),0)</f>
        <v>0</v>
      </c>
    </row>
    <row r="1421" spans="1:8" ht="24" customHeight="1">
      <c r="A1421" s="7">
        <v>21</v>
      </c>
      <c r="B1421" s="7">
        <v>389</v>
      </c>
      <c r="C1421" s="8" t="s">
        <v>1169</v>
      </c>
      <c r="D1421" s="8" t="s">
        <v>1934</v>
      </c>
      <c r="E1421" s="2">
        <f>IFERROR(VLOOKUP(B1421,'[1]new sheet'!$A$1:$IV$65536,5,FALSE),0)</f>
        <v>0</v>
      </c>
      <c r="F1421" s="3">
        <f>IFERROR(VLOOKUP(B1421,'[1]new sheet'!$A$1:$IV$65536,4,FALSE),0)</f>
        <v>0</v>
      </c>
      <c r="G1421" s="4">
        <f>IFERROR(VLOOKUP(B1421,'[2]new sheet'!$A$1:$IV$65536,2,0),0)</f>
        <v>694</v>
      </c>
      <c r="H1421" s="5">
        <f>IFERROR(VLOOKUP(B1421,'[3]new sheet'!$A$1:$IV$65536,2,0),0)</f>
        <v>1</v>
      </c>
    </row>
    <row r="1422" spans="1:8" ht="24" customHeight="1">
      <c r="A1422" s="7">
        <v>680320</v>
      </c>
      <c r="B1422" s="7">
        <v>56</v>
      </c>
      <c r="C1422" s="8" t="s">
        <v>1170</v>
      </c>
      <c r="D1422" s="8" t="s">
        <v>1934</v>
      </c>
      <c r="E1422" s="2">
        <f>IFERROR(VLOOKUP(B1422,'[1]new sheet'!$A$1:$IV$65536,5,FALSE),0)</f>
        <v>0</v>
      </c>
      <c r="F1422" s="3">
        <f>IFERROR(VLOOKUP(B1422,'[1]new sheet'!$A$1:$IV$65536,4,FALSE),0)</f>
        <v>0</v>
      </c>
      <c r="G1422" s="4">
        <f>IFERROR(VLOOKUP(B1422,'[2]new sheet'!$A$1:$IV$65536,2,0),0)</f>
        <v>0</v>
      </c>
      <c r="H1422" s="5">
        <f>IFERROR(VLOOKUP(B1422,'[3]new sheet'!$A$1:$IV$65536,2,0),0)</f>
        <v>0</v>
      </c>
    </row>
    <row r="1423" spans="1:8" ht="24" customHeight="1">
      <c r="A1423" s="7">
        <v>3005560</v>
      </c>
      <c r="B1423" s="7">
        <v>4156</v>
      </c>
      <c r="C1423" s="8" t="s">
        <v>1773</v>
      </c>
      <c r="D1423" s="8" t="s">
        <v>1934</v>
      </c>
      <c r="E1423" s="2">
        <f>IFERROR(VLOOKUP(B1423,'[1]new sheet'!$A$1:$IV$65536,5,FALSE),0)</f>
        <v>0</v>
      </c>
      <c r="F1423" s="3">
        <f>IFERROR(VLOOKUP(B1423,'[1]new sheet'!$A$1:$IV$65536,4,FALSE),0)</f>
        <v>0</v>
      </c>
      <c r="G1423" s="4">
        <f>IFERROR(VLOOKUP(B1423,'[2]new sheet'!$A$1:$IV$65536,2,0),0)</f>
        <v>53</v>
      </c>
      <c r="H1423" s="5">
        <f>IFERROR(VLOOKUP(B1423,'[3]new sheet'!$A$1:$IV$65536,2,0),0)</f>
        <v>1</v>
      </c>
    </row>
    <row r="1424" spans="1:8" ht="24" customHeight="1">
      <c r="A1424" s="7">
        <v>140</v>
      </c>
      <c r="B1424" s="7">
        <v>695</v>
      </c>
      <c r="C1424" s="8" t="s">
        <v>1171</v>
      </c>
      <c r="D1424" s="8" t="s">
        <v>1934</v>
      </c>
      <c r="E1424" s="2">
        <f>IFERROR(VLOOKUP(B1424,'[1]new sheet'!$A$1:$IV$65536,5,FALSE),0)</f>
        <v>109</v>
      </c>
      <c r="F1424" s="3">
        <f>IFERROR(VLOOKUP(B1424,'[1]new sheet'!$A$1:$IV$65536,4,FALSE),0)</f>
        <v>23</v>
      </c>
      <c r="G1424" s="4">
        <f>IFERROR(VLOOKUP(B1424,'[2]new sheet'!$A$1:$IV$65536,2,0),0)</f>
        <v>17</v>
      </c>
      <c r="H1424" s="5">
        <f>IFERROR(VLOOKUP(B1424,'[3]new sheet'!$A$1:$IV$65536,2,0),0)</f>
        <v>246</v>
      </c>
    </row>
    <row r="1425" spans="1:8" ht="24" customHeight="1">
      <c r="A1425" s="7">
        <v>31</v>
      </c>
      <c r="B1425" s="7">
        <v>58</v>
      </c>
      <c r="C1425" s="8" t="s">
        <v>1172</v>
      </c>
      <c r="D1425" s="8" t="s">
        <v>1934</v>
      </c>
      <c r="E1425" s="2">
        <f>IFERROR(VLOOKUP(B1425,'[1]new sheet'!$A$1:$IV$65536,5,FALSE),0)</f>
        <v>80</v>
      </c>
      <c r="F1425" s="3">
        <f>IFERROR(VLOOKUP(B1425,'[1]new sheet'!$A$1:$IV$65536,4,FALSE),0)</f>
        <v>0</v>
      </c>
      <c r="G1425" s="4">
        <f>IFERROR(VLOOKUP(B1425,'[2]new sheet'!$A$1:$IV$65536,2,0),0)</f>
        <v>97</v>
      </c>
      <c r="H1425" s="5">
        <f>IFERROR(VLOOKUP(B1425,'[3]new sheet'!$A$1:$IV$65536,2,0),0)</f>
        <v>23</v>
      </c>
    </row>
    <row r="1426" spans="1:8" ht="24" customHeight="1">
      <c r="A1426" s="7">
        <v>150317</v>
      </c>
      <c r="B1426" s="7">
        <v>2320</v>
      </c>
      <c r="C1426" s="8" t="s">
        <v>1173</v>
      </c>
      <c r="D1426" s="8" t="s">
        <v>1934</v>
      </c>
      <c r="E1426" s="2">
        <f>IFERROR(VLOOKUP(B1426,'[1]new sheet'!$A$1:$IV$65536,5,FALSE),0)</f>
        <v>0</v>
      </c>
      <c r="F1426" s="3">
        <f>IFERROR(VLOOKUP(B1426,'[1]new sheet'!$A$1:$IV$65536,4,FALSE),0)</f>
        <v>0</v>
      </c>
      <c r="G1426" s="4">
        <f>IFERROR(VLOOKUP(B1426,'[2]new sheet'!$A$1:$IV$65536,2,0),0)</f>
        <v>0</v>
      </c>
      <c r="H1426" s="5">
        <f>IFERROR(VLOOKUP(B1426,'[3]new sheet'!$A$1:$IV$65536,2,0),0)</f>
        <v>0</v>
      </c>
    </row>
    <row r="1427" spans="1:8" ht="24" customHeight="1">
      <c r="A1427" s="7">
        <v>21103</v>
      </c>
      <c r="B1427" s="7">
        <v>1843</v>
      </c>
      <c r="C1427" s="8" t="s">
        <v>1174</v>
      </c>
      <c r="D1427" s="8" t="s">
        <v>1934</v>
      </c>
      <c r="E1427" s="2">
        <f>IFERROR(VLOOKUP(B1427,'[1]new sheet'!$A$1:$IV$65536,5,FALSE),0)</f>
        <v>0</v>
      </c>
      <c r="F1427" s="3">
        <f>IFERROR(VLOOKUP(B1427,'[1]new sheet'!$A$1:$IV$65536,4,FALSE),0)</f>
        <v>0</v>
      </c>
      <c r="G1427" s="4">
        <f>IFERROR(VLOOKUP(B1427,'[2]new sheet'!$A$1:$IV$65536,2,0),0)</f>
        <v>0</v>
      </c>
      <c r="H1427" s="5">
        <f>IFERROR(VLOOKUP(B1427,'[3]new sheet'!$A$1:$IV$65536,2,0),0)</f>
        <v>0</v>
      </c>
    </row>
    <row r="1428" spans="1:8" ht="24" customHeight="1">
      <c r="A1428" s="7">
        <v>252</v>
      </c>
      <c r="B1428" s="7">
        <v>1342</v>
      </c>
      <c r="C1428" s="8" t="s">
        <v>1175</v>
      </c>
      <c r="D1428" s="8" t="s">
        <v>1934</v>
      </c>
      <c r="E1428" s="2">
        <f>IFERROR(VLOOKUP(B1428,'[1]new sheet'!$A$1:$IV$65536,5,FALSE),0)</f>
        <v>0</v>
      </c>
      <c r="F1428" s="3">
        <f>IFERROR(VLOOKUP(B1428,'[1]new sheet'!$A$1:$IV$65536,4,FALSE),0)</f>
        <v>0</v>
      </c>
      <c r="G1428" s="4">
        <f>IFERROR(VLOOKUP(B1428,'[2]new sheet'!$A$1:$IV$65536,2,0),0)</f>
        <v>0</v>
      </c>
      <c r="H1428" s="5">
        <f>IFERROR(VLOOKUP(B1428,'[3]new sheet'!$A$1:$IV$65536,2,0),0)</f>
        <v>0</v>
      </c>
    </row>
    <row r="1429" spans="1:8" ht="24" customHeight="1">
      <c r="A1429" s="7">
        <v>241</v>
      </c>
      <c r="B1429" s="7">
        <v>59</v>
      </c>
      <c r="C1429" s="8" t="s">
        <v>1176</v>
      </c>
      <c r="D1429" s="8" t="s">
        <v>1934</v>
      </c>
      <c r="E1429" s="2">
        <f>IFERROR(VLOOKUP(B1429,'[1]new sheet'!$A$1:$IV$65536,5,FALSE),0)</f>
        <v>149</v>
      </c>
      <c r="F1429" s="3">
        <f>IFERROR(VLOOKUP(B1429,'[1]new sheet'!$A$1:$IV$65536,4,FALSE),0)</f>
        <v>0</v>
      </c>
      <c r="G1429" s="4">
        <f>IFERROR(VLOOKUP(B1429,'[2]new sheet'!$A$1:$IV$65536,2,0),0)</f>
        <v>219</v>
      </c>
      <c r="H1429" s="5">
        <f>IFERROR(VLOOKUP(B1429,'[3]new sheet'!$A$1:$IV$65536,2,0),0)</f>
        <v>65</v>
      </c>
    </row>
    <row r="1430" spans="1:8" ht="24" customHeight="1">
      <c r="A1430" s="19"/>
      <c r="B1430" s="7">
        <v>2202</v>
      </c>
      <c r="C1430" s="8" t="s">
        <v>1177</v>
      </c>
      <c r="D1430" s="8" t="s">
        <v>1934</v>
      </c>
      <c r="E1430" s="2">
        <f>IFERROR(VLOOKUP(B1430,'[1]new sheet'!$A$1:$IV$65536,5,FALSE),0)</f>
        <v>0</v>
      </c>
      <c r="F1430" s="3">
        <f>IFERROR(VLOOKUP(B1430,'[1]new sheet'!$A$1:$IV$65536,4,FALSE),0)</f>
        <v>0</v>
      </c>
      <c r="G1430" s="4">
        <f>IFERROR(VLOOKUP(B1430,'[2]new sheet'!$A$1:$IV$65536,2,0),0)</f>
        <v>0</v>
      </c>
      <c r="H1430" s="5">
        <f>IFERROR(VLOOKUP(B1430,'[3]new sheet'!$A$1:$IV$65536,2,0),0)</f>
        <v>0</v>
      </c>
    </row>
    <row r="1431" spans="1:8" ht="24" customHeight="1">
      <c r="A1431" s="7">
        <v>1109</v>
      </c>
      <c r="B1431" s="7">
        <v>2148</v>
      </c>
      <c r="C1431" s="8" t="s">
        <v>1178</v>
      </c>
      <c r="D1431" s="8" t="s">
        <v>1934</v>
      </c>
      <c r="E1431" s="2">
        <f>IFERROR(VLOOKUP(B1431,'[1]new sheet'!$A$1:$IV$65536,5,FALSE),0)</f>
        <v>0</v>
      </c>
      <c r="F1431" s="3">
        <f>IFERROR(VLOOKUP(B1431,'[1]new sheet'!$A$1:$IV$65536,4,FALSE),0)</f>
        <v>0</v>
      </c>
      <c r="G1431" s="4">
        <f>IFERROR(VLOOKUP(B1431,'[2]new sheet'!$A$1:$IV$65536,2,0),0)</f>
        <v>0</v>
      </c>
      <c r="H1431" s="5">
        <f>IFERROR(VLOOKUP(B1431,'[3]new sheet'!$A$1:$IV$65536,2,0),0)</f>
        <v>0</v>
      </c>
    </row>
    <row r="1432" spans="1:8" ht="24" customHeight="1">
      <c r="A1432" s="7">
        <v>3620</v>
      </c>
      <c r="B1432" s="7">
        <v>1841</v>
      </c>
      <c r="C1432" s="8" t="s">
        <v>1179</v>
      </c>
      <c r="D1432" s="8" t="s">
        <v>1934</v>
      </c>
      <c r="E1432" s="2">
        <f>IFERROR(VLOOKUP(B1432,'[1]new sheet'!$A$1:$IV$65536,5,FALSE),0)</f>
        <v>0</v>
      </c>
      <c r="F1432" s="3">
        <f>IFERROR(VLOOKUP(B1432,'[1]new sheet'!$A$1:$IV$65536,4,FALSE),0)</f>
        <v>0</v>
      </c>
      <c r="G1432" s="4">
        <f>IFERROR(VLOOKUP(B1432,'[2]new sheet'!$A$1:$IV$65536,2,0),0)</f>
        <v>5</v>
      </c>
      <c r="H1432" s="5">
        <f>IFERROR(VLOOKUP(B1432,'[3]new sheet'!$A$1:$IV$65536,2,0),0)</f>
        <v>0</v>
      </c>
    </row>
    <row r="1433" spans="1:8" ht="24" customHeight="1">
      <c r="A1433" s="7">
        <v>6</v>
      </c>
      <c r="B1433" s="7">
        <v>55</v>
      </c>
      <c r="C1433" s="8" t="s">
        <v>1180</v>
      </c>
      <c r="D1433" s="8" t="s">
        <v>1934</v>
      </c>
      <c r="E1433" s="2">
        <f>IFERROR(VLOOKUP(B1433,'[1]new sheet'!$A$1:$IV$65536,5,FALSE),0)</f>
        <v>695</v>
      </c>
      <c r="F1433" s="3">
        <f>IFERROR(VLOOKUP(B1433,'[1]new sheet'!$A$1:$IV$65536,4,FALSE),0)</f>
        <v>12</v>
      </c>
      <c r="G1433" s="4">
        <f>IFERROR(VLOOKUP(B1433,'[2]new sheet'!$A$1:$IV$65536,2,0),0)</f>
        <v>1164</v>
      </c>
      <c r="H1433" s="5">
        <f>IFERROR(VLOOKUP(B1433,'[3]new sheet'!$A$1:$IV$65536,2,0),0)</f>
        <v>276</v>
      </c>
    </row>
    <row r="1434" spans="1:8" ht="24" customHeight="1">
      <c r="A1434" s="7">
        <v>251</v>
      </c>
      <c r="B1434" s="7">
        <v>54</v>
      </c>
      <c r="C1434" s="8" t="s">
        <v>1181</v>
      </c>
      <c r="D1434" s="8" t="s">
        <v>1934</v>
      </c>
      <c r="E1434" s="2">
        <f>IFERROR(VLOOKUP(B1434,'[1]new sheet'!$A$1:$IV$65536,5,FALSE),0)</f>
        <v>206</v>
      </c>
      <c r="F1434" s="3">
        <f>IFERROR(VLOOKUP(B1434,'[1]new sheet'!$A$1:$IV$65536,4,FALSE),0)</f>
        <v>17</v>
      </c>
      <c r="G1434" s="4">
        <f>IFERROR(VLOOKUP(B1434,'[2]new sheet'!$A$1:$IV$65536,2,0),0)</f>
        <v>850</v>
      </c>
      <c r="H1434" s="5">
        <f>IFERROR(VLOOKUP(B1434,'[3]new sheet'!$A$1:$IV$65536,2,0),0)</f>
        <v>586</v>
      </c>
    </row>
    <row r="1435" spans="1:8" ht="24" customHeight="1">
      <c r="A1435" s="7">
        <v>60251</v>
      </c>
      <c r="B1435" s="7">
        <v>2319</v>
      </c>
      <c r="C1435" s="8" t="s">
        <v>1182</v>
      </c>
      <c r="D1435" s="8" t="s">
        <v>1934</v>
      </c>
      <c r="E1435" s="2">
        <f>IFERROR(VLOOKUP(B1435,'[1]new sheet'!$A$1:$IV$65536,5,FALSE),0)</f>
        <v>0</v>
      </c>
      <c r="F1435" s="3">
        <f>IFERROR(VLOOKUP(B1435,'[1]new sheet'!$A$1:$IV$65536,4,FALSE),0)</f>
        <v>0</v>
      </c>
      <c r="G1435" s="4">
        <f>IFERROR(VLOOKUP(B1435,'[2]new sheet'!$A$1:$IV$65536,2,0),0)</f>
        <v>0</v>
      </c>
      <c r="H1435" s="5">
        <f>IFERROR(VLOOKUP(B1435,'[3]new sheet'!$A$1:$IV$65536,2,0),0)</f>
        <v>0</v>
      </c>
    </row>
    <row r="1436" spans="1:8" ht="24" customHeight="1">
      <c r="A1436" s="7">
        <v>109</v>
      </c>
      <c r="B1436" s="7">
        <v>1199</v>
      </c>
      <c r="C1436" s="8" t="s">
        <v>1183</v>
      </c>
      <c r="D1436" s="8" t="s">
        <v>1934</v>
      </c>
      <c r="E1436" s="2">
        <f>IFERROR(VLOOKUP(B1436,'[1]new sheet'!$A$1:$IV$65536,5,FALSE),0)</f>
        <v>0</v>
      </c>
      <c r="F1436" s="3">
        <f>IFERROR(VLOOKUP(B1436,'[1]new sheet'!$A$1:$IV$65536,4,FALSE),0)</f>
        <v>0</v>
      </c>
      <c r="G1436" s="4">
        <f>IFERROR(VLOOKUP(B1436,'[2]new sheet'!$A$1:$IV$65536,2,0),0)</f>
        <v>0</v>
      </c>
      <c r="H1436" s="5">
        <f>IFERROR(VLOOKUP(B1436,'[3]new sheet'!$A$1:$IV$65536,2,0),0)</f>
        <v>0</v>
      </c>
    </row>
    <row r="1437" spans="1:8" ht="24" customHeight="1">
      <c r="A1437" s="7">
        <v>578100</v>
      </c>
      <c r="B1437" s="7">
        <v>1039</v>
      </c>
      <c r="C1437" s="8" t="s">
        <v>1184</v>
      </c>
      <c r="D1437" s="8" t="s">
        <v>1936</v>
      </c>
      <c r="E1437" s="2">
        <f>IFERROR(VLOOKUP(B1437,'[1]new sheet'!$A$1:$IV$65536,5,FALSE),0)</f>
        <v>19</v>
      </c>
      <c r="F1437" s="3">
        <f>IFERROR(VLOOKUP(B1437,'[1]new sheet'!$A$1:$IV$65536,4,FALSE),0)</f>
        <v>0</v>
      </c>
      <c r="G1437" s="4">
        <f>IFERROR(VLOOKUP(B1437,'[2]new sheet'!$A$1:$IV$65536,2,0),0)</f>
        <v>3</v>
      </c>
      <c r="H1437" s="5">
        <f>IFERROR(VLOOKUP(B1437,'[3]new sheet'!$A$1:$IV$65536,2,0),0)</f>
        <v>11</v>
      </c>
    </row>
    <row r="1438" spans="1:8" ht="24" customHeight="1">
      <c r="A1438" s="7">
        <v>72400</v>
      </c>
      <c r="B1438" s="7">
        <v>693</v>
      </c>
      <c r="C1438" s="8" t="s">
        <v>1185</v>
      </c>
      <c r="D1438" s="8" t="s">
        <v>1936</v>
      </c>
      <c r="E1438" s="2">
        <f>IFERROR(VLOOKUP(B1438,'[1]new sheet'!$A$1:$IV$65536,5,FALSE),0)</f>
        <v>0</v>
      </c>
      <c r="F1438" s="3">
        <f>IFERROR(VLOOKUP(B1438,'[1]new sheet'!$A$1:$IV$65536,4,FALSE),0)</f>
        <v>0</v>
      </c>
      <c r="G1438" s="4">
        <f>IFERROR(VLOOKUP(B1438,'[2]new sheet'!$A$1:$IV$65536,2,0),0)</f>
        <v>43</v>
      </c>
      <c r="H1438" s="5">
        <f>IFERROR(VLOOKUP(B1438,'[3]new sheet'!$A$1:$IV$65536,2,0),0)</f>
        <v>7</v>
      </c>
    </row>
    <row r="1439" spans="1:8" ht="24" customHeight="1">
      <c r="A1439" s="19">
        <v>998544</v>
      </c>
      <c r="B1439" s="7">
        <v>271</v>
      </c>
      <c r="C1439" s="8" t="s">
        <v>1186</v>
      </c>
      <c r="D1439" s="8" t="s">
        <v>1934</v>
      </c>
      <c r="E1439" s="2">
        <f>IFERROR(VLOOKUP(B1439,'[1]new sheet'!$A$1:$IV$65536,5,FALSE),0)</f>
        <v>0</v>
      </c>
      <c r="F1439" s="3">
        <f>IFERROR(VLOOKUP(B1439,'[1]new sheet'!$A$1:$IV$65536,4,FALSE),0)</f>
        <v>3</v>
      </c>
      <c r="G1439" s="4">
        <f>IFERROR(VLOOKUP(B1439,'[2]new sheet'!$A$1:$IV$65536,2,0),0)</f>
        <v>5</v>
      </c>
      <c r="H1439" s="5">
        <f>IFERROR(VLOOKUP(B1439,'[3]new sheet'!$A$1:$IV$65536,2,0),0)</f>
        <v>1</v>
      </c>
    </row>
    <row r="1440" spans="1:8" ht="24" customHeight="1">
      <c r="A1440" s="7">
        <v>996563</v>
      </c>
      <c r="B1440" s="7">
        <v>1759</v>
      </c>
      <c r="C1440" s="8" t="s">
        <v>1187</v>
      </c>
      <c r="D1440" s="8" t="s">
        <v>1935</v>
      </c>
      <c r="E1440" s="2">
        <f>IFERROR(VLOOKUP(B1440,'[1]new sheet'!$A$1:$IV$65536,5,FALSE),0)</f>
        <v>41.99</v>
      </c>
      <c r="F1440" s="3">
        <f>IFERROR(VLOOKUP(B1440,'[1]new sheet'!$A$1:$IV$65536,4,FALSE),0)</f>
        <v>0</v>
      </c>
      <c r="G1440" s="4">
        <f>IFERROR(VLOOKUP(B1440,'[2]new sheet'!$A$1:$IV$65536,2,0),0)</f>
        <v>0</v>
      </c>
      <c r="H1440" s="5">
        <f>IFERROR(VLOOKUP(B1440,'[3]new sheet'!$A$1:$IV$65536,2,0),0)</f>
        <v>0</v>
      </c>
    </row>
    <row r="1441" spans="1:8" ht="24" customHeight="1">
      <c r="A1441" s="19">
        <v>112231</v>
      </c>
      <c r="B1441" s="7">
        <v>4031</v>
      </c>
      <c r="C1441" s="8" t="s">
        <v>1684</v>
      </c>
      <c r="D1441" s="8" t="s">
        <v>1934</v>
      </c>
      <c r="E1441" s="2">
        <f>IFERROR(VLOOKUP(B1441,'[1]new sheet'!$A$1:$IV$65536,5,FALSE),0)</f>
        <v>0</v>
      </c>
      <c r="F1441" s="3">
        <f>IFERROR(VLOOKUP(B1441,'[1]new sheet'!$A$1:$IV$65536,4,FALSE),0)</f>
        <v>0</v>
      </c>
      <c r="G1441" s="4">
        <f>IFERROR(VLOOKUP(B1441,'[2]new sheet'!$A$1:$IV$65536,2,0),0)</f>
        <v>0</v>
      </c>
      <c r="H1441" s="5">
        <f>IFERROR(VLOOKUP(B1441,'[3]new sheet'!$A$1:$IV$65536,2,0),0)</f>
        <v>0</v>
      </c>
    </row>
    <row r="1442" spans="1:8" ht="24" customHeight="1">
      <c r="A1442" s="7">
        <v>1460029</v>
      </c>
      <c r="B1442" s="7">
        <v>1931</v>
      </c>
      <c r="C1442" s="8" t="s">
        <v>1188</v>
      </c>
      <c r="D1442" s="8" t="s">
        <v>1934</v>
      </c>
      <c r="E1442" s="2">
        <f>IFERROR(VLOOKUP(B1442,'[1]new sheet'!$A$1:$IV$65536,5,FALSE),0)</f>
        <v>0</v>
      </c>
      <c r="F1442" s="3">
        <f>IFERROR(VLOOKUP(B1442,'[1]new sheet'!$A$1:$IV$65536,4,FALSE),0)</f>
        <v>0</v>
      </c>
      <c r="G1442" s="4">
        <f>IFERROR(VLOOKUP(B1442,'[2]new sheet'!$A$1:$IV$65536,2,0),0)</f>
        <v>0</v>
      </c>
      <c r="H1442" s="5">
        <f>IFERROR(VLOOKUP(B1442,'[3]new sheet'!$A$1:$IV$65536,2,0),0)</f>
        <v>0</v>
      </c>
    </row>
    <row r="1443" spans="1:8" ht="24" customHeight="1">
      <c r="A1443" s="7">
        <v>317</v>
      </c>
      <c r="B1443" s="7">
        <v>2468</v>
      </c>
      <c r="C1443" s="8" t="s">
        <v>1189</v>
      </c>
      <c r="D1443" s="8" t="s">
        <v>1934</v>
      </c>
      <c r="E1443" s="2">
        <f>IFERROR(VLOOKUP(B1443,'[1]new sheet'!$A$1:$IV$65536,5,FALSE),0)</f>
        <v>0</v>
      </c>
      <c r="F1443" s="3">
        <f>IFERROR(VLOOKUP(B1443,'[1]new sheet'!$A$1:$IV$65536,4,FALSE),0)</f>
        <v>0</v>
      </c>
      <c r="G1443" s="4">
        <f>IFERROR(VLOOKUP(B1443,'[2]new sheet'!$A$1:$IV$65536,2,0),0)</f>
        <v>0</v>
      </c>
      <c r="H1443" s="5">
        <f>IFERROR(VLOOKUP(B1443,'[3]new sheet'!$A$1:$IV$65536,2,0),0)</f>
        <v>0</v>
      </c>
    </row>
    <row r="1444" spans="1:8" ht="24" customHeight="1">
      <c r="A1444" s="7">
        <v>1267</v>
      </c>
      <c r="B1444" s="7">
        <v>3368</v>
      </c>
      <c r="C1444" s="8" t="s">
        <v>1190</v>
      </c>
      <c r="D1444" s="8" t="s">
        <v>1934</v>
      </c>
      <c r="E1444" s="2">
        <f>IFERROR(VLOOKUP(B1444,'[1]new sheet'!$A$1:$IV$65536,5,FALSE),0)</f>
        <v>0</v>
      </c>
      <c r="F1444" s="3">
        <f>IFERROR(VLOOKUP(B1444,'[1]new sheet'!$A$1:$IV$65536,4,FALSE),0)</f>
        <v>0</v>
      </c>
      <c r="G1444" s="4">
        <f>IFERROR(VLOOKUP(B1444,'[2]new sheet'!$A$1:$IV$65536,2,0),0)</f>
        <v>0</v>
      </c>
      <c r="H1444" s="5">
        <f>IFERROR(VLOOKUP(B1444,'[3]new sheet'!$A$1:$IV$65536,2,0),0)</f>
        <v>0</v>
      </c>
    </row>
    <row r="1445" spans="1:8" ht="24" customHeight="1">
      <c r="A1445" s="19">
        <v>316</v>
      </c>
      <c r="B1445" s="7">
        <v>2471</v>
      </c>
      <c r="C1445" s="8" t="s">
        <v>1191</v>
      </c>
      <c r="D1445" s="8" t="s">
        <v>1934</v>
      </c>
      <c r="E1445" s="2">
        <f>IFERROR(VLOOKUP(B1445,'[1]new sheet'!$A$1:$IV$65536,5,FALSE),0)</f>
        <v>0</v>
      </c>
      <c r="F1445" s="3">
        <f>IFERROR(VLOOKUP(B1445,'[1]new sheet'!$A$1:$IV$65536,4,FALSE),0)</f>
        <v>0</v>
      </c>
      <c r="G1445" s="4">
        <f>IFERROR(VLOOKUP(B1445,'[2]new sheet'!$A$1:$IV$65536,2,0),0)</f>
        <v>0</v>
      </c>
      <c r="H1445" s="5">
        <f>IFERROR(VLOOKUP(B1445,'[3]new sheet'!$A$1:$IV$65536,2,0),0)</f>
        <v>0</v>
      </c>
    </row>
    <row r="1446" spans="1:8" ht="24" customHeight="1">
      <c r="A1446" s="7">
        <v>87</v>
      </c>
      <c r="B1446" s="7">
        <v>3369</v>
      </c>
      <c r="C1446" s="8" t="s">
        <v>1192</v>
      </c>
      <c r="D1446" s="8" t="s">
        <v>1934</v>
      </c>
      <c r="E1446" s="2">
        <f>IFERROR(VLOOKUP(B1446,'[1]new sheet'!$A$1:$IV$65536,5,FALSE),0)</f>
        <v>0</v>
      </c>
      <c r="F1446" s="3">
        <f>IFERROR(VLOOKUP(B1446,'[1]new sheet'!$A$1:$IV$65536,4,FALSE),0)</f>
        <v>0</v>
      </c>
      <c r="G1446" s="4">
        <f>IFERROR(VLOOKUP(B1446,'[2]new sheet'!$A$1:$IV$65536,2,0),0)</f>
        <v>0</v>
      </c>
      <c r="H1446" s="5">
        <f>IFERROR(VLOOKUP(B1446,'[3]new sheet'!$A$1:$IV$65536,2,0),0)</f>
        <v>0</v>
      </c>
    </row>
    <row r="1447" spans="1:8" ht="24" customHeight="1">
      <c r="A1447" s="7"/>
      <c r="B1447" s="7">
        <v>132</v>
      </c>
      <c r="C1447" s="8" t="s">
        <v>1193</v>
      </c>
      <c r="D1447" s="8" t="s">
        <v>1934</v>
      </c>
      <c r="E1447" s="2">
        <f>IFERROR(VLOOKUP(B1447,'[1]new sheet'!$A$1:$IV$65536,5,FALSE),0)</f>
        <v>0</v>
      </c>
      <c r="F1447" s="3">
        <f>IFERROR(VLOOKUP(B1447,'[1]new sheet'!$A$1:$IV$65536,4,FALSE),0)</f>
        <v>0</v>
      </c>
      <c r="G1447" s="4">
        <f>IFERROR(VLOOKUP(B1447,'[2]new sheet'!$A$1:$IV$65536,2,0),0)</f>
        <v>0</v>
      </c>
      <c r="H1447" s="5">
        <f>IFERROR(VLOOKUP(B1447,'[3]new sheet'!$A$1:$IV$65536,2,0),0)</f>
        <v>0</v>
      </c>
    </row>
    <row r="1448" spans="1:8" ht="24" customHeight="1">
      <c r="A1448" s="7"/>
      <c r="B1448" s="7">
        <v>696</v>
      </c>
      <c r="C1448" s="8" t="s">
        <v>1194</v>
      </c>
      <c r="D1448" s="8" t="s">
        <v>1934</v>
      </c>
      <c r="E1448" s="2">
        <f>IFERROR(VLOOKUP(B1448,'[1]new sheet'!$A$1:$IV$65536,5,FALSE),0)</f>
        <v>0</v>
      </c>
      <c r="F1448" s="3">
        <f>IFERROR(VLOOKUP(B1448,'[1]new sheet'!$A$1:$IV$65536,4,FALSE),0)</f>
        <v>0</v>
      </c>
      <c r="G1448" s="4">
        <f>IFERROR(VLOOKUP(B1448,'[2]new sheet'!$A$1:$IV$65536,2,0),0)</f>
        <v>0</v>
      </c>
      <c r="H1448" s="5">
        <f>IFERROR(VLOOKUP(B1448,'[3]new sheet'!$A$1:$IV$65536,2,0),0)</f>
        <v>0</v>
      </c>
    </row>
    <row r="1449" spans="1:8" ht="24" customHeight="1">
      <c r="A1449" s="7">
        <v>1460033</v>
      </c>
      <c r="B1449" s="7">
        <v>1930</v>
      </c>
      <c r="C1449" s="8" t="s">
        <v>1195</v>
      </c>
      <c r="D1449" s="8" t="s">
        <v>1934</v>
      </c>
      <c r="E1449" s="2">
        <f>IFERROR(VLOOKUP(B1449,'[1]new sheet'!$A$1:$IV$65536,5,FALSE),0)</f>
        <v>0</v>
      </c>
      <c r="F1449" s="3">
        <f>IFERROR(VLOOKUP(B1449,'[1]new sheet'!$A$1:$IV$65536,4,FALSE),0)</f>
        <v>0</v>
      </c>
      <c r="G1449" s="4">
        <f>IFERROR(VLOOKUP(B1449,'[2]new sheet'!$A$1:$IV$65536,2,0),0)</f>
        <v>0</v>
      </c>
      <c r="H1449" s="5">
        <f>IFERROR(VLOOKUP(B1449,'[3]new sheet'!$A$1:$IV$65536,2,0),0)</f>
        <v>0</v>
      </c>
    </row>
    <row r="1450" spans="1:8" ht="24" customHeight="1">
      <c r="A1450" s="19"/>
      <c r="B1450" s="7">
        <v>133</v>
      </c>
      <c r="C1450" s="8" t="s">
        <v>1196</v>
      </c>
      <c r="D1450" s="8" t="s">
        <v>1934</v>
      </c>
      <c r="E1450" s="2">
        <f>IFERROR(VLOOKUP(B1450,'[1]new sheet'!$A$1:$IV$65536,5,FALSE),0)</f>
        <v>0</v>
      </c>
      <c r="F1450" s="3">
        <f>IFERROR(VLOOKUP(B1450,'[1]new sheet'!$A$1:$IV$65536,4,FALSE),0)</f>
        <v>0</v>
      </c>
      <c r="G1450" s="4">
        <f>IFERROR(VLOOKUP(B1450,'[2]new sheet'!$A$1:$IV$65536,2,0),0)</f>
        <v>0</v>
      </c>
      <c r="H1450" s="5">
        <f>IFERROR(VLOOKUP(B1450,'[3]new sheet'!$A$1:$IV$65536,2,0),0)</f>
        <v>0</v>
      </c>
    </row>
    <row r="1451" spans="1:8" ht="24" customHeight="1">
      <c r="A1451" s="7">
        <v>1037</v>
      </c>
      <c r="B1451" s="7">
        <v>3370</v>
      </c>
      <c r="C1451" s="8" t="s">
        <v>1197</v>
      </c>
      <c r="D1451" s="8" t="s">
        <v>1934</v>
      </c>
      <c r="E1451" s="2">
        <f>IFERROR(VLOOKUP(B1451,'[1]new sheet'!$A$1:$IV$65536,5,FALSE),0)</f>
        <v>80</v>
      </c>
      <c r="F1451" s="3">
        <f>IFERROR(VLOOKUP(B1451,'[1]new sheet'!$A$1:$IV$65536,4,FALSE),0)</f>
        <v>0</v>
      </c>
      <c r="G1451" s="4">
        <f>IFERROR(VLOOKUP(B1451,'[2]new sheet'!$A$1:$IV$65536,2,0),0)</f>
        <v>42</v>
      </c>
      <c r="H1451" s="5">
        <f>IFERROR(VLOOKUP(B1451,'[3]new sheet'!$A$1:$IV$65536,2,0),0)</f>
        <v>17</v>
      </c>
    </row>
    <row r="1452" spans="1:8" ht="24" customHeight="1">
      <c r="A1452" s="7">
        <v>1739</v>
      </c>
      <c r="B1452" s="7">
        <v>1602</v>
      </c>
      <c r="C1452" s="8" t="s">
        <v>1198</v>
      </c>
      <c r="D1452" s="8" t="s">
        <v>1934</v>
      </c>
      <c r="E1452" s="2">
        <f>IFERROR(VLOOKUP(B1452,'[1]new sheet'!$A$1:$IV$65536,5,FALSE),0)</f>
        <v>0</v>
      </c>
      <c r="F1452" s="3">
        <f>IFERROR(VLOOKUP(B1452,'[1]new sheet'!$A$1:$IV$65536,4,FALSE),0)</f>
        <v>0</v>
      </c>
      <c r="G1452" s="4">
        <f>IFERROR(VLOOKUP(B1452,'[2]new sheet'!$A$1:$IV$65536,2,0),0)</f>
        <v>0</v>
      </c>
      <c r="H1452" s="5">
        <f>IFERROR(VLOOKUP(B1452,'[3]new sheet'!$A$1:$IV$65536,2,0),0)</f>
        <v>0</v>
      </c>
    </row>
    <row r="1453" spans="1:8" ht="24" customHeight="1">
      <c r="A1453" s="7">
        <v>135245</v>
      </c>
      <c r="B1453" s="7">
        <v>129</v>
      </c>
      <c r="C1453" s="8" t="s">
        <v>1199</v>
      </c>
      <c r="D1453" s="8" t="s">
        <v>1934</v>
      </c>
      <c r="E1453" s="2">
        <f>IFERROR(VLOOKUP(B1453,'[1]new sheet'!$A$1:$IV$65536,5,FALSE),0)</f>
        <v>230</v>
      </c>
      <c r="F1453" s="3">
        <f>IFERROR(VLOOKUP(B1453,'[1]new sheet'!$A$1:$IV$65536,4,FALSE),0)</f>
        <v>1</v>
      </c>
      <c r="G1453" s="4">
        <f>IFERROR(VLOOKUP(B1453,'[2]new sheet'!$A$1:$IV$65536,2,0),0)</f>
        <v>47</v>
      </c>
      <c r="H1453" s="5">
        <f>IFERROR(VLOOKUP(B1453,'[3]new sheet'!$A$1:$IV$65536,2,0),0)</f>
        <v>18</v>
      </c>
    </row>
    <row r="1454" spans="1:8" ht="24" customHeight="1">
      <c r="A1454" s="7">
        <v>43871</v>
      </c>
      <c r="B1454" s="7">
        <v>4190</v>
      </c>
      <c r="C1454" s="8" t="s">
        <v>1843</v>
      </c>
      <c r="D1454" s="8" t="s">
        <v>1934</v>
      </c>
      <c r="E1454" s="2">
        <f>IFERROR(VLOOKUP(B1454,'[1]new sheet'!$A$1:$IV$65536,5,FALSE),0)</f>
        <v>0</v>
      </c>
      <c r="F1454" s="3">
        <f>IFERROR(VLOOKUP(B1454,'[1]new sheet'!$A$1:$IV$65536,4,FALSE),0)</f>
        <v>0</v>
      </c>
      <c r="G1454" s="4">
        <f>IFERROR(VLOOKUP(B1454,'[2]new sheet'!$A$1:$IV$65536,2,0),0)</f>
        <v>2</v>
      </c>
      <c r="H1454" s="5">
        <f>IFERROR(VLOOKUP(B1454,'[3]new sheet'!$A$1:$IV$65536,2,0),0)</f>
        <v>0</v>
      </c>
    </row>
    <row r="1455" spans="1:8" ht="24" customHeight="1">
      <c r="A1455" s="7">
        <v>43863</v>
      </c>
      <c r="B1455" s="7">
        <v>3449</v>
      </c>
      <c r="C1455" s="8" t="s">
        <v>1200</v>
      </c>
      <c r="D1455" s="8" t="s">
        <v>1934</v>
      </c>
      <c r="E1455" s="2">
        <f>IFERROR(VLOOKUP(B1455,'[1]new sheet'!$A$1:$IV$65536,5,FALSE),0)</f>
        <v>0</v>
      </c>
      <c r="F1455" s="3">
        <f>IFERROR(VLOOKUP(B1455,'[1]new sheet'!$A$1:$IV$65536,4,FALSE),0)</f>
        <v>0</v>
      </c>
      <c r="G1455" s="4">
        <f>IFERROR(VLOOKUP(B1455,'[2]new sheet'!$A$1:$IV$65536,2,0),0)</f>
        <v>0</v>
      </c>
      <c r="H1455" s="5">
        <f>IFERROR(VLOOKUP(B1455,'[3]new sheet'!$A$1:$IV$65536,2,0),0)</f>
        <v>0</v>
      </c>
    </row>
    <row r="1456" spans="1:8" ht="24" customHeight="1">
      <c r="A1456" s="7"/>
      <c r="B1456" s="7">
        <v>697</v>
      </c>
      <c r="C1456" s="8" t="s">
        <v>1201</v>
      </c>
      <c r="D1456" s="8" t="s">
        <v>1934</v>
      </c>
      <c r="E1456" s="2">
        <f>IFERROR(VLOOKUP(B1456,'[1]new sheet'!$A$1:$IV$65536,5,FALSE),0)</f>
        <v>0</v>
      </c>
      <c r="F1456" s="3">
        <f>IFERROR(VLOOKUP(B1456,'[1]new sheet'!$A$1:$IV$65536,4,FALSE),0)</f>
        <v>0</v>
      </c>
      <c r="G1456" s="4">
        <f>IFERROR(VLOOKUP(B1456,'[2]new sheet'!$A$1:$IV$65536,2,0),0)</f>
        <v>0</v>
      </c>
      <c r="H1456" s="5">
        <f>IFERROR(VLOOKUP(B1456,'[3]new sheet'!$A$1:$IV$65536,2,0),0)</f>
        <v>0</v>
      </c>
    </row>
    <row r="1457" spans="1:8" ht="24" customHeight="1">
      <c r="A1457" s="7">
        <v>242</v>
      </c>
      <c r="B1457" s="7">
        <v>1640</v>
      </c>
      <c r="C1457" s="8" t="s">
        <v>1685</v>
      </c>
      <c r="D1457" s="8" t="s">
        <v>1934</v>
      </c>
      <c r="E1457" s="2">
        <f>IFERROR(VLOOKUP(B1457,'[1]new sheet'!$A$1:$IV$65536,5,FALSE),0)</f>
        <v>21</v>
      </c>
      <c r="F1457" s="3">
        <f>IFERROR(VLOOKUP(B1457,'[1]new sheet'!$A$1:$IV$65536,4,FALSE),0)</f>
        <v>1</v>
      </c>
      <c r="G1457" s="4">
        <f>IFERROR(VLOOKUP(B1457,'[2]new sheet'!$A$1:$IV$65536,2,0),0)</f>
        <v>4</v>
      </c>
      <c r="H1457" s="5">
        <f>IFERROR(VLOOKUP(B1457,'[3]new sheet'!$A$1:$IV$65536,2,0),0)</f>
        <v>1</v>
      </c>
    </row>
    <row r="1458" spans="1:8" ht="24" customHeight="1">
      <c r="A1458" s="7">
        <v>73</v>
      </c>
      <c r="B1458" s="7">
        <v>4130</v>
      </c>
      <c r="C1458" s="8" t="s">
        <v>1754</v>
      </c>
      <c r="D1458" s="8" t="s">
        <v>1934</v>
      </c>
      <c r="E1458" s="2">
        <f>IFERROR(VLOOKUP(B1458,'[1]new sheet'!$A$1:$IV$65536,5,FALSE),0)</f>
        <v>0</v>
      </c>
      <c r="F1458" s="3">
        <f>IFERROR(VLOOKUP(B1458,'[1]new sheet'!$A$1:$IV$65536,4,FALSE),0)</f>
        <v>0</v>
      </c>
      <c r="G1458" s="4">
        <f>IFERROR(VLOOKUP(B1458,'[2]new sheet'!$A$1:$IV$65536,2,0),0)</f>
        <v>0</v>
      </c>
      <c r="H1458" s="5">
        <f>IFERROR(VLOOKUP(B1458,'[3]new sheet'!$A$1:$IV$65536,2,0),0)</f>
        <v>0</v>
      </c>
    </row>
    <row r="1459" spans="1:8" ht="24" customHeight="1">
      <c r="A1459" s="19">
        <v>281</v>
      </c>
      <c r="B1459" s="7">
        <v>131</v>
      </c>
      <c r="C1459" s="8" t="s">
        <v>1202</v>
      </c>
      <c r="D1459" s="8" t="s">
        <v>1934</v>
      </c>
      <c r="E1459" s="2">
        <f>IFERROR(VLOOKUP(B1459,'[1]new sheet'!$A$1:$IV$65536,5,FALSE),0)</f>
        <v>0</v>
      </c>
      <c r="F1459" s="3">
        <f>IFERROR(VLOOKUP(B1459,'[1]new sheet'!$A$1:$IV$65536,4,FALSE),0)</f>
        <v>0</v>
      </c>
      <c r="G1459" s="4">
        <f>IFERROR(VLOOKUP(B1459,'[2]new sheet'!$A$1:$IV$65536,2,0),0)</f>
        <v>0</v>
      </c>
      <c r="H1459" s="5">
        <f>IFERROR(VLOOKUP(B1459,'[3]new sheet'!$A$1:$IV$65536,2,0),0)</f>
        <v>0</v>
      </c>
    </row>
    <row r="1460" spans="1:8" ht="24" customHeight="1">
      <c r="A1460" s="19">
        <v>31997</v>
      </c>
      <c r="B1460" s="7">
        <v>1601</v>
      </c>
      <c r="C1460" s="8" t="s">
        <v>1203</v>
      </c>
      <c r="D1460" s="8" t="s">
        <v>1934</v>
      </c>
      <c r="E1460" s="2">
        <f>IFERROR(VLOOKUP(B1460,'[1]new sheet'!$A$1:$IV$65536,5,FALSE),0)</f>
        <v>0</v>
      </c>
      <c r="F1460" s="3">
        <f>IFERROR(VLOOKUP(B1460,'[1]new sheet'!$A$1:$IV$65536,4,FALSE),0)</f>
        <v>0</v>
      </c>
      <c r="G1460" s="4">
        <f>IFERROR(VLOOKUP(B1460,'[2]new sheet'!$A$1:$IV$65536,2,0),0)</f>
        <v>0</v>
      </c>
      <c r="H1460" s="5">
        <f>IFERROR(VLOOKUP(B1460,'[3]new sheet'!$A$1:$IV$65536,2,0),0)</f>
        <v>0</v>
      </c>
    </row>
    <row r="1461" spans="1:8" ht="24" customHeight="1">
      <c r="A1461" s="7">
        <v>278</v>
      </c>
      <c r="B1461" s="7">
        <v>130</v>
      </c>
      <c r="C1461" s="8" t="s">
        <v>1204</v>
      </c>
      <c r="D1461" s="8" t="s">
        <v>1934</v>
      </c>
      <c r="E1461" s="2">
        <f>IFERROR(VLOOKUP(B1461,'[1]new sheet'!$A$1:$IV$65536,5,FALSE),0)</f>
        <v>0</v>
      </c>
      <c r="F1461" s="3">
        <f>IFERROR(VLOOKUP(B1461,'[1]new sheet'!$A$1:$IV$65536,4,FALSE),0)</f>
        <v>0</v>
      </c>
      <c r="G1461" s="4">
        <f>IFERROR(VLOOKUP(B1461,'[2]new sheet'!$A$1:$IV$65536,2,0),0)</f>
        <v>0</v>
      </c>
      <c r="H1461" s="5">
        <f>IFERROR(VLOOKUP(B1461,'[3]new sheet'!$A$1:$IV$65536,2,0),0)</f>
        <v>0</v>
      </c>
    </row>
    <row r="1462" spans="1:8" ht="24" customHeight="1">
      <c r="A1462" s="19"/>
      <c r="B1462" s="7">
        <v>698</v>
      </c>
      <c r="C1462" s="8" t="s">
        <v>1205</v>
      </c>
      <c r="D1462" s="8" t="s">
        <v>1934</v>
      </c>
      <c r="E1462" s="2">
        <f>IFERROR(VLOOKUP(B1462,'[1]new sheet'!$A$1:$IV$65536,5,FALSE),0)</f>
        <v>0</v>
      </c>
      <c r="F1462" s="3">
        <f>IFERROR(VLOOKUP(B1462,'[1]new sheet'!$A$1:$IV$65536,4,FALSE),0)</f>
        <v>0</v>
      </c>
      <c r="G1462" s="4">
        <f>IFERROR(VLOOKUP(B1462,'[2]new sheet'!$A$1:$IV$65536,2,0),0)</f>
        <v>0</v>
      </c>
      <c r="H1462" s="5">
        <f>IFERROR(VLOOKUP(B1462,'[3]new sheet'!$A$1:$IV$65536,2,0),0)</f>
        <v>0</v>
      </c>
    </row>
    <row r="1463" spans="1:8" ht="24" customHeight="1">
      <c r="A1463" s="7">
        <v>169</v>
      </c>
      <c r="B1463" s="7">
        <v>3347</v>
      </c>
      <c r="C1463" s="8" t="s">
        <v>1206</v>
      </c>
      <c r="D1463" s="8" t="s">
        <v>1934</v>
      </c>
      <c r="E1463" s="2">
        <f>IFERROR(VLOOKUP(B1463,'[1]new sheet'!$A$1:$IV$65536,5,FALSE),0)</f>
        <v>218</v>
      </c>
      <c r="F1463" s="3">
        <f>IFERROR(VLOOKUP(B1463,'[1]new sheet'!$A$1:$IV$65536,4,FALSE),0)</f>
        <v>1</v>
      </c>
      <c r="G1463" s="4">
        <f>IFERROR(VLOOKUP(B1463,'[2]new sheet'!$A$1:$IV$65536,2,0),0)</f>
        <v>53</v>
      </c>
      <c r="H1463" s="5">
        <f>IFERROR(VLOOKUP(B1463,'[3]new sheet'!$A$1:$IV$65536,2,0),0)</f>
        <v>29</v>
      </c>
    </row>
    <row r="1464" spans="1:8" ht="24" customHeight="1">
      <c r="A1464" s="7">
        <v>99311</v>
      </c>
      <c r="B1464" s="7">
        <v>2643</v>
      </c>
      <c r="C1464" s="8" t="s">
        <v>1207</v>
      </c>
      <c r="D1464" s="8" t="s">
        <v>1934</v>
      </c>
      <c r="E1464" s="2">
        <f>IFERROR(VLOOKUP(B1464,'[1]new sheet'!$A$1:$IV$65536,5,FALSE),0)</f>
        <v>0</v>
      </c>
      <c r="F1464" s="3">
        <f>IFERROR(VLOOKUP(B1464,'[1]new sheet'!$A$1:$IV$65536,4,FALSE),0)</f>
        <v>0</v>
      </c>
      <c r="G1464" s="4">
        <f>IFERROR(VLOOKUP(B1464,'[2]new sheet'!$A$1:$IV$65536,2,0),0)</f>
        <v>0</v>
      </c>
      <c r="H1464" s="5">
        <f>IFERROR(VLOOKUP(B1464,'[3]new sheet'!$A$1:$IV$65536,2,0),0)</f>
        <v>0</v>
      </c>
    </row>
    <row r="1465" spans="1:8" ht="24" customHeight="1">
      <c r="A1465" s="7" t="s">
        <v>1208</v>
      </c>
      <c r="B1465" s="7">
        <v>2492</v>
      </c>
      <c r="C1465" s="8" t="s">
        <v>1209</v>
      </c>
      <c r="D1465" s="8" t="s">
        <v>1934</v>
      </c>
      <c r="E1465" s="2">
        <f>IFERROR(VLOOKUP(B1465,'[1]new sheet'!$A$1:$IV$65536,5,FALSE),0)</f>
        <v>0</v>
      </c>
      <c r="F1465" s="3">
        <f>IFERROR(VLOOKUP(B1465,'[1]new sheet'!$A$1:$IV$65536,4,FALSE),0)</f>
        <v>0</v>
      </c>
      <c r="G1465" s="4">
        <f>IFERROR(VLOOKUP(B1465,'[2]new sheet'!$A$1:$IV$65536,2,0),0)</f>
        <v>0</v>
      </c>
      <c r="H1465" s="5">
        <f>IFERROR(VLOOKUP(B1465,'[3]new sheet'!$A$1:$IV$65536,2,0),0)</f>
        <v>0</v>
      </c>
    </row>
    <row r="1466" spans="1:8" ht="24" customHeight="1">
      <c r="A1466" s="7">
        <v>476</v>
      </c>
      <c r="B1466" s="7">
        <v>3975</v>
      </c>
      <c r="C1466" s="8" t="s">
        <v>1686</v>
      </c>
      <c r="D1466" s="8" t="s">
        <v>1934</v>
      </c>
      <c r="E1466" s="2">
        <f>IFERROR(VLOOKUP(B1466,'[1]new sheet'!$A$1:$IV$65536,5,FALSE),0)</f>
        <v>0</v>
      </c>
      <c r="F1466" s="3">
        <f>IFERROR(VLOOKUP(B1466,'[1]new sheet'!$A$1:$IV$65536,4,FALSE),0)</f>
        <v>0</v>
      </c>
      <c r="G1466" s="4">
        <f>IFERROR(VLOOKUP(B1466,'[2]new sheet'!$A$1:$IV$65536,2,0),0)</f>
        <v>0</v>
      </c>
      <c r="H1466" s="5">
        <f>IFERROR(VLOOKUP(B1466,'[3]new sheet'!$A$1:$IV$65536,2,0),0)</f>
        <v>0</v>
      </c>
    </row>
    <row r="1467" spans="1:8" ht="24" customHeight="1">
      <c r="A1467" s="7"/>
      <c r="B1467" s="7">
        <v>699</v>
      </c>
      <c r="C1467" s="8" t="s">
        <v>1210</v>
      </c>
      <c r="D1467" s="8" t="s">
        <v>1934</v>
      </c>
      <c r="E1467" s="2">
        <f>IFERROR(VLOOKUP(B1467,'[1]new sheet'!$A$1:$IV$65536,5,FALSE),0)</f>
        <v>0</v>
      </c>
      <c r="F1467" s="3">
        <f>IFERROR(VLOOKUP(B1467,'[1]new sheet'!$A$1:$IV$65536,4,FALSE),0)</f>
        <v>0</v>
      </c>
      <c r="G1467" s="4">
        <f>IFERROR(VLOOKUP(B1467,'[2]new sheet'!$A$1:$IV$65536,2,0),0)</f>
        <v>0</v>
      </c>
      <c r="H1467" s="5">
        <f>IFERROR(VLOOKUP(B1467,'[3]new sheet'!$A$1:$IV$65536,2,0),0)</f>
        <v>0</v>
      </c>
    </row>
    <row r="1468" spans="1:8" ht="24" customHeight="1">
      <c r="A1468" s="7">
        <v>1090</v>
      </c>
      <c r="B1468" s="7">
        <v>3972</v>
      </c>
      <c r="C1468" s="8" t="s">
        <v>1658</v>
      </c>
      <c r="D1468" s="8" t="s">
        <v>1934</v>
      </c>
      <c r="E1468" s="2">
        <f>IFERROR(VLOOKUP(B1468,'[1]new sheet'!$A$1:$IV$65536,5,FALSE),0)</f>
        <v>0</v>
      </c>
      <c r="F1468" s="3">
        <f>IFERROR(VLOOKUP(B1468,'[1]new sheet'!$A$1:$IV$65536,4,FALSE),0)</f>
        <v>0</v>
      </c>
      <c r="G1468" s="4">
        <f>IFERROR(VLOOKUP(B1468,'[2]new sheet'!$A$1:$IV$65536,2,0),0)</f>
        <v>0</v>
      </c>
      <c r="H1468" s="5">
        <f>IFERROR(VLOOKUP(B1468,'[3]new sheet'!$A$1:$IV$65536,2,0),0)</f>
        <v>0</v>
      </c>
    </row>
    <row r="1469" spans="1:8" ht="24" customHeight="1">
      <c r="A1469" s="7">
        <v>299</v>
      </c>
      <c r="B1469" s="7">
        <v>3350</v>
      </c>
      <c r="C1469" s="8" t="s">
        <v>1211</v>
      </c>
      <c r="D1469" s="8" t="s">
        <v>1934</v>
      </c>
      <c r="E1469" s="2">
        <f>IFERROR(VLOOKUP(B1469,'[1]new sheet'!$A$1:$IV$65536,5,FALSE),0)</f>
        <v>0</v>
      </c>
      <c r="F1469" s="3">
        <f>IFERROR(VLOOKUP(B1469,'[1]new sheet'!$A$1:$IV$65536,4,FALSE),0)</f>
        <v>0</v>
      </c>
      <c r="G1469" s="4">
        <f>IFERROR(VLOOKUP(B1469,'[2]new sheet'!$A$1:$IV$65536,2,0),0)</f>
        <v>121</v>
      </c>
      <c r="H1469" s="5">
        <f>IFERROR(VLOOKUP(B1469,'[3]new sheet'!$A$1:$IV$65536,2,0),0)</f>
        <v>8</v>
      </c>
    </row>
    <row r="1470" spans="1:8" ht="24" customHeight="1">
      <c r="A1470" s="7">
        <v>99145</v>
      </c>
      <c r="B1470" s="7">
        <v>2642</v>
      </c>
      <c r="C1470" s="8" t="s">
        <v>1212</v>
      </c>
      <c r="D1470" s="8" t="s">
        <v>1934</v>
      </c>
      <c r="E1470" s="2">
        <f>IFERROR(VLOOKUP(B1470,'[1]new sheet'!$A$1:$IV$65536,5,FALSE),0)</f>
        <v>0</v>
      </c>
      <c r="F1470" s="3">
        <f>IFERROR(VLOOKUP(B1470,'[1]new sheet'!$A$1:$IV$65536,4,FALSE),0)</f>
        <v>0</v>
      </c>
      <c r="G1470" s="4">
        <f>IFERROR(VLOOKUP(B1470,'[2]new sheet'!$A$1:$IV$65536,2,0),0)</f>
        <v>0</v>
      </c>
      <c r="H1470" s="5">
        <f>IFERROR(VLOOKUP(B1470,'[3]new sheet'!$A$1:$IV$65536,2,0),0)</f>
        <v>0</v>
      </c>
    </row>
    <row r="1471" spans="1:8" ht="24" customHeight="1">
      <c r="A1471" s="7">
        <v>166828</v>
      </c>
      <c r="B1471" s="7">
        <v>4030</v>
      </c>
      <c r="C1471" s="8" t="s">
        <v>1687</v>
      </c>
      <c r="D1471" s="8" t="s">
        <v>1934</v>
      </c>
      <c r="E1471" s="2">
        <f>IFERROR(VLOOKUP(B1471,'[1]new sheet'!$A$1:$IV$65536,5,FALSE),0)</f>
        <v>0</v>
      </c>
      <c r="F1471" s="3">
        <f>IFERROR(VLOOKUP(B1471,'[1]new sheet'!$A$1:$IV$65536,4,FALSE),0)</f>
        <v>0</v>
      </c>
      <c r="G1471" s="4">
        <f>IFERROR(VLOOKUP(B1471,'[2]new sheet'!$A$1:$IV$65536,2,0),0)</f>
        <v>0</v>
      </c>
      <c r="H1471" s="5">
        <f>IFERROR(VLOOKUP(B1471,'[3]new sheet'!$A$1:$IV$65536,2,0),0)</f>
        <v>0</v>
      </c>
    </row>
    <row r="1472" spans="1:8" ht="24" customHeight="1">
      <c r="A1472" s="7">
        <v>199</v>
      </c>
      <c r="B1472" s="7">
        <v>1943</v>
      </c>
      <c r="C1472" s="8" t="s">
        <v>1213</v>
      </c>
      <c r="D1472" s="8" t="s">
        <v>1934</v>
      </c>
      <c r="E1472" s="2">
        <f>IFERROR(VLOOKUP(B1472,'[1]new sheet'!$A$1:$IV$65536,5,FALSE),0)</f>
        <v>0</v>
      </c>
      <c r="F1472" s="3">
        <f>IFERROR(VLOOKUP(B1472,'[1]new sheet'!$A$1:$IV$65536,4,FALSE),0)</f>
        <v>0</v>
      </c>
      <c r="G1472" s="4">
        <f>IFERROR(VLOOKUP(B1472,'[2]new sheet'!$A$1:$IV$65536,2,0),0)</f>
        <v>0</v>
      </c>
      <c r="H1472" s="5">
        <f>IFERROR(VLOOKUP(B1472,'[3]new sheet'!$A$1:$IV$65536,2,0),0)</f>
        <v>0</v>
      </c>
    </row>
    <row r="1473" spans="1:8" ht="24" customHeight="1">
      <c r="A1473" s="7">
        <v>311</v>
      </c>
      <c r="B1473" s="7">
        <v>2526</v>
      </c>
      <c r="C1473" s="8" t="s">
        <v>1214</v>
      </c>
      <c r="D1473" s="8" t="s">
        <v>1934</v>
      </c>
      <c r="E1473" s="2">
        <f>IFERROR(VLOOKUP(B1473,'[1]new sheet'!$A$1:$IV$65536,5,FALSE),0)</f>
        <v>0</v>
      </c>
      <c r="F1473" s="3">
        <f>IFERROR(VLOOKUP(B1473,'[1]new sheet'!$A$1:$IV$65536,4,FALSE),0)</f>
        <v>0</v>
      </c>
      <c r="G1473" s="4">
        <f>IFERROR(VLOOKUP(B1473,'[2]new sheet'!$A$1:$IV$65536,2,0),0)</f>
        <v>0</v>
      </c>
      <c r="H1473" s="5">
        <f>IFERROR(VLOOKUP(B1473,'[3]new sheet'!$A$1:$IV$65536,2,0),0)</f>
        <v>0</v>
      </c>
    </row>
    <row r="1474" spans="1:8" ht="24" customHeight="1">
      <c r="A1474" s="19">
        <v>1460021</v>
      </c>
      <c r="B1474" s="7">
        <v>1929</v>
      </c>
      <c r="C1474" s="8" t="s">
        <v>1215</v>
      </c>
      <c r="D1474" s="8" t="s">
        <v>1934</v>
      </c>
      <c r="E1474" s="2">
        <f>IFERROR(VLOOKUP(B1474,'[1]new sheet'!$A$1:$IV$65536,5,FALSE),0)</f>
        <v>0</v>
      </c>
      <c r="F1474" s="3">
        <f>IFERROR(VLOOKUP(B1474,'[1]new sheet'!$A$1:$IV$65536,4,FALSE),0)</f>
        <v>0</v>
      </c>
      <c r="G1474" s="4">
        <f>IFERROR(VLOOKUP(B1474,'[2]new sheet'!$A$1:$IV$65536,2,0),0)</f>
        <v>0</v>
      </c>
      <c r="H1474" s="5">
        <f>IFERROR(VLOOKUP(B1474,'[3]new sheet'!$A$1:$IV$65536,2,0),0)</f>
        <v>0</v>
      </c>
    </row>
    <row r="1475" spans="1:8" ht="24" customHeight="1">
      <c r="A1475" s="7">
        <v>170</v>
      </c>
      <c r="B1475" s="7">
        <v>3346</v>
      </c>
      <c r="C1475" s="8" t="s">
        <v>1216</v>
      </c>
      <c r="D1475" s="8" t="s">
        <v>1934</v>
      </c>
      <c r="E1475" s="2">
        <f>IFERROR(VLOOKUP(B1475,'[1]new sheet'!$A$1:$IV$65536,5,FALSE),0)</f>
        <v>0</v>
      </c>
      <c r="F1475" s="3">
        <f>IFERROR(VLOOKUP(B1475,'[1]new sheet'!$A$1:$IV$65536,4,FALSE),0)</f>
        <v>0</v>
      </c>
      <c r="G1475" s="4">
        <f>IFERROR(VLOOKUP(B1475,'[2]new sheet'!$A$1:$IV$65536,2,0),0)</f>
        <v>0</v>
      </c>
      <c r="H1475" s="5">
        <f>IFERROR(VLOOKUP(B1475,'[3]new sheet'!$A$1:$IV$65536,2,0),0)</f>
        <v>0</v>
      </c>
    </row>
    <row r="1476" spans="1:8" ht="24" customHeight="1">
      <c r="A1476" s="7">
        <v>319</v>
      </c>
      <c r="B1476" s="7">
        <v>2528</v>
      </c>
      <c r="C1476" s="8" t="s">
        <v>1217</v>
      </c>
      <c r="D1476" s="8" t="s">
        <v>1934</v>
      </c>
      <c r="E1476" s="2">
        <f>IFERROR(VLOOKUP(B1476,'[1]new sheet'!$A$1:$IV$65536,5,FALSE),0)</f>
        <v>0</v>
      </c>
      <c r="F1476" s="3">
        <f>IFERROR(VLOOKUP(B1476,'[1]new sheet'!$A$1:$IV$65536,4,FALSE),0)</f>
        <v>0</v>
      </c>
      <c r="G1476" s="4">
        <f>IFERROR(VLOOKUP(B1476,'[2]new sheet'!$A$1:$IV$65536,2,0),0)</f>
        <v>0</v>
      </c>
      <c r="H1476" s="5">
        <f>IFERROR(VLOOKUP(B1476,'[3]new sheet'!$A$1:$IV$65536,2,0),0)</f>
        <v>0</v>
      </c>
    </row>
    <row r="1477" spans="1:8" ht="24" customHeight="1">
      <c r="A1477" s="7">
        <v>3004732</v>
      </c>
      <c r="B1477" s="7">
        <v>4200</v>
      </c>
      <c r="C1477" s="8" t="s">
        <v>1844</v>
      </c>
      <c r="D1477" s="8" t="s">
        <v>1934</v>
      </c>
      <c r="E1477" s="2">
        <f>IFERROR(VLOOKUP(B1477,'[1]new sheet'!$A$1:$IV$65536,5,FALSE),0)</f>
        <v>1</v>
      </c>
      <c r="F1477" s="3">
        <f>IFERROR(VLOOKUP(B1477,'[1]new sheet'!$A$1:$IV$65536,4,FALSE),0)</f>
        <v>0</v>
      </c>
      <c r="G1477" s="4">
        <f>IFERROR(VLOOKUP(B1477,'[2]new sheet'!$A$1:$IV$65536,2,0),0)</f>
        <v>0</v>
      </c>
      <c r="H1477" s="5">
        <f>IFERROR(VLOOKUP(B1477,'[3]new sheet'!$A$1:$IV$65536,2,0),0)</f>
        <v>0</v>
      </c>
    </row>
    <row r="1478" spans="1:8" ht="24" customHeight="1">
      <c r="A1478" s="7">
        <v>0</v>
      </c>
      <c r="B1478" s="7">
        <v>3973</v>
      </c>
      <c r="C1478" s="8" t="s">
        <v>1659</v>
      </c>
      <c r="D1478" s="8" t="s">
        <v>1934</v>
      </c>
      <c r="E1478" s="2">
        <f>IFERROR(VLOOKUP(B1478,'[1]new sheet'!$A$1:$IV$65536,5,FALSE),0)</f>
        <v>19</v>
      </c>
      <c r="F1478" s="3">
        <f>IFERROR(VLOOKUP(B1478,'[1]new sheet'!$A$1:$IV$65536,4,FALSE),0)</f>
        <v>0</v>
      </c>
      <c r="G1478" s="4">
        <f>IFERROR(VLOOKUP(B1478,'[2]new sheet'!$A$1:$IV$65536,2,0),0)</f>
        <v>1</v>
      </c>
      <c r="H1478" s="5">
        <f>IFERROR(VLOOKUP(B1478,'[3]new sheet'!$A$1:$IV$65536,2,0),0)</f>
        <v>1</v>
      </c>
    </row>
    <row r="1479" spans="1:8" ht="24" customHeight="1">
      <c r="A1479" s="7">
        <v>6064</v>
      </c>
      <c r="B1479" s="7">
        <v>3639</v>
      </c>
      <c r="C1479" s="8" t="s">
        <v>1218</v>
      </c>
      <c r="D1479" s="8" t="s">
        <v>1934</v>
      </c>
      <c r="E1479" s="2">
        <f>IFERROR(VLOOKUP(B1479,'[1]new sheet'!$A$1:$IV$65536,5,FALSE),0)</f>
        <v>0</v>
      </c>
      <c r="F1479" s="3">
        <f>IFERROR(VLOOKUP(B1479,'[1]new sheet'!$A$1:$IV$65536,4,FALSE),0)</f>
        <v>0</v>
      </c>
      <c r="G1479" s="4">
        <f>IFERROR(VLOOKUP(B1479,'[2]new sheet'!$A$1:$IV$65536,2,0),0)</f>
        <v>0</v>
      </c>
      <c r="H1479" s="5">
        <f>IFERROR(VLOOKUP(B1479,'[3]new sheet'!$A$1:$IV$65536,2,0),0)</f>
        <v>0</v>
      </c>
    </row>
    <row r="1480" spans="1:8" ht="24" customHeight="1">
      <c r="A1480" s="7">
        <v>3002934</v>
      </c>
      <c r="B1480" s="7">
        <v>1056</v>
      </c>
      <c r="C1480" s="8" t="s">
        <v>1642</v>
      </c>
      <c r="D1480" s="8" t="s">
        <v>1934</v>
      </c>
      <c r="E1480" s="2">
        <f>IFERROR(VLOOKUP(B1480,'[1]new sheet'!$A$1:$IV$65536,5,FALSE),0)</f>
        <v>16</v>
      </c>
      <c r="F1480" s="3">
        <f>IFERROR(VLOOKUP(B1480,'[1]new sheet'!$A$1:$IV$65536,4,FALSE),0)</f>
        <v>0</v>
      </c>
      <c r="G1480" s="4">
        <f>IFERROR(VLOOKUP(B1480,'[2]new sheet'!$A$1:$IV$65536,2,0),0)</f>
        <v>8</v>
      </c>
      <c r="H1480" s="5">
        <f>IFERROR(VLOOKUP(B1480,'[3]new sheet'!$A$1:$IV$65536,2,0),0)</f>
        <v>0</v>
      </c>
    </row>
    <row r="1481" spans="1:8" ht="24" customHeight="1">
      <c r="A1481" s="7">
        <v>3002937</v>
      </c>
      <c r="B1481" s="7">
        <v>134</v>
      </c>
      <c r="C1481" s="8" t="s">
        <v>1219</v>
      </c>
      <c r="D1481" s="8" t="s">
        <v>1934</v>
      </c>
      <c r="E1481" s="2">
        <f>IFERROR(VLOOKUP(B1481,'[1]new sheet'!$A$1:$IV$65536,5,FALSE),0)</f>
        <v>206</v>
      </c>
      <c r="F1481" s="3">
        <f>IFERROR(VLOOKUP(B1481,'[1]new sheet'!$A$1:$IV$65536,4,FALSE),0)</f>
        <v>1</v>
      </c>
      <c r="G1481" s="4">
        <f>IFERROR(VLOOKUP(B1481,'[2]new sheet'!$A$1:$IV$65536,2,0),0)</f>
        <v>55</v>
      </c>
      <c r="H1481" s="5">
        <f>IFERROR(VLOOKUP(B1481,'[3]new sheet'!$A$1:$IV$65536,2,0),0)</f>
        <v>14</v>
      </c>
    </row>
    <row r="1482" spans="1:8" ht="24" customHeight="1">
      <c r="A1482" s="19" t="s">
        <v>1220</v>
      </c>
      <c r="B1482" s="7">
        <v>3348</v>
      </c>
      <c r="C1482" s="8" t="s">
        <v>1221</v>
      </c>
      <c r="D1482" s="8" t="s">
        <v>1934</v>
      </c>
      <c r="E1482" s="2">
        <f>IFERROR(VLOOKUP(B1482,'[1]new sheet'!$A$1:$IV$65536,5,FALSE),0)</f>
        <v>0</v>
      </c>
      <c r="F1482" s="3">
        <f>IFERROR(VLOOKUP(B1482,'[1]new sheet'!$A$1:$IV$65536,4,FALSE),0)</f>
        <v>0</v>
      </c>
      <c r="G1482" s="4">
        <f>IFERROR(VLOOKUP(B1482,'[2]new sheet'!$A$1:$IV$65536,2,0),0)</f>
        <v>0</v>
      </c>
      <c r="H1482" s="5">
        <f>IFERROR(VLOOKUP(B1482,'[3]new sheet'!$A$1:$IV$65536,2,0),0)</f>
        <v>0</v>
      </c>
    </row>
    <row r="1483" spans="1:8" ht="24" customHeight="1">
      <c r="A1483" s="7" t="s">
        <v>1220</v>
      </c>
      <c r="B1483" s="7">
        <v>1639</v>
      </c>
      <c r="C1483" s="8" t="s">
        <v>1222</v>
      </c>
      <c r="D1483" s="8" t="s">
        <v>1934</v>
      </c>
      <c r="E1483" s="2">
        <f>IFERROR(VLOOKUP(B1483,'[1]new sheet'!$A$1:$IV$65536,5,FALSE),0)</f>
        <v>0</v>
      </c>
      <c r="F1483" s="3">
        <f>IFERROR(VLOOKUP(B1483,'[1]new sheet'!$A$1:$IV$65536,4,FALSE),0)</f>
        <v>0</v>
      </c>
      <c r="G1483" s="4">
        <f>IFERROR(VLOOKUP(B1483,'[2]new sheet'!$A$1:$IV$65536,2,0),0)</f>
        <v>0</v>
      </c>
      <c r="H1483" s="5">
        <f>IFERROR(VLOOKUP(B1483,'[3]new sheet'!$A$1:$IV$65536,2,0),0)</f>
        <v>0</v>
      </c>
    </row>
    <row r="1484" spans="1:8" ht="24" customHeight="1">
      <c r="A1484" s="19" t="s">
        <v>1220</v>
      </c>
      <c r="B1484" s="7">
        <v>1932</v>
      </c>
      <c r="C1484" s="8" t="s">
        <v>1223</v>
      </c>
      <c r="D1484" s="8" t="s">
        <v>1934</v>
      </c>
      <c r="E1484" s="2">
        <f>IFERROR(VLOOKUP(B1484,'[1]new sheet'!$A$1:$IV$65536,5,FALSE),0)</f>
        <v>0</v>
      </c>
      <c r="F1484" s="3">
        <f>IFERROR(VLOOKUP(B1484,'[1]new sheet'!$A$1:$IV$65536,4,FALSE),0)</f>
        <v>0</v>
      </c>
      <c r="G1484" s="4">
        <f>IFERROR(VLOOKUP(B1484,'[2]new sheet'!$A$1:$IV$65536,2,0),0)</f>
        <v>0</v>
      </c>
      <c r="H1484" s="5">
        <f>IFERROR(VLOOKUP(B1484,'[3]new sheet'!$A$1:$IV$65536,2,0),0)</f>
        <v>0</v>
      </c>
    </row>
    <row r="1485" spans="1:8" ht="24" customHeight="1">
      <c r="A1485" s="7">
        <v>996830</v>
      </c>
      <c r="B1485" s="7">
        <v>2729</v>
      </c>
      <c r="C1485" s="8" t="s">
        <v>1224</v>
      </c>
      <c r="D1485" s="8" t="s">
        <v>1934</v>
      </c>
      <c r="E1485" s="2">
        <f>IFERROR(VLOOKUP(B1485,'[1]new sheet'!$A$1:$IV$65536,5,FALSE),0)</f>
        <v>0</v>
      </c>
      <c r="F1485" s="3">
        <f>IFERROR(VLOOKUP(B1485,'[1]new sheet'!$A$1:$IV$65536,4,FALSE),0)</f>
        <v>0</v>
      </c>
      <c r="G1485" s="4">
        <f>IFERROR(VLOOKUP(B1485,'[2]new sheet'!$A$1:$IV$65536,2,0),0)</f>
        <v>0</v>
      </c>
      <c r="H1485" s="5">
        <f>IFERROR(VLOOKUP(B1485,'[3]new sheet'!$A$1:$IV$65536,2,0),0)</f>
        <v>0</v>
      </c>
    </row>
    <row r="1486" spans="1:8" ht="24" customHeight="1">
      <c r="A1486" s="19">
        <v>46024</v>
      </c>
      <c r="B1486" s="7">
        <v>128</v>
      </c>
      <c r="C1486" s="8" t="s">
        <v>1225</v>
      </c>
      <c r="D1486" s="8" t="s">
        <v>1934</v>
      </c>
      <c r="E1486" s="2">
        <f>IFERROR(VLOOKUP(B1486,'[1]new sheet'!$A$1:$IV$65536,5,FALSE),0)</f>
        <v>48</v>
      </c>
      <c r="F1486" s="3">
        <f>IFERROR(VLOOKUP(B1486,'[1]new sheet'!$A$1:$IV$65536,4,FALSE),0)</f>
        <v>2</v>
      </c>
      <c r="G1486" s="4">
        <f>IFERROR(VLOOKUP(B1486,'[2]new sheet'!$A$1:$IV$65536,2,0),0)</f>
        <v>29</v>
      </c>
      <c r="H1486" s="5">
        <f>IFERROR(VLOOKUP(B1486,'[3]new sheet'!$A$1:$IV$65536,2,0),0)</f>
        <v>17</v>
      </c>
    </row>
    <row r="1487" spans="1:8" ht="24" customHeight="1">
      <c r="A1487" s="7" t="s">
        <v>1226</v>
      </c>
      <c r="B1487" s="7">
        <v>2620</v>
      </c>
      <c r="C1487" s="8" t="s">
        <v>1227</v>
      </c>
      <c r="D1487" s="8" t="s">
        <v>1934</v>
      </c>
      <c r="E1487" s="2">
        <f>IFERROR(VLOOKUP(B1487,'[1]new sheet'!$A$1:$IV$65536,5,FALSE),0)</f>
        <v>0</v>
      </c>
      <c r="F1487" s="3">
        <f>IFERROR(VLOOKUP(B1487,'[1]new sheet'!$A$1:$IV$65536,4,FALSE),0)</f>
        <v>0</v>
      </c>
      <c r="G1487" s="4">
        <f>IFERROR(VLOOKUP(B1487,'[2]new sheet'!$A$1:$IV$65536,2,0),0)</f>
        <v>0</v>
      </c>
      <c r="H1487" s="5">
        <f>IFERROR(VLOOKUP(B1487,'[3]new sheet'!$A$1:$IV$65536,2,0),0)</f>
        <v>0</v>
      </c>
    </row>
    <row r="1488" spans="1:8" ht="24" customHeight="1">
      <c r="A1488" s="7">
        <v>1025</v>
      </c>
      <c r="B1488" s="7">
        <v>1600</v>
      </c>
      <c r="C1488" s="8" t="s">
        <v>1228</v>
      </c>
      <c r="D1488" s="8" t="s">
        <v>1934</v>
      </c>
      <c r="E1488" s="2">
        <f>IFERROR(VLOOKUP(B1488,'[1]new sheet'!$A$1:$IV$65536,5,FALSE),0)</f>
        <v>88</v>
      </c>
      <c r="F1488" s="3">
        <f>IFERROR(VLOOKUP(B1488,'[1]new sheet'!$A$1:$IV$65536,4,FALSE),0)</f>
        <v>1</v>
      </c>
      <c r="G1488" s="4">
        <f>IFERROR(VLOOKUP(B1488,'[2]new sheet'!$A$1:$IV$65536,2,0),0)</f>
        <v>29</v>
      </c>
      <c r="H1488" s="5">
        <f>IFERROR(VLOOKUP(B1488,'[3]new sheet'!$A$1:$IV$65536,2,0),0)</f>
        <v>11</v>
      </c>
    </row>
    <row r="1489" spans="1:8" ht="24" customHeight="1">
      <c r="A1489" s="7">
        <v>60703</v>
      </c>
      <c r="B1489" s="7">
        <v>3234</v>
      </c>
      <c r="C1489" s="8" t="s">
        <v>1229</v>
      </c>
      <c r="D1489" s="8" t="s">
        <v>1935</v>
      </c>
      <c r="E1489" s="2">
        <f>IFERROR(VLOOKUP(B1489,'[1]new sheet'!$A$1:$IV$65536,5,FALSE),0)</f>
        <v>0</v>
      </c>
      <c r="F1489" s="3">
        <f>IFERROR(VLOOKUP(B1489,'[1]new sheet'!$A$1:$IV$65536,4,FALSE),0)</f>
        <v>0</v>
      </c>
      <c r="G1489" s="4">
        <f>IFERROR(VLOOKUP(B1489,'[2]new sheet'!$A$1:$IV$65536,2,0),0)</f>
        <v>0</v>
      </c>
      <c r="H1489" s="5">
        <f>IFERROR(VLOOKUP(B1489,'[3]new sheet'!$A$1:$IV$65536,2,0),0)</f>
        <v>0</v>
      </c>
    </row>
    <row r="1490" spans="1:8" ht="24" customHeight="1">
      <c r="A1490" s="7">
        <v>94</v>
      </c>
      <c r="B1490" s="7">
        <v>700</v>
      </c>
      <c r="C1490" s="8" t="s">
        <v>1230</v>
      </c>
      <c r="D1490" s="8" t="s">
        <v>1935</v>
      </c>
      <c r="E1490" s="2">
        <f>IFERROR(VLOOKUP(B1490,'[1]new sheet'!$A$1:$IV$65536,5,FALSE),0)</f>
        <v>0</v>
      </c>
      <c r="F1490" s="3">
        <f>IFERROR(VLOOKUP(B1490,'[1]new sheet'!$A$1:$IV$65536,4,FALSE),0)</f>
        <v>0</v>
      </c>
      <c r="G1490" s="4">
        <f>IFERROR(VLOOKUP(B1490,'[2]new sheet'!$A$1:$IV$65536,2,0),0)</f>
        <v>1289.08</v>
      </c>
      <c r="H1490" s="5">
        <f>IFERROR(VLOOKUP(B1490,'[3]new sheet'!$A$1:$IV$65536,2,0),0)</f>
        <v>0</v>
      </c>
    </row>
    <row r="1491" spans="1:8" ht="24" customHeight="1">
      <c r="A1491" s="7"/>
      <c r="B1491" s="7">
        <v>120</v>
      </c>
      <c r="C1491" s="8" t="s">
        <v>1231</v>
      </c>
      <c r="D1491" s="8" t="s">
        <v>1935</v>
      </c>
      <c r="E1491" s="2">
        <f>IFERROR(VLOOKUP(B1491,'[1]new sheet'!$A$1:$IV$65536,5,FALSE),0)</f>
        <v>0</v>
      </c>
      <c r="F1491" s="3">
        <f>IFERROR(VLOOKUP(B1491,'[1]new sheet'!$A$1:$IV$65536,4,FALSE),0)</f>
        <v>0</v>
      </c>
      <c r="G1491" s="4">
        <f>IFERROR(VLOOKUP(B1491,'[2]new sheet'!$A$1:$IV$65536,2,0),0)</f>
        <v>0</v>
      </c>
      <c r="H1491" s="5">
        <f>IFERROR(VLOOKUP(B1491,'[3]new sheet'!$A$1:$IV$65536,2,0),0)</f>
        <v>0</v>
      </c>
    </row>
    <row r="1492" spans="1:8" ht="24" customHeight="1">
      <c r="A1492" s="7"/>
      <c r="B1492" s="7">
        <v>701</v>
      </c>
      <c r="C1492" s="8" t="s">
        <v>1232</v>
      </c>
      <c r="D1492" s="8" t="s">
        <v>1935</v>
      </c>
      <c r="E1492" s="2">
        <f>IFERROR(VLOOKUP(B1492,'[1]new sheet'!$A$1:$IV$65536,5,FALSE),0)</f>
        <v>0</v>
      </c>
      <c r="F1492" s="3">
        <f>IFERROR(VLOOKUP(B1492,'[1]new sheet'!$A$1:$IV$65536,4,FALSE),0)</f>
        <v>0</v>
      </c>
      <c r="G1492" s="4">
        <f>IFERROR(VLOOKUP(B1492,'[2]new sheet'!$A$1:$IV$65536,2,0),0)</f>
        <v>0</v>
      </c>
      <c r="H1492" s="5">
        <f>IFERROR(VLOOKUP(B1492,'[3]new sheet'!$A$1:$IV$65536,2,0),0)</f>
        <v>0</v>
      </c>
    </row>
    <row r="1493" spans="1:8" ht="24" customHeight="1">
      <c r="A1493" s="7">
        <v>575801</v>
      </c>
      <c r="B1493" s="7">
        <v>270</v>
      </c>
      <c r="C1493" s="8" t="s">
        <v>1233</v>
      </c>
      <c r="D1493" s="8" t="s">
        <v>1934</v>
      </c>
      <c r="E1493" s="2">
        <f>IFERROR(VLOOKUP(B1493,'[1]new sheet'!$A$1:$IV$65536,5,FALSE),0)</f>
        <v>3</v>
      </c>
      <c r="F1493" s="3">
        <f>IFERROR(VLOOKUP(B1493,'[1]new sheet'!$A$1:$IV$65536,4,FALSE),0)</f>
        <v>0</v>
      </c>
      <c r="G1493" s="4">
        <f>IFERROR(VLOOKUP(B1493,'[2]new sheet'!$A$1:$IV$65536,2,0),0)</f>
        <v>0</v>
      </c>
      <c r="H1493" s="5">
        <f>IFERROR(VLOOKUP(B1493,'[3]new sheet'!$A$1:$IV$65536,2,0),0)</f>
        <v>0</v>
      </c>
    </row>
    <row r="1494" spans="1:8" ht="24" customHeight="1">
      <c r="A1494" s="7">
        <v>951609</v>
      </c>
      <c r="B1494" s="7">
        <v>702</v>
      </c>
      <c r="C1494" s="8" t="s">
        <v>1234</v>
      </c>
      <c r="D1494" s="8" t="s">
        <v>1935</v>
      </c>
      <c r="E1494" s="2">
        <f>IFERROR(VLOOKUP(B1494,'[1]new sheet'!$A$1:$IV$65536,5,FALSE),0)</f>
        <v>4.9400000000000004</v>
      </c>
      <c r="F1494" s="3">
        <f>IFERROR(VLOOKUP(B1494,'[1]new sheet'!$A$1:$IV$65536,4,FALSE),0)</f>
        <v>0</v>
      </c>
      <c r="G1494" s="4">
        <f>IFERROR(VLOOKUP(B1494,'[2]new sheet'!$A$1:$IV$65536,2,0),0)</f>
        <v>0</v>
      </c>
      <c r="H1494" s="5">
        <f>IFERROR(VLOOKUP(B1494,'[3]new sheet'!$A$1:$IV$65536,2,0),0)</f>
        <v>0</v>
      </c>
    </row>
    <row r="1495" spans="1:8" ht="24" customHeight="1">
      <c r="A1495" s="7">
        <v>951978</v>
      </c>
      <c r="B1495" s="7">
        <v>1897</v>
      </c>
      <c r="C1495" s="8" t="s">
        <v>1235</v>
      </c>
      <c r="D1495" s="8" t="s">
        <v>1935</v>
      </c>
      <c r="E1495" s="2">
        <f>IFERROR(VLOOKUP(B1495,'[1]new sheet'!$A$1:$IV$65536,5,FALSE),0)</f>
        <v>13.26</v>
      </c>
      <c r="F1495" s="3">
        <f>IFERROR(VLOOKUP(B1495,'[1]new sheet'!$A$1:$IV$65536,4,FALSE),0)</f>
        <v>0</v>
      </c>
      <c r="G1495" s="4">
        <f>IFERROR(VLOOKUP(B1495,'[2]new sheet'!$A$1:$IV$65536,2,0),0)</f>
        <v>0</v>
      </c>
      <c r="H1495" s="5">
        <f>IFERROR(VLOOKUP(B1495,'[3]new sheet'!$A$1:$IV$65536,2,0),0)</f>
        <v>0</v>
      </c>
    </row>
    <row r="1496" spans="1:8" ht="24" customHeight="1">
      <c r="A1496" s="7">
        <v>60534</v>
      </c>
      <c r="B1496" s="7">
        <v>3650</v>
      </c>
      <c r="C1496" s="8" t="s">
        <v>1236</v>
      </c>
      <c r="D1496" s="8" t="s">
        <v>1934</v>
      </c>
      <c r="E1496" s="2">
        <f>IFERROR(VLOOKUP(B1496,'[1]new sheet'!$A$1:$IV$65536,5,FALSE),0)</f>
        <v>0</v>
      </c>
      <c r="F1496" s="3">
        <f>IFERROR(VLOOKUP(B1496,'[1]new sheet'!$A$1:$IV$65536,4,FALSE),0)</f>
        <v>0</v>
      </c>
      <c r="G1496" s="4">
        <f>IFERROR(VLOOKUP(B1496,'[2]new sheet'!$A$1:$IV$65536,2,0),0)</f>
        <v>0</v>
      </c>
      <c r="H1496" s="5">
        <f>IFERROR(VLOOKUP(B1496,'[3]new sheet'!$A$1:$IV$65536,2,0),0)</f>
        <v>0</v>
      </c>
    </row>
    <row r="1497" spans="1:8" ht="24" customHeight="1">
      <c r="A1497" s="7">
        <v>33107</v>
      </c>
      <c r="B1497" s="7">
        <v>2675</v>
      </c>
      <c r="C1497" s="8" t="s">
        <v>1237</v>
      </c>
      <c r="D1497" s="8" t="s">
        <v>1935</v>
      </c>
      <c r="E1497" s="2">
        <f>IFERROR(VLOOKUP(B1497,'[1]new sheet'!$A$1:$IV$65536,5,FALSE),0)</f>
        <v>0</v>
      </c>
      <c r="F1497" s="3">
        <f>IFERROR(VLOOKUP(B1497,'[1]new sheet'!$A$1:$IV$65536,4,FALSE),0)</f>
        <v>0</v>
      </c>
      <c r="G1497" s="4">
        <f>IFERROR(VLOOKUP(B1497,'[2]new sheet'!$A$1:$IV$65536,2,0),0)</f>
        <v>0</v>
      </c>
      <c r="H1497" s="5">
        <f>IFERROR(VLOOKUP(B1497,'[3]new sheet'!$A$1:$IV$65536,2,0),0)</f>
        <v>0</v>
      </c>
    </row>
    <row r="1498" spans="1:8" ht="24" customHeight="1">
      <c r="A1498" s="7">
        <v>222100160</v>
      </c>
      <c r="B1498" s="7">
        <v>114</v>
      </c>
      <c r="C1498" s="8" t="s">
        <v>1238</v>
      </c>
      <c r="D1498" s="8" t="s">
        <v>1935</v>
      </c>
      <c r="E1498" s="2">
        <f>IFERROR(VLOOKUP(B1498,'[1]new sheet'!$A$1:$IV$65536,5,FALSE),0)</f>
        <v>0</v>
      </c>
      <c r="F1498" s="3">
        <f>IFERROR(VLOOKUP(B1498,'[1]new sheet'!$A$1:$IV$65536,4,FALSE),0)</f>
        <v>0</v>
      </c>
      <c r="G1498" s="4">
        <f>IFERROR(VLOOKUP(B1498,'[2]new sheet'!$A$1:$IV$65536,2,0),0)</f>
        <v>6011.88</v>
      </c>
      <c r="H1498" s="5">
        <f>IFERROR(VLOOKUP(B1498,'[3]new sheet'!$A$1:$IV$65536,2,0),0)</f>
        <v>0</v>
      </c>
    </row>
    <row r="1499" spans="1:8" ht="24" customHeight="1">
      <c r="A1499" s="7">
        <v>3092015</v>
      </c>
      <c r="B1499" s="7">
        <v>1964</v>
      </c>
      <c r="C1499" s="8" t="s">
        <v>1239</v>
      </c>
      <c r="D1499" s="8" t="s">
        <v>1935</v>
      </c>
      <c r="E1499" s="2">
        <f>IFERROR(VLOOKUP(B1499,'[1]new sheet'!$A$1:$IV$65536,5,FALSE),0)</f>
        <v>0</v>
      </c>
      <c r="F1499" s="3">
        <f>IFERROR(VLOOKUP(B1499,'[1]new sheet'!$A$1:$IV$65536,4,FALSE),0)</f>
        <v>0</v>
      </c>
      <c r="G1499" s="4">
        <f>IFERROR(VLOOKUP(B1499,'[2]new sheet'!$A$1:$IV$65536,2,0),0)</f>
        <v>0</v>
      </c>
      <c r="H1499" s="5">
        <f>IFERROR(VLOOKUP(B1499,'[3]new sheet'!$A$1:$IV$65536,2,0),0)</f>
        <v>0</v>
      </c>
    </row>
    <row r="1500" spans="1:8" ht="24" customHeight="1">
      <c r="A1500" s="7"/>
      <c r="B1500" s="7">
        <v>383</v>
      </c>
      <c r="C1500" s="8" t="s">
        <v>1758</v>
      </c>
      <c r="D1500" s="8" t="s">
        <v>1935</v>
      </c>
      <c r="E1500" s="2">
        <f>IFERROR(VLOOKUP(B1500,'[1]new sheet'!$A$1:$IV$65536,5,FALSE),0)</f>
        <v>7.41</v>
      </c>
      <c r="F1500" s="3">
        <f>IFERROR(VLOOKUP(B1500,'[1]new sheet'!$A$1:$IV$65536,4,FALSE),0)</f>
        <v>0</v>
      </c>
      <c r="G1500" s="4">
        <f>IFERROR(VLOOKUP(B1500,'[2]new sheet'!$A$1:$IV$65536,2,0),0)</f>
        <v>2064.7600000000002</v>
      </c>
      <c r="H1500" s="5">
        <f>IFERROR(VLOOKUP(B1500,'[3]new sheet'!$A$1:$IV$65536,2,0),0)</f>
        <v>2382.4899999999998</v>
      </c>
    </row>
    <row r="1501" spans="1:8" ht="24" customHeight="1">
      <c r="A1501" s="7">
        <v>170020</v>
      </c>
      <c r="B1501" s="7">
        <v>3089</v>
      </c>
      <c r="C1501" s="8" t="s">
        <v>1240</v>
      </c>
      <c r="D1501" s="8" t="s">
        <v>1935</v>
      </c>
      <c r="E1501" s="2">
        <f>IFERROR(VLOOKUP(B1501,'[1]new sheet'!$A$1:$IV$65536,5,FALSE),0)</f>
        <v>0</v>
      </c>
      <c r="F1501" s="3">
        <f>IFERROR(VLOOKUP(B1501,'[1]new sheet'!$A$1:$IV$65536,4,FALSE),0)</f>
        <v>0</v>
      </c>
      <c r="G1501" s="4">
        <f>IFERROR(VLOOKUP(B1501,'[2]new sheet'!$A$1:$IV$65536,2,0),0)</f>
        <v>0</v>
      </c>
      <c r="H1501" s="5">
        <f>IFERROR(VLOOKUP(B1501,'[3]new sheet'!$A$1:$IV$65536,2,0),0)</f>
        <v>0</v>
      </c>
    </row>
    <row r="1502" spans="1:8" ht="24" customHeight="1">
      <c r="A1502" s="7">
        <v>20111</v>
      </c>
      <c r="B1502" s="7">
        <v>382</v>
      </c>
      <c r="C1502" s="8" t="s">
        <v>1241</v>
      </c>
      <c r="D1502" s="8" t="s">
        <v>1935</v>
      </c>
      <c r="E1502" s="2">
        <f>IFERROR(VLOOKUP(B1502,'[1]new sheet'!$A$1:$IV$65536,5,FALSE),0)</f>
        <v>0</v>
      </c>
      <c r="F1502" s="3">
        <f>IFERROR(VLOOKUP(B1502,'[1]new sheet'!$A$1:$IV$65536,4,FALSE),0)</f>
        <v>0</v>
      </c>
      <c r="G1502" s="4">
        <f>IFERROR(VLOOKUP(B1502,'[2]new sheet'!$A$1:$IV$65536,2,0),0)</f>
        <v>0</v>
      </c>
      <c r="H1502" s="5">
        <f>IFERROR(VLOOKUP(B1502,'[3]new sheet'!$A$1:$IV$65536,2,0),0)</f>
        <v>0</v>
      </c>
    </row>
    <row r="1503" spans="1:8" ht="24" customHeight="1">
      <c r="A1503" s="7" t="s">
        <v>1242</v>
      </c>
      <c r="B1503" s="7">
        <v>2271</v>
      </c>
      <c r="C1503" s="8" t="s">
        <v>1243</v>
      </c>
      <c r="D1503" s="8" t="s">
        <v>1935</v>
      </c>
      <c r="E1503" s="2">
        <f>IFERROR(VLOOKUP(B1503,'[1]new sheet'!$A$1:$IV$65536,5,FALSE),0)</f>
        <v>0</v>
      </c>
      <c r="F1503" s="3">
        <f>IFERROR(VLOOKUP(B1503,'[1]new sheet'!$A$1:$IV$65536,4,FALSE),0)</f>
        <v>0</v>
      </c>
      <c r="G1503" s="4">
        <f>IFERROR(VLOOKUP(B1503,'[2]new sheet'!$A$1:$IV$65536,2,0),0)</f>
        <v>0</v>
      </c>
      <c r="H1503" s="5">
        <f>IFERROR(VLOOKUP(B1503,'[3]new sheet'!$A$1:$IV$65536,2,0),0)</f>
        <v>0</v>
      </c>
    </row>
    <row r="1504" spans="1:8" ht="24" customHeight="1">
      <c r="A1504" s="7">
        <v>581749</v>
      </c>
      <c r="B1504" s="7">
        <v>1678</v>
      </c>
      <c r="C1504" s="8" t="s">
        <v>1244</v>
      </c>
      <c r="D1504" s="8" t="s">
        <v>1934</v>
      </c>
      <c r="E1504" s="2">
        <f>IFERROR(VLOOKUP(B1504,'[1]new sheet'!$A$1:$IV$65536,5,FALSE),0)</f>
        <v>0</v>
      </c>
      <c r="F1504" s="3">
        <f>IFERROR(VLOOKUP(B1504,'[1]new sheet'!$A$1:$IV$65536,4,FALSE),0)</f>
        <v>0</v>
      </c>
      <c r="G1504" s="4">
        <f>IFERROR(VLOOKUP(B1504,'[2]new sheet'!$A$1:$IV$65536,2,0),0)</f>
        <v>0</v>
      </c>
      <c r="H1504" s="5">
        <f>IFERROR(VLOOKUP(B1504,'[3]new sheet'!$A$1:$IV$65536,2,0),0)</f>
        <v>0</v>
      </c>
    </row>
    <row r="1505" spans="1:8" ht="24" customHeight="1">
      <c r="A1505" s="7">
        <v>134</v>
      </c>
      <c r="B1505" s="7">
        <v>875</v>
      </c>
      <c r="C1505" s="8" t="s">
        <v>1245</v>
      </c>
      <c r="D1505" s="8" t="s">
        <v>1935</v>
      </c>
      <c r="E1505" s="2">
        <f>IFERROR(VLOOKUP(B1505,'[1]new sheet'!$A$1:$IV$65536,5,FALSE),0)</f>
        <v>0</v>
      </c>
      <c r="F1505" s="3">
        <f>IFERROR(VLOOKUP(B1505,'[1]new sheet'!$A$1:$IV$65536,4,FALSE),0)</f>
        <v>0</v>
      </c>
      <c r="G1505" s="4">
        <f>IFERROR(VLOOKUP(B1505,'[2]new sheet'!$A$1:$IV$65536,2,0),0)</f>
        <v>0</v>
      </c>
      <c r="H1505" s="5">
        <f>IFERROR(VLOOKUP(B1505,'[3]new sheet'!$A$1:$IV$65536,2,0),0)</f>
        <v>0</v>
      </c>
    </row>
    <row r="1506" spans="1:8" ht="24" customHeight="1">
      <c r="A1506" s="7">
        <v>33122</v>
      </c>
      <c r="B1506" s="7">
        <v>2606</v>
      </c>
      <c r="C1506" s="8" t="s">
        <v>1246</v>
      </c>
      <c r="D1506" s="8" t="s">
        <v>1935</v>
      </c>
      <c r="E1506" s="2">
        <f>IFERROR(VLOOKUP(B1506,'[1]new sheet'!$A$1:$IV$65536,5,FALSE),0)</f>
        <v>0</v>
      </c>
      <c r="F1506" s="3">
        <f>IFERROR(VLOOKUP(B1506,'[1]new sheet'!$A$1:$IV$65536,4,FALSE),0)</f>
        <v>0</v>
      </c>
      <c r="G1506" s="4">
        <f>IFERROR(VLOOKUP(B1506,'[2]new sheet'!$A$1:$IV$65536,2,0),0)</f>
        <v>0</v>
      </c>
      <c r="H1506" s="5">
        <f>IFERROR(VLOOKUP(B1506,'[3]new sheet'!$A$1:$IV$65536,2,0),0)</f>
        <v>0</v>
      </c>
    </row>
    <row r="1507" spans="1:8" ht="24" customHeight="1">
      <c r="A1507" s="7"/>
      <c r="B1507" s="7">
        <v>2681</v>
      </c>
      <c r="C1507" s="8" t="s">
        <v>1247</v>
      </c>
      <c r="D1507" s="8" t="s">
        <v>1935</v>
      </c>
      <c r="E1507" s="2">
        <f>IFERROR(VLOOKUP(B1507,'[1]new sheet'!$A$1:$IV$65536,5,FALSE),0)</f>
        <v>0</v>
      </c>
      <c r="F1507" s="3">
        <f>IFERROR(VLOOKUP(B1507,'[1]new sheet'!$A$1:$IV$65536,4,FALSE),0)</f>
        <v>0</v>
      </c>
      <c r="G1507" s="4">
        <f>IFERROR(VLOOKUP(B1507,'[2]new sheet'!$A$1:$IV$65536,2,0),0)</f>
        <v>0</v>
      </c>
      <c r="H1507" s="5">
        <f>IFERROR(VLOOKUP(B1507,'[3]new sheet'!$A$1:$IV$65536,2,0),0)</f>
        <v>0</v>
      </c>
    </row>
    <row r="1508" spans="1:8" ht="24" customHeight="1">
      <c r="A1508" s="7" t="s">
        <v>1248</v>
      </c>
      <c r="B1508" s="7">
        <v>113</v>
      </c>
      <c r="C1508" s="8" t="s">
        <v>1249</v>
      </c>
      <c r="D1508" s="8" t="s">
        <v>1935</v>
      </c>
      <c r="E1508" s="2">
        <f>IFERROR(VLOOKUP(B1508,'[1]new sheet'!$A$1:$IV$65536,5,FALSE),0)</f>
        <v>0</v>
      </c>
      <c r="F1508" s="3">
        <f>IFERROR(VLOOKUP(B1508,'[1]new sheet'!$A$1:$IV$65536,4,FALSE),0)</f>
        <v>0</v>
      </c>
      <c r="G1508" s="4">
        <f>IFERROR(VLOOKUP(B1508,'[2]new sheet'!$A$1:$IV$65536,2,0),0)</f>
        <v>0</v>
      </c>
      <c r="H1508" s="5">
        <f>IFERROR(VLOOKUP(B1508,'[3]new sheet'!$A$1:$IV$65536,2,0),0)</f>
        <v>0</v>
      </c>
    </row>
    <row r="1509" spans="1:8" ht="24" customHeight="1">
      <c r="A1509" s="7">
        <v>60738</v>
      </c>
      <c r="B1509" s="7">
        <v>963</v>
      </c>
      <c r="C1509" s="8" t="s">
        <v>1250</v>
      </c>
      <c r="D1509" s="8" t="s">
        <v>1934</v>
      </c>
      <c r="E1509" s="2">
        <f>IFERROR(VLOOKUP(B1509,'[1]new sheet'!$A$1:$IV$65536,5,FALSE),0)</f>
        <v>0</v>
      </c>
      <c r="F1509" s="3">
        <f>IFERROR(VLOOKUP(B1509,'[1]new sheet'!$A$1:$IV$65536,4,FALSE),0)</f>
        <v>0</v>
      </c>
      <c r="G1509" s="4">
        <f>IFERROR(VLOOKUP(B1509,'[2]new sheet'!$A$1:$IV$65536,2,0),0)</f>
        <v>0</v>
      </c>
      <c r="H1509" s="5">
        <f>IFERROR(VLOOKUP(B1509,'[3]new sheet'!$A$1:$IV$65536,2,0),0)</f>
        <v>0</v>
      </c>
    </row>
    <row r="1510" spans="1:8" ht="24" customHeight="1">
      <c r="A1510" s="7">
        <v>206109</v>
      </c>
      <c r="B1510" s="7">
        <v>3194</v>
      </c>
      <c r="C1510" s="8" t="s">
        <v>1251</v>
      </c>
      <c r="D1510" s="8" t="s">
        <v>1935</v>
      </c>
      <c r="E1510" s="2">
        <f>IFERROR(VLOOKUP(B1510,'[1]new sheet'!$A$1:$IV$65536,5,FALSE),0)</f>
        <v>9.27</v>
      </c>
      <c r="F1510" s="3">
        <f>IFERROR(VLOOKUP(B1510,'[1]new sheet'!$A$1:$IV$65536,4,FALSE),0)</f>
        <v>0</v>
      </c>
      <c r="G1510" s="4">
        <f>IFERROR(VLOOKUP(B1510,'[2]new sheet'!$A$1:$IV$65536,2,0),0)</f>
        <v>405.79</v>
      </c>
      <c r="H1510" s="5">
        <f>IFERROR(VLOOKUP(B1510,'[3]new sheet'!$A$1:$IV$65536,2,0),0)</f>
        <v>43.63</v>
      </c>
    </row>
    <row r="1511" spans="1:8" ht="24" customHeight="1">
      <c r="A1511" s="7">
        <v>205022</v>
      </c>
      <c r="B1511" s="7">
        <v>841</v>
      </c>
      <c r="C1511" s="8" t="s">
        <v>1252</v>
      </c>
      <c r="D1511" s="8" t="s">
        <v>1935</v>
      </c>
      <c r="E1511" s="2">
        <f>IFERROR(VLOOKUP(B1511,'[1]new sheet'!$A$1:$IV$65536,5,FALSE),0)</f>
        <v>0</v>
      </c>
      <c r="F1511" s="3">
        <f>IFERROR(VLOOKUP(B1511,'[1]new sheet'!$A$1:$IV$65536,4,FALSE),0)</f>
        <v>0</v>
      </c>
      <c r="G1511" s="4">
        <f>IFERROR(VLOOKUP(B1511,'[2]new sheet'!$A$1:$IV$65536,2,0),0)</f>
        <v>0</v>
      </c>
      <c r="H1511" s="5">
        <f>IFERROR(VLOOKUP(B1511,'[3]new sheet'!$A$1:$IV$65536,2,0),0)</f>
        <v>0</v>
      </c>
    </row>
    <row r="1512" spans="1:8" ht="24" customHeight="1">
      <c r="A1512" s="7">
        <v>7307</v>
      </c>
      <c r="B1512" s="7">
        <v>1761</v>
      </c>
      <c r="C1512" s="8" t="s">
        <v>1253</v>
      </c>
      <c r="D1512" s="8" t="s">
        <v>1935</v>
      </c>
      <c r="E1512" s="2">
        <f>IFERROR(VLOOKUP(B1512,'[1]new sheet'!$A$1:$IV$65536,5,FALSE),0)</f>
        <v>13.65</v>
      </c>
      <c r="F1512" s="3">
        <f>IFERROR(VLOOKUP(B1512,'[1]new sheet'!$A$1:$IV$65536,4,FALSE),0)</f>
        <v>0</v>
      </c>
      <c r="G1512" s="4">
        <f>IFERROR(VLOOKUP(B1512,'[2]new sheet'!$A$1:$IV$65536,2,0),0)</f>
        <v>0</v>
      </c>
      <c r="H1512" s="5">
        <f>IFERROR(VLOOKUP(B1512,'[3]new sheet'!$A$1:$IV$65536,2,0),0)</f>
        <v>0</v>
      </c>
    </row>
    <row r="1513" spans="1:8" ht="24" customHeight="1">
      <c r="A1513" s="7">
        <v>39671</v>
      </c>
      <c r="B1513" s="7">
        <v>269</v>
      </c>
      <c r="C1513" s="8" t="s">
        <v>1254</v>
      </c>
      <c r="D1513" s="8" t="s">
        <v>1935</v>
      </c>
      <c r="E1513" s="2">
        <f>IFERROR(VLOOKUP(B1513,'[1]new sheet'!$A$1:$IV$65536,5,FALSE),0)</f>
        <v>0</v>
      </c>
      <c r="F1513" s="3">
        <f>IFERROR(VLOOKUP(B1513,'[1]new sheet'!$A$1:$IV$65536,4,FALSE),0)</f>
        <v>0</v>
      </c>
      <c r="G1513" s="4">
        <f>IFERROR(VLOOKUP(B1513,'[2]new sheet'!$A$1:$IV$65536,2,0),0)</f>
        <v>0</v>
      </c>
      <c r="H1513" s="5">
        <f>IFERROR(VLOOKUP(B1513,'[3]new sheet'!$A$1:$IV$65536,2,0),0)</f>
        <v>0</v>
      </c>
    </row>
    <row r="1514" spans="1:8" ht="24" customHeight="1">
      <c r="A1514" s="7">
        <v>951323</v>
      </c>
      <c r="B1514" s="7">
        <v>1758</v>
      </c>
      <c r="C1514" s="8" t="s">
        <v>1255</v>
      </c>
      <c r="D1514" s="8" t="s">
        <v>1935</v>
      </c>
      <c r="E1514" s="2">
        <f>IFERROR(VLOOKUP(B1514,'[1]new sheet'!$A$1:$IV$65536,5,FALSE),0)</f>
        <v>0.4</v>
      </c>
      <c r="F1514" s="3">
        <f>IFERROR(VLOOKUP(B1514,'[1]new sheet'!$A$1:$IV$65536,4,FALSE),0)</f>
        <v>0</v>
      </c>
      <c r="G1514" s="4">
        <f>IFERROR(VLOOKUP(B1514,'[2]new sheet'!$A$1:$IV$65536,2,0),0)</f>
        <v>0</v>
      </c>
      <c r="H1514" s="5">
        <f>IFERROR(VLOOKUP(B1514,'[3]new sheet'!$A$1:$IV$65536,2,0),0)</f>
        <v>0</v>
      </c>
    </row>
    <row r="1515" spans="1:8" ht="24" customHeight="1">
      <c r="A1515" s="7">
        <v>951242</v>
      </c>
      <c r="B1515" s="7">
        <v>1757</v>
      </c>
      <c r="C1515" s="8" t="s">
        <v>1256</v>
      </c>
      <c r="D1515" s="8" t="s">
        <v>1935</v>
      </c>
      <c r="E1515" s="2">
        <f>IFERROR(VLOOKUP(B1515,'[1]new sheet'!$A$1:$IV$65536,5,FALSE),0)</f>
        <v>33.840000000000003</v>
      </c>
      <c r="F1515" s="3">
        <f>IFERROR(VLOOKUP(B1515,'[1]new sheet'!$A$1:$IV$65536,4,FALSE),0)</f>
        <v>0</v>
      </c>
      <c r="G1515" s="4">
        <f>IFERROR(VLOOKUP(B1515,'[2]new sheet'!$A$1:$IV$65536,2,0),0)</f>
        <v>0</v>
      </c>
      <c r="H1515" s="5">
        <f>IFERROR(VLOOKUP(B1515,'[3]new sheet'!$A$1:$IV$65536,2,0),0)</f>
        <v>0</v>
      </c>
    </row>
    <row r="1516" spans="1:8" ht="24" customHeight="1">
      <c r="A1516" s="7">
        <v>688673</v>
      </c>
      <c r="B1516" s="7">
        <v>1756</v>
      </c>
      <c r="C1516" s="8" t="s">
        <v>1257</v>
      </c>
      <c r="D1516" s="8" t="s">
        <v>1935</v>
      </c>
      <c r="E1516" s="2">
        <f>IFERROR(VLOOKUP(B1516,'[1]new sheet'!$A$1:$IV$65536,5,FALSE),0)</f>
        <v>64.540000000000006</v>
      </c>
      <c r="F1516" s="3">
        <f>IFERROR(VLOOKUP(B1516,'[1]new sheet'!$A$1:$IV$65536,4,FALSE),0)</f>
        <v>0</v>
      </c>
      <c r="G1516" s="4">
        <f>IFERROR(VLOOKUP(B1516,'[2]new sheet'!$A$1:$IV$65536,2,0),0)</f>
        <v>0</v>
      </c>
      <c r="H1516" s="5">
        <f>IFERROR(VLOOKUP(B1516,'[3]new sheet'!$A$1:$IV$65536,2,0),0)</f>
        <v>0</v>
      </c>
    </row>
    <row r="1517" spans="1:8" ht="24" customHeight="1">
      <c r="A1517" s="7">
        <v>21</v>
      </c>
      <c r="B1517" s="7">
        <v>3233</v>
      </c>
      <c r="C1517" s="8" t="s">
        <v>1258</v>
      </c>
      <c r="D1517" s="8" t="s">
        <v>1934</v>
      </c>
      <c r="E1517" s="2">
        <f>IFERROR(VLOOKUP(B1517,'[1]new sheet'!$A$1:$IV$65536,5,FALSE),0)</f>
        <v>0</v>
      </c>
      <c r="F1517" s="3">
        <f>IFERROR(VLOOKUP(B1517,'[1]new sheet'!$A$1:$IV$65536,4,FALSE),0)</f>
        <v>0</v>
      </c>
      <c r="G1517" s="4">
        <f>IFERROR(VLOOKUP(B1517,'[2]new sheet'!$A$1:$IV$65536,2,0),0)</f>
        <v>0</v>
      </c>
      <c r="H1517" s="5">
        <f>IFERROR(VLOOKUP(B1517,'[3]new sheet'!$A$1:$IV$65536,2,0),0)</f>
        <v>0</v>
      </c>
    </row>
    <row r="1518" spans="1:8" ht="24" customHeight="1">
      <c r="A1518" s="7"/>
      <c r="B1518" s="7">
        <v>31</v>
      </c>
      <c r="C1518" s="8" t="s">
        <v>1259</v>
      </c>
      <c r="D1518" s="8" t="s">
        <v>1934</v>
      </c>
      <c r="E1518" s="2">
        <f>IFERROR(VLOOKUP(B1518,'[1]new sheet'!$A$1:$IV$65536,5,FALSE),0)</f>
        <v>0</v>
      </c>
      <c r="F1518" s="3">
        <f>IFERROR(VLOOKUP(B1518,'[1]new sheet'!$A$1:$IV$65536,4,FALSE),0)</f>
        <v>0</v>
      </c>
      <c r="G1518" s="4">
        <f>IFERROR(VLOOKUP(B1518,'[2]new sheet'!$A$1:$IV$65536,2,0),0)</f>
        <v>0</v>
      </c>
      <c r="H1518" s="5">
        <f>IFERROR(VLOOKUP(B1518,'[3]new sheet'!$A$1:$IV$65536,2,0),0)</f>
        <v>0</v>
      </c>
    </row>
    <row r="1519" spans="1:8" ht="24" customHeight="1">
      <c r="A1519" s="7">
        <v>210</v>
      </c>
      <c r="B1519" s="7">
        <v>30</v>
      </c>
      <c r="C1519" s="8" t="s">
        <v>1260</v>
      </c>
      <c r="D1519" s="8" t="s">
        <v>1934</v>
      </c>
      <c r="E1519" s="2">
        <f>IFERROR(VLOOKUP(B1519,'[1]new sheet'!$A$1:$IV$65536,5,FALSE),0)</f>
        <v>0</v>
      </c>
      <c r="F1519" s="3">
        <f>IFERROR(VLOOKUP(B1519,'[1]new sheet'!$A$1:$IV$65536,4,FALSE),0)</f>
        <v>0</v>
      </c>
      <c r="G1519" s="4">
        <f>IFERROR(VLOOKUP(B1519,'[2]new sheet'!$A$1:$IV$65536,2,0),0)</f>
        <v>0</v>
      </c>
      <c r="H1519" s="5">
        <f>IFERROR(VLOOKUP(B1519,'[3]new sheet'!$A$1:$IV$65536,2,0),0)</f>
        <v>0</v>
      </c>
    </row>
    <row r="1520" spans="1:8" ht="24" customHeight="1">
      <c r="A1520" s="7">
        <v>331</v>
      </c>
      <c r="B1520" s="7">
        <v>2558</v>
      </c>
      <c r="C1520" s="8" t="s">
        <v>1261</v>
      </c>
      <c r="D1520" s="8" t="s">
        <v>1934</v>
      </c>
      <c r="E1520" s="2">
        <f>IFERROR(VLOOKUP(B1520,'[1]new sheet'!$A$1:$IV$65536,5,FALSE),0)</f>
        <v>0</v>
      </c>
      <c r="F1520" s="3">
        <f>IFERROR(VLOOKUP(B1520,'[1]new sheet'!$A$1:$IV$65536,4,FALSE),0)</f>
        <v>0</v>
      </c>
      <c r="G1520" s="4">
        <f>IFERROR(VLOOKUP(B1520,'[2]new sheet'!$A$1:$IV$65536,2,0),0)</f>
        <v>0</v>
      </c>
      <c r="H1520" s="5">
        <f>IFERROR(VLOOKUP(B1520,'[3]new sheet'!$A$1:$IV$65536,2,0),0)</f>
        <v>0</v>
      </c>
    </row>
    <row r="1521" spans="1:8" ht="24" customHeight="1">
      <c r="A1521" s="7">
        <v>330004</v>
      </c>
      <c r="B1521" s="7">
        <v>344</v>
      </c>
      <c r="C1521" s="8" t="s">
        <v>1262</v>
      </c>
      <c r="D1521" s="8" t="s">
        <v>1934</v>
      </c>
      <c r="E1521" s="2">
        <f>IFERROR(VLOOKUP(B1521,'[1]new sheet'!$A$1:$IV$65536,5,FALSE),0)</f>
        <v>297</v>
      </c>
      <c r="F1521" s="3">
        <f>IFERROR(VLOOKUP(B1521,'[1]new sheet'!$A$1:$IV$65536,4,FALSE),0)</f>
        <v>23</v>
      </c>
      <c r="G1521" s="4">
        <f>IFERROR(VLOOKUP(B1521,'[2]new sheet'!$A$1:$IV$65536,2,0),0)</f>
        <v>919</v>
      </c>
      <c r="H1521" s="5">
        <f>IFERROR(VLOOKUP(B1521,'[3]new sheet'!$A$1:$IV$65536,2,0),0)</f>
        <v>362</v>
      </c>
    </row>
    <row r="1522" spans="1:8" ht="24" customHeight="1">
      <c r="A1522" s="7">
        <v>920932</v>
      </c>
      <c r="B1522" s="7">
        <v>343</v>
      </c>
      <c r="C1522" s="8" t="s">
        <v>1263</v>
      </c>
      <c r="D1522" s="8" t="s">
        <v>1934</v>
      </c>
      <c r="E1522" s="2">
        <f>IFERROR(VLOOKUP(B1522,'[1]new sheet'!$A$1:$IV$65536,5,FALSE),0)</f>
        <v>0</v>
      </c>
      <c r="F1522" s="3">
        <f>IFERROR(VLOOKUP(B1522,'[1]new sheet'!$A$1:$IV$65536,4,FALSE),0)</f>
        <v>0</v>
      </c>
      <c r="G1522" s="4">
        <f>IFERROR(VLOOKUP(B1522,'[2]new sheet'!$A$1:$IV$65536,2,0),0)</f>
        <v>0</v>
      </c>
      <c r="H1522" s="5">
        <f>IFERROR(VLOOKUP(B1522,'[3]new sheet'!$A$1:$IV$65536,2,0),0)</f>
        <v>0</v>
      </c>
    </row>
    <row r="1523" spans="1:8" ht="24" customHeight="1">
      <c r="A1523" s="7">
        <v>1610</v>
      </c>
      <c r="B1523" s="7">
        <v>842</v>
      </c>
      <c r="C1523" s="8" t="s">
        <v>1688</v>
      </c>
      <c r="D1523" s="8" t="s">
        <v>1934</v>
      </c>
      <c r="E1523" s="2">
        <f>IFERROR(VLOOKUP(B1523,'[1]new sheet'!$A$1:$IV$65536,5,FALSE),0)</f>
        <v>0</v>
      </c>
      <c r="F1523" s="3">
        <f>IFERROR(VLOOKUP(B1523,'[1]new sheet'!$A$1:$IV$65536,4,FALSE),0)</f>
        <v>0</v>
      </c>
      <c r="G1523" s="4">
        <f>IFERROR(VLOOKUP(B1523,'[2]new sheet'!$A$1:$IV$65536,2,0),0)</f>
        <v>0</v>
      </c>
      <c r="H1523" s="5">
        <f>IFERROR(VLOOKUP(B1523,'[3]new sheet'!$A$1:$IV$65536,2,0),0)</f>
        <v>0</v>
      </c>
    </row>
    <row r="1524" spans="1:8" ht="24" customHeight="1">
      <c r="A1524" s="7">
        <v>54607</v>
      </c>
      <c r="B1524" s="7">
        <v>4018</v>
      </c>
      <c r="C1524" s="8" t="s">
        <v>1689</v>
      </c>
      <c r="D1524" s="8" t="s">
        <v>1934</v>
      </c>
      <c r="E1524" s="2">
        <f>IFERROR(VLOOKUP(B1524,'[1]new sheet'!$A$1:$IV$65536,5,FALSE),0)</f>
        <v>59</v>
      </c>
      <c r="F1524" s="3">
        <f>IFERROR(VLOOKUP(B1524,'[1]new sheet'!$A$1:$IV$65536,4,FALSE),0)</f>
        <v>0</v>
      </c>
      <c r="G1524" s="4">
        <f>IFERROR(VLOOKUP(B1524,'[2]new sheet'!$A$1:$IV$65536,2,0),0)</f>
        <v>23</v>
      </c>
      <c r="H1524" s="5">
        <f>IFERROR(VLOOKUP(B1524,'[3]new sheet'!$A$1:$IV$65536,2,0),0)</f>
        <v>8</v>
      </c>
    </row>
    <row r="1525" spans="1:8" ht="24" customHeight="1">
      <c r="A1525" s="7">
        <v>54691</v>
      </c>
      <c r="B1525" s="7">
        <v>4020</v>
      </c>
      <c r="C1525" s="8" t="s">
        <v>1690</v>
      </c>
      <c r="D1525" s="8" t="s">
        <v>1934</v>
      </c>
      <c r="E1525" s="2">
        <f>IFERROR(VLOOKUP(B1525,'[1]new sheet'!$A$1:$IV$65536,5,FALSE),0)</f>
        <v>0</v>
      </c>
      <c r="F1525" s="3">
        <f>IFERROR(VLOOKUP(B1525,'[1]new sheet'!$A$1:$IV$65536,4,FALSE),0)</f>
        <v>0</v>
      </c>
      <c r="G1525" s="4">
        <f>IFERROR(VLOOKUP(B1525,'[2]new sheet'!$A$1:$IV$65536,2,0),0)</f>
        <v>12</v>
      </c>
      <c r="H1525" s="5">
        <f>IFERROR(VLOOKUP(B1525,'[3]new sheet'!$A$1:$IV$65536,2,0),0)</f>
        <v>0</v>
      </c>
    </row>
    <row r="1526" spans="1:8" ht="24" customHeight="1">
      <c r="A1526" s="20">
        <v>997769</v>
      </c>
      <c r="B1526" s="7">
        <v>268</v>
      </c>
      <c r="C1526" s="8" t="s">
        <v>1264</v>
      </c>
      <c r="D1526" s="8" t="s">
        <v>1934</v>
      </c>
      <c r="E1526" s="2">
        <f>IFERROR(VLOOKUP(B1526,'[1]new sheet'!$A$1:$IV$65536,5,FALSE),0)</f>
        <v>0</v>
      </c>
      <c r="F1526" s="3">
        <f>IFERROR(VLOOKUP(B1526,'[1]new sheet'!$A$1:$IV$65536,4,FALSE),0)</f>
        <v>0</v>
      </c>
      <c r="G1526" s="4">
        <f>IFERROR(VLOOKUP(B1526,'[2]new sheet'!$A$1:$IV$65536,2,0),0)</f>
        <v>0</v>
      </c>
      <c r="H1526" s="5">
        <f>IFERROR(VLOOKUP(B1526,'[3]new sheet'!$A$1:$IV$65536,2,0),0)</f>
        <v>0</v>
      </c>
    </row>
    <row r="1527" spans="1:8" ht="24" customHeight="1">
      <c r="A1527" s="7">
        <v>1199919</v>
      </c>
      <c r="B1527" s="7">
        <v>4176</v>
      </c>
      <c r="C1527" s="8" t="s">
        <v>1826</v>
      </c>
      <c r="D1527" s="8" t="s">
        <v>1934</v>
      </c>
      <c r="E1527" s="2">
        <f>IFERROR(VLOOKUP(B1527,'[1]new sheet'!$A$1:$IV$65536,5,FALSE),0)</f>
        <v>3</v>
      </c>
      <c r="F1527" s="3">
        <f>IFERROR(VLOOKUP(B1527,'[1]new sheet'!$A$1:$IV$65536,4,FALSE),0)</f>
        <v>0</v>
      </c>
      <c r="G1527" s="4">
        <f>IFERROR(VLOOKUP(B1527,'[2]new sheet'!$A$1:$IV$65536,2,0),0)</f>
        <v>38</v>
      </c>
      <c r="H1527" s="5">
        <f>IFERROR(VLOOKUP(B1527,'[3]new sheet'!$A$1:$IV$65536,2,0),0)</f>
        <v>10</v>
      </c>
    </row>
    <row r="1528" spans="1:8" ht="24" customHeight="1">
      <c r="A1528" s="20" t="s">
        <v>1272</v>
      </c>
      <c r="B1528" s="7">
        <v>1479</v>
      </c>
      <c r="C1528" s="8" t="s">
        <v>1774</v>
      </c>
      <c r="D1528" s="8" t="s">
        <v>1935</v>
      </c>
      <c r="E1528" s="2">
        <f>IFERROR(VLOOKUP(B1528,'[1]new sheet'!$A$1:$IV$65536,5,FALSE),0)</f>
        <v>469.43</v>
      </c>
      <c r="F1528" s="3">
        <f>IFERROR(VLOOKUP(B1528,'[1]new sheet'!$A$1:$IV$65536,4,FALSE),0)</f>
        <v>0</v>
      </c>
      <c r="G1528" s="4">
        <f>IFERROR(VLOOKUP(B1528,'[2]new sheet'!$A$1:$IV$65536,2,0),0)</f>
        <v>626.54</v>
      </c>
      <c r="H1528" s="5">
        <f>IFERROR(VLOOKUP(B1528,'[3]new sheet'!$A$1:$IV$65536,2,0),0)</f>
        <v>189.66</v>
      </c>
    </row>
    <row r="1529" spans="1:8" ht="24" customHeight="1">
      <c r="A1529" s="7" t="s">
        <v>1265</v>
      </c>
      <c r="B1529" s="7">
        <v>1705</v>
      </c>
      <c r="C1529" s="8" t="s">
        <v>1266</v>
      </c>
      <c r="D1529" s="8" t="s">
        <v>1935</v>
      </c>
      <c r="E1529" s="2">
        <f>IFERROR(VLOOKUP(B1529,'[1]new sheet'!$A$1:$IV$65536,5,FALSE),0)</f>
        <v>0</v>
      </c>
      <c r="F1529" s="3">
        <f>IFERROR(VLOOKUP(B1529,'[1]new sheet'!$A$1:$IV$65536,4,FALSE),0)</f>
        <v>0</v>
      </c>
      <c r="G1529" s="4">
        <f>IFERROR(VLOOKUP(B1529,'[2]new sheet'!$A$1:$IV$65536,2,0),0)</f>
        <v>0</v>
      </c>
      <c r="H1529" s="5">
        <f>IFERROR(VLOOKUP(B1529,'[3]new sheet'!$A$1:$IV$65536,2,0),0)</f>
        <v>0</v>
      </c>
    </row>
    <row r="1530" spans="1:8" ht="24" customHeight="1">
      <c r="A1530" s="7"/>
      <c r="B1530" s="7">
        <v>102</v>
      </c>
      <c r="C1530" s="8" t="s">
        <v>1267</v>
      </c>
      <c r="D1530" s="8" t="s">
        <v>1935</v>
      </c>
      <c r="E1530" s="2">
        <f>IFERROR(VLOOKUP(B1530,'[1]new sheet'!$A$1:$IV$65536,5,FALSE),0)</f>
        <v>0</v>
      </c>
      <c r="F1530" s="3">
        <f>IFERROR(VLOOKUP(B1530,'[1]new sheet'!$A$1:$IV$65536,4,FALSE),0)</f>
        <v>0</v>
      </c>
      <c r="G1530" s="4">
        <f>IFERROR(VLOOKUP(B1530,'[2]new sheet'!$A$1:$IV$65536,2,0),0)</f>
        <v>0</v>
      </c>
      <c r="H1530" s="5">
        <f>IFERROR(VLOOKUP(B1530,'[3]new sheet'!$A$1:$IV$65536,2,0),0)</f>
        <v>0</v>
      </c>
    </row>
    <row r="1531" spans="1:8" ht="24" customHeight="1">
      <c r="A1531" s="20"/>
      <c r="B1531" s="7">
        <v>65</v>
      </c>
      <c r="C1531" s="8" t="s">
        <v>1268</v>
      </c>
      <c r="D1531" s="8" t="s">
        <v>1935</v>
      </c>
      <c r="E1531" s="2">
        <f>IFERROR(VLOOKUP(B1531,'[1]new sheet'!$A$1:$IV$65536,5,FALSE),0)</f>
        <v>0</v>
      </c>
      <c r="F1531" s="3">
        <f>IFERROR(VLOOKUP(B1531,'[1]new sheet'!$A$1:$IV$65536,4,FALSE),0)</f>
        <v>0</v>
      </c>
      <c r="G1531" s="4">
        <f>IFERROR(VLOOKUP(B1531,'[2]new sheet'!$A$1:$IV$65536,2,0),0)</f>
        <v>0</v>
      </c>
      <c r="H1531" s="5">
        <f>IFERROR(VLOOKUP(B1531,'[3]new sheet'!$A$1:$IV$65536,2,0),0)</f>
        <v>0</v>
      </c>
    </row>
    <row r="1532" spans="1:8" ht="24" customHeight="1">
      <c r="A1532" s="7">
        <v>0</v>
      </c>
      <c r="B1532" s="7">
        <v>703</v>
      </c>
      <c r="C1532" s="8" t="s">
        <v>1269</v>
      </c>
      <c r="D1532" s="8" t="s">
        <v>1935</v>
      </c>
      <c r="E1532" s="2">
        <f>IFERROR(VLOOKUP(B1532,'[1]new sheet'!$A$1:$IV$65536,5,FALSE),0)</f>
        <v>0</v>
      </c>
      <c r="F1532" s="3">
        <f>IFERROR(VLOOKUP(B1532,'[1]new sheet'!$A$1:$IV$65536,4,FALSE),0)</f>
        <v>0</v>
      </c>
      <c r="G1532" s="4">
        <f>IFERROR(VLOOKUP(B1532,'[2]new sheet'!$A$1:$IV$65536,2,0),0)</f>
        <v>0</v>
      </c>
      <c r="H1532" s="5">
        <f>IFERROR(VLOOKUP(B1532,'[3]new sheet'!$A$1:$IV$65536,2,0),0)</f>
        <v>0</v>
      </c>
    </row>
    <row r="1533" spans="1:8" ht="24" customHeight="1">
      <c r="A1533" s="7" t="s">
        <v>1270</v>
      </c>
      <c r="B1533" s="7">
        <v>704</v>
      </c>
      <c r="C1533" s="8" t="s">
        <v>1271</v>
      </c>
      <c r="D1533" s="8" t="s">
        <v>1935</v>
      </c>
      <c r="E1533" s="2">
        <f>IFERROR(VLOOKUP(B1533,'[1]new sheet'!$A$1:$IV$65536,5,FALSE),0)</f>
        <v>1108.5</v>
      </c>
      <c r="F1533" s="3">
        <f>IFERROR(VLOOKUP(B1533,'[1]new sheet'!$A$1:$IV$65536,4,FALSE),0)</f>
        <v>0</v>
      </c>
      <c r="G1533" s="4">
        <f>IFERROR(VLOOKUP(B1533,'[2]new sheet'!$A$1:$IV$65536,2,0),0)</f>
        <v>140.12</v>
      </c>
      <c r="H1533" s="5">
        <f>IFERROR(VLOOKUP(B1533,'[3]new sheet'!$A$1:$IV$65536,2,0),0)</f>
        <v>87.96</v>
      </c>
    </row>
    <row r="1534" spans="1:8" ht="24" customHeight="1">
      <c r="A1534" s="7"/>
      <c r="B1534" s="7">
        <v>103</v>
      </c>
      <c r="C1534" s="8" t="s">
        <v>1273</v>
      </c>
      <c r="D1534" s="8" t="s">
        <v>1935</v>
      </c>
      <c r="E1534" s="2">
        <f>IFERROR(VLOOKUP(B1534,'[1]new sheet'!$A$1:$IV$65536,5,FALSE),0)</f>
        <v>0</v>
      </c>
      <c r="F1534" s="3">
        <f>IFERROR(VLOOKUP(B1534,'[1]new sheet'!$A$1:$IV$65536,4,FALSE),0)</f>
        <v>0</v>
      </c>
      <c r="G1534" s="4">
        <f>IFERROR(VLOOKUP(B1534,'[2]new sheet'!$A$1:$IV$65536,2,0),0)</f>
        <v>0</v>
      </c>
      <c r="H1534" s="5">
        <f>IFERROR(VLOOKUP(B1534,'[3]new sheet'!$A$1:$IV$65536,2,0),0)</f>
        <v>0</v>
      </c>
    </row>
    <row r="1535" spans="1:8" ht="24" customHeight="1">
      <c r="A1535" s="7">
        <v>9000011774</v>
      </c>
      <c r="B1535" s="7">
        <v>3681</v>
      </c>
      <c r="C1535" s="8" t="s">
        <v>1274</v>
      </c>
      <c r="D1535" s="32" t="s">
        <v>1935</v>
      </c>
      <c r="E1535" s="23">
        <f>IFERROR(VLOOKUP(B1535,'[1]new sheet'!$A$1:$IV$65536,5,FALSE),0)</f>
        <v>0</v>
      </c>
      <c r="F1535" s="3">
        <f>IFERROR(VLOOKUP(B1535,'[1]new sheet'!$A$1:$IV$65536,4,FALSE),0)</f>
        <v>0</v>
      </c>
      <c r="G1535" s="4">
        <f>IFERROR(VLOOKUP(B1535,'[2]new sheet'!$A$1:$IV$65536,2,0),0)</f>
        <v>0</v>
      </c>
      <c r="H1535" s="5">
        <f>IFERROR(VLOOKUP(B1535,'[3]new sheet'!$A$1:$IV$65536,2,0),0)</f>
        <v>0</v>
      </c>
    </row>
    <row r="1536" spans="1:8" ht="24" customHeight="1">
      <c r="A1536" s="24">
        <v>9000000930</v>
      </c>
      <c r="B1536" s="24">
        <v>3609</v>
      </c>
      <c r="C1536" s="25" t="s">
        <v>1275</v>
      </c>
      <c r="D1536" s="25" t="s">
        <v>1935</v>
      </c>
      <c r="E1536" s="2">
        <f>IFERROR(VLOOKUP(B1536,'[1]new sheet'!$A$1:$IV$65536,5,FALSE),0)</f>
        <v>0.11</v>
      </c>
      <c r="F1536" s="3">
        <f>IFERROR(VLOOKUP(B1536,'[1]new sheet'!$A$1:$IV$65536,4,FALSE),0)</f>
        <v>0</v>
      </c>
      <c r="G1536" s="4">
        <f>IFERROR(VLOOKUP(B1536,'[2]new sheet'!$A$1:$IV$65536,2,0),0)</f>
        <v>0</v>
      </c>
      <c r="H1536" s="5">
        <f>IFERROR(VLOOKUP(B1536,'[3]new sheet'!$A$1:$IV$65536,2,0),0)</f>
        <v>0</v>
      </c>
    </row>
    <row r="1537" spans="1:8" ht="24" customHeight="1">
      <c r="A1537" s="7">
        <v>0</v>
      </c>
      <c r="B1537" s="7">
        <v>3989</v>
      </c>
      <c r="C1537" s="8" t="s">
        <v>1660</v>
      </c>
      <c r="D1537" s="8" t="s">
        <v>1935</v>
      </c>
      <c r="E1537" s="2">
        <f>IFERROR(VLOOKUP(B1537,'[1]new sheet'!$A$1:$IV$65536,5,FALSE),0)</f>
        <v>0</v>
      </c>
      <c r="F1537" s="3">
        <f>IFERROR(VLOOKUP(B1537,'[1]new sheet'!$A$1:$IV$65536,4,FALSE),0)</f>
        <v>0</v>
      </c>
      <c r="G1537" s="4">
        <f>IFERROR(VLOOKUP(B1537,'[2]new sheet'!$A$1:$IV$65536,2,0),0)</f>
        <v>86.53</v>
      </c>
      <c r="H1537" s="5">
        <f>IFERROR(VLOOKUP(B1537,'[3]new sheet'!$A$1:$IV$65536,2,0),0)</f>
        <v>0</v>
      </c>
    </row>
    <row r="1538" spans="1:8" ht="24" customHeight="1">
      <c r="A1538" s="20">
        <v>60653</v>
      </c>
      <c r="B1538" s="7">
        <v>2362</v>
      </c>
      <c r="C1538" s="8" t="s">
        <v>1276</v>
      </c>
      <c r="D1538" s="8" t="s">
        <v>1934</v>
      </c>
      <c r="E1538" s="2">
        <f>IFERROR(VLOOKUP(B1538,'[1]new sheet'!$A$1:$IV$65536,5,FALSE),0)</f>
        <v>0</v>
      </c>
      <c r="F1538" s="3">
        <f>IFERROR(VLOOKUP(B1538,'[1]new sheet'!$A$1:$IV$65536,4,FALSE),0)</f>
        <v>0</v>
      </c>
      <c r="G1538" s="4">
        <f>IFERROR(VLOOKUP(B1538,'[2]new sheet'!$A$1:$IV$65536,2,0),0)</f>
        <v>0</v>
      </c>
      <c r="H1538" s="5">
        <f>IFERROR(VLOOKUP(B1538,'[3]new sheet'!$A$1:$IV$65536,2,0),0)</f>
        <v>0</v>
      </c>
    </row>
    <row r="1539" spans="1:8" ht="24" customHeight="1">
      <c r="A1539" s="7"/>
      <c r="B1539" s="7">
        <v>122</v>
      </c>
      <c r="C1539" s="8" t="s">
        <v>1277</v>
      </c>
      <c r="D1539" s="8" t="s">
        <v>1935</v>
      </c>
      <c r="E1539" s="2">
        <f>IFERROR(VLOOKUP(B1539,'[1]new sheet'!$A$1:$IV$65536,5,FALSE),0)</f>
        <v>0</v>
      </c>
      <c r="F1539" s="3">
        <f>IFERROR(VLOOKUP(B1539,'[1]new sheet'!$A$1:$IV$65536,4,FALSE),0)</f>
        <v>0</v>
      </c>
      <c r="G1539" s="4">
        <f>IFERROR(VLOOKUP(B1539,'[2]new sheet'!$A$1:$IV$65536,2,0),0)</f>
        <v>0</v>
      </c>
      <c r="H1539" s="5">
        <f>IFERROR(VLOOKUP(B1539,'[3]new sheet'!$A$1:$IV$65536,2,0),0)</f>
        <v>0</v>
      </c>
    </row>
    <row r="1540" spans="1:8" ht="24" customHeight="1">
      <c r="A1540" s="7">
        <v>189</v>
      </c>
      <c r="B1540" s="7">
        <v>3624</v>
      </c>
      <c r="C1540" s="8" t="s">
        <v>1278</v>
      </c>
      <c r="D1540" s="8" t="s">
        <v>1935</v>
      </c>
      <c r="E1540" s="2">
        <f>IFERROR(VLOOKUP(B1540,'[1]new sheet'!$A$1:$IV$65536,5,FALSE),0)</f>
        <v>0</v>
      </c>
      <c r="F1540" s="3">
        <f>IFERROR(VLOOKUP(B1540,'[1]new sheet'!$A$1:$IV$65536,4,FALSE),0)</f>
        <v>0</v>
      </c>
      <c r="G1540" s="4">
        <f>IFERROR(VLOOKUP(B1540,'[2]new sheet'!$A$1:$IV$65536,2,0),0)</f>
        <v>277.94</v>
      </c>
      <c r="H1540" s="5">
        <f>IFERROR(VLOOKUP(B1540,'[3]new sheet'!$A$1:$IV$65536,2,0),0)</f>
        <v>0</v>
      </c>
    </row>
    <row r="1541" spans="1:8" ht="24" customHeight="1">
      <c r="A1541" s="7">
        <v>991068</v>
      </c>
      <c r="B1541" s="7">
        <v>2635</v>
      </c>
      <c r="C1541" s="8" t="s">
        <v>1279</v>
      </c>
      <c r="D1541" s="8" t="s">
        <v>1934</v>
      </c>
      <c r="E1541" s="2">
        <f>IFERROR(VLOOKUP(B1541,'[1]new sheet'!$A$1:$IV$65536,5,FALSE),0)</f>
        <v>5</v>
      </c>
      <c r="F1541" s="3">
        <f>IFERROR(VLOOKUP(B1541,'[1]new sheet'!$A$1:$IV$65536,4,FALSE),0)</f>
        <v>0</v>
      </c>
      <c r="G1541" s="4">
        <f>IFERROR(VLOOKUP(B1541,'[2]new sheet'!$A$1:$IV$65536,2,0),0)</f>
        <v>3</v>
      </c>
      <c r="H1541" s="5">
        <f>IFERROR(VLOOKUP(B1541,'[3]new sheet'!$A$1:$IV$65536,2,0),0)</f>
        <v>2</v>
      </c>
    </row>
    <row r="1542" spans="1:8" ht="24" customHeight="1">
      <c r="A1542" s="7">
        <v>326259</v>
      </c>
      <c r="B1542" s="7">
        <v>843</v>
      </c>
      <c r="C1542" s="8" t="s">
        <v>1280</v>
      </c>
      <c r="D1542" s="8" t="s">
        <v>1934</v>
      </c>
      <c r="E1542" s="2">
        <f>IFERROR(VLOOKUP(B1542,'[1]new sheet'!$A$1:$IV$65536,5,FALSE),0)</f>
        <v>9</v>
      </c>
      <c r="F1542" s="3">
        <f>IFERROR(VLOOKUP(B1542,'[1]new sheet'!$A$1:$IV$65536,4,FALSE),0)</f>
        <v>0</v>
      </c>
      <c r="G1542" s="4">
        <f>IFERROR(VLOOKUP(B1542,'[2]new sheet'!$A$1:$IV$65536,2,0),0)</f>
        <v>1</v>
      </c>
      <c r="H1542" s="5">
        <f>IFERROR(VLOOKUP(B1542,'[3]new sheet'!$A$1:$IV$65536,2,0),0)</f>
        <v>0</v>
      </c>
    </row>
    <row r="1543" spans="1:8" ht="24" customHeight="1">
      <c r="A1543" s="7">
        <v>990606</v>
      </c>
      <c r="B1543" s="7">
        <v>3843</v>
      </c>
      <c r="C1543" s="8" t="s">
        <v>1573</v>
      </c>
      <c r="D1543" s="8" t="s">
        <v>1934</v>
      </c>
      <c r="E1543" s="2">
        <f>IFERROR(VLOOKUP(B1543,'[1]new sheet'!$A$1:$IV$65536,5,FALSE),0)</f>
        <v>11</v>
      </c>
      <c r="F1543" s="3">
        <f>IFERROR(VLOOKUP(B1543,'[1]new sheet'!$A$1:$IV$65536,4,FALSE),0)</f>
        <v>0</v>
      </c>
      <c r="G1543" s="4">
        <f>IFERROR(VLOOKUP(B1543,'[2]new sheet'!$A$1:$IV$65536,2,0),0)</f>
        <v>24</v>
      </c>
      <c r="H1543" s="5">
        <f>IFERROR(VLOOKUP(B1543,'[3]new sheet'!$A$1:$IV$65536,2,0),0)</f>
        <v>4</v>
      </c>
    </row>
    <row r="1544" spans="1:8" ht="24" customHeight="1">
      <c r="A1544" s="20">
        <v>54782</v>
      </c>
      <c r="B1544" s="7">
        <v>844</v>
      </c>
      <c r="C1544" s="8" t="s">
        <v>1281</v>
      </c>
      <c r="D1544" s="8" t="s">
        <v>1934</v>
      </c>
      <c r="E1544" s="2">
        <f>IFERROR(VLOOKUP(B1544,'[1]new sheet'!$A$1:$IV$65536,5,FALSE),0)</f>
        <v>6</v>
      </c>
      <c r="F1544" s="3">
        <f>IFERROR(VLOOKUP(B1544,'[1]new sheet'!$A$1:$IV$65536,4,FALSE),0)</f>
        <v>0</v>
      </c>
      <c r="G1544" s="4">
        <f>IFERROR(VLOOKUP(B1544,'[2]new sheet'!$A$1:$IV$65536,2,0),0)</f>
        <v>6</v>
      </c>
      <c r="H1544" s="5">
        <f>IFERROR(VLOOKUP(B1544,'[3]new sheet'!$A$1:$IV$65536,2,0),0)</f>
        <v>0</v>
      </c>
    </row>
    <row r="1545" spans="1:8" ht="24" customHeight="1">
      <c r="A1545" s="7">
        <v>54779</v>
      </c>
      <c r="B1545" s="7">
        <v>705</v>
      </c>
      <c r="C1545" s="8" t="s">
        <v>1282</v>
      </c>
      <c r="D1545" s="8" t="s">
        <v>1934</v>
      </c>
      <c r="E1545" s="2">
        <f>IFERROR(VLOOKUP(B1545,'[1]new sheet'!$A$1:$IV$65536,5,FALSE),0)</f>
        <v>10</v>
      </c>
      <c r="F1545" s="3">
        <f>IFERROR(VLOOKUP(B1545,'[1]new sheet'!$A$1:$IV$65536,4,FALSE),0)</f>
        <v>0</v>
      </c>
      <c r="G1545" s="4">
        <f>IFERROR(VLOOKUP(B1545,'[2]new sheet'!$A$1:$IV$65536,2,0),0)</f>
        <v>8</v>
      </c>
      <c r="H1545" s="5">
        <f>IFERROR(VLOOKUP(B1545,'[3]new sheet'!$A$1:$IV$65536,2,0),0)</f>
        <v>0</v>
      </c>
    </row>
    <row r="1546" spans="1:8" ht="24" customHeight="1">
      <c r="A1546" s="20">
        <v>326046</v>
      </c>
      <c r="B1546" s="7">
        <v>706</v>
      </c>
      <c r="C1546" s="8" t="s">
        <v>1283</v>
      </c>
      <c r="D1546" s="8" t="s">
        <v>1934</v>
      </c>
      <c r="E1546" s="2">
        <f>IFERROR(VLOOKUP(B1546,'[1]new sheet'!$A$1:$IV$65536,5,FALSE),0)</f>
        <v>32</v>
      </c>
      <c r="F1546" s="3">
        <f>IFERROR(VLOOKUP(B1546,'[1]new sheet'!$A$1:$IV$65536,4,FALSE),0)</f>
        <v>1</v>
      </c>
      <c r="G1546" s="4">
        <f>IFERROR(VLOOKUP(B1546,'[2]new sheet'!$A$1:$IV$65536,2,0),0)</f>
        <v>42</v>
      </c>
      <c r="H1546" s="5">
        <f>IFERROR(VLOOKUP(B1546,'[3]new sheet'!$A$1:$IV$65536,2,0),0)</f>
        <v>9</v>
      </c>
    </row>
    <row r="1547" spans="1:8" ht="24" customHeight="1">
      <c r="A1547" s="7">
        <v>989064</v>
      </c>
      <c r="B1547" s="7">
        <v>4301</v>
      </c>
      <c r="C1547" s="8" t="s">
        <v>1926</v>
      </c>
      <c r="D1547" s="8" t="s">
        <v>1934</v>
      </c>
      <c r="E1547" s="2">
        <f>IFERROR(VLOOKUP(B1547,'[1]new sheet'!$A$1:$IV$65536,5,FALSE),0)</f>
        <v>1</v>
      </c>
      <c r="F1547" s="3">
        <f>IFERROR(VLOOKUP(B1547,'[1]new sheet'!$A$1:$IV$65536,4,FALSE),0)</f>
        <v>0</v>
      </c>
      <c r="G1547" s="4">
        <f>IFERROR(VLOOKUP(B1547,'[2]new sheet'!$A$1:$IV$65536,2,0),0)</f>
        <v>0</v>
      </c>
      <c r="H1547" s="5">
        <f>IFERROR(VLOOKUP(B1547,'[3]new sheet'!$A$1:$IV$65536,2,0),0)</f>
        <v>0</v>
      </c>
    </row>
    <row r="1548" spans="1:8" ht="24" customHeight="1">
      <c r="A1548" s="7">
        <v>32067</v>
      </c>
      <c r="B1548" s="7">
        <v>707</v>
      </c>
      <c r="C1548" s="8" t="s">
        <v>1284</v>
      </c>
      <c r="D1548" s="8" t="s">
        <v>1934</v>
      </c>
      <c r="E1548" s="2">
        <f>IFERROR(VLOOKUP(B1548,'[1]new sheet'!$A$1:$IV$65536,5,FALSE),0)</f>
        <v>0</v>
      </c>
      <c r="F1548" s="3">
        <f>IFERROR(VLOOKUP(B1548,'[1]new sheet'!$A$1:$IV$65536,4,FALSE),0)</f>
        <v>0</v>
      </c>
      <c r="G1548" s="4">
        <f>IFERROR(VLOOKUP(B1548,'[2]new sheet'!$A$1:$IV$65536,2,0),0)</f>
        <v>0</v>
      </c>
      <c r="H1548" s="5">
        <f>IFERROR(VLOOKUP(B1548,'[3]new sheet'!$A$1:$IV$65536,2,0),0)</f>
        <v>0</v>
      </c>
    </row>
    <row r="1549" spans="1:8" ht="24" customHeight="1">
      <c r="A1549" s="7">
        <v>58138</v>
      </c>
      <c r="B1549" s="7">
        <v>845</v>
      </c>
      <c r="C1549" s="8" t="s">
        <v>1285</v>
      </c>
      <c r="D1549" s="8" t="s">
        <v>1934</v>
      </c>
      <c r="E1549" s="2">
        <f>IFERROR(VLOOKUP(B1549,'[1]new sheet'!$A$1:$IV$65536,5,FALSE),0)</f>
        <v>0</v>
      </c>
      <c r="F1549" s="3">
        <f>IFERROR(VLOOKUP(B1549,'[1]new sheet'!$A$1:$IV$65536,4,FALSE),0)</f>
        <v>0</v>
      </c>
      <c r="G1549" s="4">
        <f>IFERROR(VLOOKUP(B1549,'[2]new sheet'!$A$1:$IV$65536,2,0),0)</f>
        <v>0</v>
      </c>
      <c r="H1549" s="5">
        <f>IFERROR(VLOOKUP(B1549,'[3]new sheet'!$A$1:$IV$65536,2,0),0)</f>
        <v>0</v>
      </c>
    </row>
    <row r="1550" spans="1:8" ht="24" customHeight="1">
      <c r="A1550" s="7">
        <v>54783</v>
      </c>
      <c r="B1550" s="7">
        <v>708</v>
      </c>
      <c r="C1550" s="8" t="s">
        <v>1286</v>
      </c>
      <c r="D1550" s="8" t="s">
        <v>1934</v>
      </c>
      <c r="E1550" s="2">
        <f>IFERROR(VLOOKUP(B1550,'[1]new sheet'!$A$1:$IV$65536,5,FALSE),0)</f>
        <v>4</v>
      </c>
      <c r="F1550" s="3">
        <f>IFERROR(VLOOKUP(B1550,'[1]new sheet'!$A$1:$IV$65536,4,FALSE),0)</f>
        <v>0</v>
      </c>
      <c r="G1550" s="4">
        <f>IFERROR(VLOOKUP(B1550,'[2]new sheet'!$A$1:$IV$65536,2,0),0)</f>
        <v>1</v>
      </c>
      <c r="H1550" s="5">
        <f>IFERROR(VLOOKUP(B1550,'[3]new sheet'!$A$1:$IV$65536,2,0),0)</f>
        <v>1</v>
      </c>
    </row>
    <row r="1551" spans="1:8" ht="24" customHeight="1">
      <c r="A1551" s="7">
        <v>325708</v>
      </c>
      <c r="B1551" s="7">
        <v>709</v>
      </c>
      <c r="C1551" s="8" t="s">
        <v>1287</v>
      </c>
      <c r="D1551" s="8" t="s">
        <v>1934</v>
      </c>
      <c r="E1551" s="2">
        <f>IFERROR(VLOOKUP(B1551,'[1]new sheet'!$A$1:$IV$65536,5,FALSE),0)</f>
        <v>16</v>
      </c>
      <c r="F1551" s="3">
        <f>IFERROR(VLOOKUP(B1551,'[1]new sheet'!$A$1:$IV$65536,4,FALSE),0)</f>
        <v>2</v>
      </c>
      <c r="G1551" s="4">
        <f>IFERROR(VLOOKUP(B1551,'[2]new sheet'!$A$1:$IV$65536,2,0),0)</f>
        <v>30</v>
      </c>
      <c r="H1551" s="5">
        <f>IFERROR(VLOOKUP(B1551,'[3]new sheet'!$A$1:$IV$65536,2,0),0)</f>
        <v>4</v>
      </c>
    </row>
    <row r="1552" spans="1:8" ht="24" customHeight="1">
      <c r="A1552" s="7">
        <v>54778</v>
      </c>
      <c r="B1552" s="7">
        <v>846</v>
      </c>
      <c r="C1552" s="8" t="s">
        <v>1288</v>
      </c>
      <c r="D1552" s="8" t="s">
        <v>1934</v>
      </c>
      <c r="E1552" s="2">
        <f>IFERROR(VLOOKUP(B1552,'[1]new sheet'!$A$1:$IV$65536,5,FALSE),0)</f>
        <v>5</v>
      </c>
      <c r="F1552" s="3">
        <f>IFERROR(VLOOKUP(B1552,'[1]new sheet'!$A$1:$IV$65536,4,FALSE),0)</f>
        <v>0</v>
      </c>
      <c r="G1552" s="4">
        <f>IFERROR(VLOOKUP(B1552,'[2]new sheet'!$A$1:$IV$65536,2,0),0)</f>
        <v>3</v>
      </c>
      <c r="H1552" s="5">
        <f>IFERROR(VLOOKUP(B1552,'[3]new sheet'!$A$1:$IV$65536,2,0),0)</f>
        <v>2</v>
      </c>
    </row>
    <row r="1553" spans="1:8" ht="24" customHeight="1">
      <c r="A1553" s="7">
        <v>996746</v>
      </c>
      <c r="B1553" s="7">
        <v>3072</v>
      </c>
      <c r="C1553" s="8" t="s">
        <v>1289</v>
      </c>
      <c r="D1553" s="8" t="s">
        <v>1934</v>
      </c>
      <c r="E1553" s="2">
        <f>IFERROR(VLOOKUP(B1553,'[1]new sheet'!$A$1:$IV$65536,5,FALSE),0)</f>
        <v>1</v>
      </c>
      <c r="F1553" s="3">
        <f>IFERROR(VLOOKUP(B1553,'[1]new sheet'!$A$1:$IV$65536,4,FALSE),0)</f>
        <v>0</v>
      </c>
      <c r="G1553" s="4">
        <f>IFERROR(VLOOKUP(B1553,'[2]new sheet'!$A$1:$IV$65536,2,0),0)</f>
        <v>0</v>
      </c>
      <c r="H1553" s="5">
        <f>IFERROR(VLOOKUP(B1553,'[3]new sheet'!$A$1:$IV$65536,2,0),0)</f>
        <v>0</v>
      </c>
    </row>
    <row r="1554" spans="1:8" ht="24" customHeight="1">
      <c r="A1554" s="7">
        <v>578568</v>
      </c>
      <c r="B1554" s="7">
        <v>880</v>
      </c>
      <c r="C1554" s="8" t="s">
        <v>1290</v>
      </c>
      <c r="D1554" s="8" t="s">
        <v>1934</v>
      </c>
      <c r="E1554" s="2">
        <f>IFERROR(VLOOKUP(B1554,'[1]new sheet'!$A$1:$IV$65536,5,FALSE),0)</f>
        <v>8</v>
      </c>
      <c r="F1554" s="3">
        <f>IFERROR(VLOOKUP(B1554,'[1]new sheet'!$A$1:$IV$65536,4,FALSE),0)</f>
        <v>0</v>
      </c>
      <c r="G1554" s="4">
        <f>IFERROR(VLOOKUP(B1554,'[2]new sheet'!$A$1:$IV$65536,2,0),0)</f>
        <v>4</v>
      </c>
      <c r="H1554" s="5">
        <f>IFERROR(VLOOKUP(B1554,'[3]new sheet'!$A$1:$IV$65536,2,0),0)</f>
        <v>3</v>
      </c>
    </row>
    <row r="1555" spans="1:8" ht="24" customHeight="1">
      <c r="A1555" s="7">
        <v>58128</v>
      </c>
      <c r="B1555" s="7">
        <v>944</v>
      </c>
      <c r="C1555" s="8" t="s">
        <v>1291</v>
      </c>
      <c r="D1555" s="8" t="s">
        <v>1934</v>
      </c>
      <c r="E1555" s="2">
        <f>IFERROR(VLOOKUP(B1555,'[1]new sheet'!$A$1:$IV$65536,5,FALSE),0)</f>
        <v>0</v>
      </c>
      <c r="F1555" s="3">
        <f>IFERROR(VLOOKUP(B1555,'[1]new sheet'!$A$1:$IV$65536,4,FALSE),0)</f>
        <v>0</v>
      </c>
      <c r="G1555" s="4">
        <f>IFERROR(VLOOKUP(B1555,'[2]new sheet'!$A$1:$IV$65536,2,0),0)</f>
        <v>0</v>
      </c>
      <c r="H1555" s="5">
        <f>IFERROR(VLOOKUP(B1555,'[3]new sheet'!$A$1:$IV$65536,2,0),0)</f>
        <v>0</v>
      </c>
    </row>
    <row r="1556" spans="1:8" ht="24" customHeight="1">
      <c r="A1556" s="7">
        <v>55486</v>
      </c>
      <c r="B1556" s="7">
        <v>906</v>
      </c>
      <c r="C1556" s="8" t="s">
        <v>1292</v>
      </c>
      <c r="D1556" s="8" t="s">
        <v>1934</v>
      </c>
      <c r="E1556" s="2">
        <f>IFERROR(VLOOKUP(B1556,'[1]new sheet'!$A$1:$IV$65536,5,FALSE),0)</f>
        <v>0</v>
      </c>
      <c r="F1556" s="3">
        <f>IFERROR(VLOOKUP(B1556,'[1]new sheet'!$A$1:$IV$65536,4,FALSE),0)</f>
        <v>0</v>
      </c>
      <c r="G1556" s="4">
        <f>IFERROR(VLOOKUP(B1556,'[2]new sheet'!$A$1:$IV$65536,2,0),0)</f>
        <v>1</v>
      </c>
      <c r="H1556" s="5">
        <f>IFERROR(VLOOKUP(B1556,'[3]new sheet'!$A$1:$IV$65536,2,0),0)</f>
        <v>5</v>
      </c>
    </row>
    <row r="1557" spans="1:8" ht="24" customHeight="1">
      <c r="A1557" s="20">
        <v>32066</v>
      </c>
      <c r="B1557" s="7">
        <v>710</v>
      </c>
      <c r="C1557" s="8" t="s">
        <v>1293</v>
      </c>
      <c r="D1557" s="8" t="s">
        <v>1934</v>
      </c>
      <c r="E1557" s="2">
        <f>IFERROR(VLOOKUP(B1557,'[1]new sheet'!$A$1:$IV$65536,5,FALSE),0)</f>
        <v>0</v>
      </c>
      <c r="F1557" s="3">
        <f>IFERROR(VLOOKUP(B1557,'[1]new sheet'!$A$1:$IV$65536,4,FALSE),0)</f>
        <v>0</v>
      </c>
      <c r="G1557" s="4">
        <f>IFERROR(VLOOKUP(B1557,'[2]new sheet'!$A$1:$IV$65536,2,0),0)</f>
        <v>0</v>
      </c>
      <c r="H1557" s="5">
        <f>IFERROR(VLOOKUP(B1557,'[3]new sheet'!$A$1:$IV$65536,2,0),0)</f>
        <v>0</v>
      </c>
    </row>
    <row r="1558" spans="1:8" ht="24" customHeight="1">
      <c r="A1558" s="7">
        <v>989065</v>
      </c>
      <c r="B1558" s="7">
        <v>4181</v>
      </c>
      <c r="C1558" s="8" t="s">
        <v>1845</v>
      </c>
      <c r="D1558" s="8" t="s">
        <v>1934</v>
      </c>
      <c r="E1558" s="2">
        <f>IFERROR(VLOOKUP(B1558,'[1]new sheet'!$A$1:$IV$65536,5,FALSE),0)</f>
        <v>1</v>
      </c>
      <c r="F1558" s="3">
        <f>IFERROR(VLOOKUP(B1558,'[1]new sheet'!$A$1:$IV$65536,4,FALSE),0)</f>
        <v>0</v>
      </c>
      <c r="G1558" s="4">
        <f>IFERROR(VLOOKUP(B1558,'[2]new sheet'!$A$1:$IV$65536,2,0),0)</f>
        <v>1</v>
      </c>
      <c r="H1558" s="5">
        <f>IFERROR(VLOOKUP(B1558,'[3]new sheet'!$A$1:$IV$65536,2,0),0)</f>
        <v>0</v>
      </c>
    </row>
    <row r="1559" spans="1:8" ht="24" customHeight="1">
      <c r="A1559" s="7"/>
      <c r="B1559" s="7">
        <v>878</v>
      </c>
      <c r="C1559" s="8" t="s">
        <v>1294</v>
      </c>
      <c r="D1559" s="8" t="s">
        <v>1934</v>
      </c>
      <c r="E1559" s="2">
        <f>IFERROR(VLOOKUP(B1559,'[1]new sheet'!$A$1:$IV$65536,5,FALSE),0)</f>
        <v>0</v>
      </c>
      <c r="F1559" s="3">
        <f>IFERROR(VLOOKUP(B1559,'[1]new sheet'!$A$1:$IV$65536,4,FALSE),0)</f>
        <v>0</v>
      </c>
      <c r="G1559" s="4">
        <f>IFERROR(VLOOKUP(B1559,'[2]new sheet'!$A$1:$IV$65536,2,0),0)</f>
        <v>0</v>
      </c>
      <c r="H1559" s="5">
        <f>IFERROR(VLOOKUP(B1559,'[3]new sheet'!$A$1:$IV$65536,2,0),0)</f>
        <v>0</v>
      </c>
    </row>
    <row r="1560" spans="1:8" ht="24" customHeight="1">
      <c r="A1560" s="7">
        <v>50597</v>
      </c>
      <c r="B1560" s="7">
        <v>849</v>
      </c>
      <c r="C1560" s="8" t="s">
        <v>1295</v>
      </c>
      <c r="D1560" s="8" t="s">
        <v>1934</v>
      </c>
      <c r="E1560" s="2">
        <f>IFERROR(VLOOKUP(B1560,'[1]new sheet'!$A$1:$IV$65536,5,FALSE),0)</f>
        <v>12</v>
      </c>
      <c r="F1560" s="3">
        <f>IFERROR(VLOOKUP(B1560,'[1]new sheet'!$A$1:$IV$65536,4,FALSE),0)</f>
        <v>1</v>
      </c>
      <c r="G1560" s="4">
        <f>IFERROR(VLOOKUP(B1560,'[2]new sheet'!$A$1:$IV$65536,2,0),0)</f>
        <v>14</v>
      </c>
      <c r="H1560" s="5">
        <f>IFERROR(VLOOKUP(B1560,'[3]new sheet'!$A$1:$IV$65536,2,0),0)</f>
        <v>5</v>
      </c>
    </row>
    <row r="1561" spans="1:8" ht="24" customHeight="1">
      <c r="A1561" s="7">
        <v>598372</v>
      </c>
      <c r="B1561" s="7">
        <v>848</v>
      </c>
      <c r="C1561" s="8" t="s">
        <v>1296</v>
      </c>
      <c r="D1561" s="8" t="s">
        <v>1934</v>
      </c>
      <c r="E1561" s="2">
        <f>IFERROR(VLOOKUP(B1561,'[1]new sheet'!$A$1:$IV$65536,5,FALSE),0)</f>
        <v>64</v>
      </c>
      <c r="F1561" s="3">
        <f>IFERROR(VLOOKUP(B1561,'[1]new sheet'!$A$1:$IV$65536,4,FALSE),0)</f>
        <v>1</v>
      </c>
      <c r="G1561" s="4">
        <f>IFERROR(VLOOKUP(B1561,'[2]new sheet'!$A$1:$IV$65536,2,0),0)</f>
        <v>85</v>
      </c>
      <c r="H1561" s="5">
        <f>IFERROR(VLOOKUP(B1561,'[3]new sheet'!$A$1:$IV$65536,2,0),0)</f>
        <v>40</v>
      </c>
    </row>
    <row r="1562" spans="1:8" ht="24" customHeight="1">
      <c r="A1562" s="7">
        <v>990603</v>
      </c>
      <c r="B1562" s="7">
        <v>3842</v>
      </c>
      <c r="C1562" s="8" t="s">
        <v>1574</v>
      </c>
      <c r="D1562" s="8" t="s">
        <v>1934</v>
      </c>
      <c r="E1562" s="2">
        <f>IFERROR(VLOOKUP(B1562,'[1]new sheet'!$A$1:$IV$65536,5,FALSE),0)</f>
        <v>15</v>
      </c>
      <c r="F1562" s="3">
        <f>IFERROR(VLOOKUP(B1562,'[1]new sheet'!$A$1:$IV$65536,4,FALSE),0)</f>
        <v>0</v>
      </c>
      <c r="G1562" s="4">
        <f>IFERROR(VLOOKUP(B1562,'[2]new sheet'!$A$1:$IV$65536,2,0),0)</f>
        <v>7</v>
      </c>
      <c r="H1562" s="5">
        <f>IFERROR(VLOOKUP(B1562,'[3]new sheet'!$A$1:$IV$65536,2,0),0)</f>
        <v>0</v>
      </c>
    </row>
    <row r="1563" spans="1:8" ht="24" customHeight="1">
      <c r="A1563" s="7">
        <v>54781</v>
      </c>
      <c r="B1563" s="7">
        <v>847</v>
      </c>
      <c r="C1563" s="8" t="s">
        <v>1297</v>
      </c>
      <c r="D1563" s="8" t="s">
        <v>1934</v>
      </c>
      <c r="E1563" s="2">
        <f>IFERROR(VLOOKUP(B1563,'[1]new sheet'!$A$1:$IV$65536,5,FALSE),0)</f>
        <v>0</v>
      </c>
      <c r="F1563" s="3">
        <f>IFERROR(VLOOKUP(B1563,'[1]new sheet'!$A$1:$IV$65536,4,FALSE),0)</f>
        <v>0</v>
      </c>
      <c r="G1563" s="4">
        <f>IFERROR(VLOOKUP(B1563,'[2]new sheet'!$A$1:$IV$65536,2,0),0)</f>
        <v>0</v>
      </c>
      <c r="H1563" s="5">
        <f>IFERROR(VLOOKUP(B1563,'[3]new sheet'!$A$1:$IV$65536,2,0),0)</f>
        <v>0</v>
      </c>
    </row>
    <row r="1564" spans="1:8" ht="24" customHeight="1">
      <c r="A1564" s="7">
        <v>326062</v>
      </c>
      <c r="B1564" s="7">
        <v>711</v>
      </c>
      <c r="C1564" s="8" t="s">
        <v>1298</v>
      </c>
      <c r="D1564" s="8" t="s">
        <v>1934</v>
      </c>
      <c r="E1564" s="2">
        <f>IFERROR(VLOOKUP(B1564,'[1]new sheet'!$A$1:$IV$65536,5,FALSE),0)</f>
        <v>10</v>
      </c>
      <c r="F1564" s="3">
        <f>IFERROR(VLOOKUP(B1564,'[1]new sheet'!$A$1:$IV$65536,4,FALSE),0)</f>
        <v>0</v>
      </c>
      <c r="G1564" s="4">
        <f>IFERROR(VLOOKUP(B1564,'[2]new sheet'!$A$1:$IV$65536,2,0),0)</f>
        <v>3</v>
      </c>
      <c r="H1564" s="5">
        <f>IFERROR(VLOOKUP(B1564,'[3]new sheet'!$A$1:$IV$65536,2,0),0)</f>
        <v>0</v>
      </c>
    </row>
    <row r="1565" spans="1:8" ht="24" customHeight="1">
      <c r="A1565" s="20">
        <v>58120</v>
      </c>
      <c r="B1565" s="7">
        <v>267</v>
      </c>
      <c r="C1565" s="8" t="s">
        <v>1299</v>
      </c>
      <c r="D1565" s="8" t="s">
        <v>1934</v>
      </c>
      <c r="E1565" s="2">
        <f>IFERROR(VLOOKUP(B1565,'[1]new sheet'!$A$1:$IV$65536,5,FALSE),0)</f>
        <v>0</v>
      </c>
      <c r="F1565" s="3">
        <f>IFERROR(VLOOKUP(B1565,'[1]new sheet'!$A$1:$IV$65536,4,FALSE),0)</f>
        <v>0</v>
      </c>
      <c r="G1565" s="4">
        <f>IFERROR(VLOOKUP(B1565,'[2]new sheet'!$A$1:$IV$65536,2,0),0)</f>
        <v>0</v>
      </c>
      <c r="H1565" s="5">
        <f>IFERROR(VLOOKUP(B1565,'[3]new sheet'!$A$1:$IV$65536,2,0),0)</f>
        <v>0</v>
      </c>
    </row>
    <row r="1566" spans="1:8" ht="24" customHeight="1">
      <c r="A1566" s="7">
        <v>827223</v>
      </c>
      <c r="B1566" s="7">
        <v>266</v>
      </c>
      <c r="C1566" s="8" t="s">
        <v>1300</v>
      </c>
      <c r="D1566" s="8" t="s">
        <v>1934</v>
      </c>
      <c r="E1566" s="2">
        <f>IFERROR(VLOOKUP(B1566,'[1]new sheet'!$A$1:$IV$65536,5,FALSE),0)</f>
        <v>1</v>
      </c>
      <c r="F1566" s="3">
        <f>IFERROR(VLOOKUP(B1566,'[1]new sheet'!$A$1:$IV$65536,4,FALSE),0)</f>
        <v>0</v>
      </c>
      <c r="G1566" s="4">
        <f>IFERROR(VLOOKUP(B1566,'[2]new sheet'!$A$1:$IV$65536,2,0),0)</f>
        <v>3</v>
      </c>
      <c r="H1566" s="5">
        <f>IFERROR(VLOOKUP(B1566,'[3]new sheet'!$A$1:$IV$65536,2,0),0)</f>
        <v>3</v>
      </c>
    </row>
    <row r="1567" spans="1:8" ht="24" customHeight="1">
      <c r="A1567" s="20">
        <v>228299</v>
      </c>
      <c r="B1567" s="7">
        <v>265</v>
      </c>
      <c r="C1567" s="8" t="s">
        <v>1301</v>
      </c>
      <c r="D1567" s="8" t="s">
        <v>1934</v>
      </c>
      <c r="E1567" s="2">
        <f>IFERROR(VLOOKUP(B1567,'[1]new sheet'!$A$1:$IV$65536,5,FALSE),0)</f>
        <v>0</v>
      </c>
      <c r="F1567" s="3">
        <f>IFERROR(VLOOKUP(B1567,'[1]new sheet'!$A$1:$IV$65536,4,FALSE),0)</f>
        <v>0</v>
      </c>
      <c r="G1567" s="4">
        <f>IFERROR(VLOOKUP(B1567,'[2]new sheet'!$A$1:$IV$65536,2,0),0)</f>
        <v>2</v>
      </c>
      <c r="H1567" s="5">
        <f>IFERROR(VLOOKUP(B1567,'[3]new sheet'!$A$1:$IV$65536,2,0),0)</f>
        <v>0</v>
      </c>
    </row>
    <row r="1568" spans="1:8" ht="24" customHeight="1">
      <c r="A1568" s="7">
        <v>60739</v>
      </c>
      <c r="B1568" s="7">
        <v>127</v>
      </c>
      <c r="C1568" s="8" t="s">
        <v>1302</v>
      </c>
      <c r="D1568" s="8" t="s">
        <v>1934</v>
      </c>
      <c r="E1568" s="2">
        <f>IFERROR(VLOOKUP(B1568,'[1]new sheet'!$A$1:$IV$65536,5,FALSE),0)</f>
        <v>39</v>
      </c>
      <c r="F1568" s="3">
        <f>IFERROR(VLOOKUP(B1568,'[1]new sheet'!$A$1:$IV$65536,4,FALSE),0)</f>
        <v>1</v>
      </c>
      <c r="G1568" s="4">
        <f>IFERROR(VLOOKUP(B1568,'[2]new sheet'!$A$1:$IV$65536,2,0),0)</f>
        <v>106</v>
      </c>
      <c r="H1568" s="5">
        <f>IFERROR(VLOOKUP(B1568,'[3]new sheet'!$A$1:$IV$65536,2,0),0)</f>
        <v>0</v>
      </c>
    </row>
    <row r="1569" spans="1:8" ht="24" customHeight="1">
      <c r="A1569" s="7">
        <v>105437</v>
      </c>
      <c r="B1569" s="7">
        <v>3416</v>
      </c>
      <c r="C1569" s="8" t="s">
        <v>1303</v>
      </c>
      <c r="D1569" s="8" t="s">
        <v>1934</v>
      </c>
      <c r="E1569" s="2">
        <f>IFERROR(VLOOKUP(B1569,'[1]new sheet'!$A$1:$IV$65536,5,FALSE),0)</f>
        <v>87</v>
      </c>
      <c r="F1569" s="3">
        <f>IFERROR(VLOOKUP(B1569,'[1]new sheet'!$A$1:$IV$65536,4,FALSE),0)</f>
        <v>4</v>
      </c>
      <c r="G1569" s="4">
        <f>IFERROR(VLOOKUP(B1569,'[2]new sheet'!$A$1:$IV$65536,2,0),0)</f>
        <v>23</v>
      </c>
      <c r="H1569" s="5">
        <f>IFERROR(VLOOKUP(B1569,'[3]new sheet'!$A$1:$IV$65536,2,0),0)</f>
        <v>52</v>
      </c>
    </row>
    <row r="1570" spans="1:8" ht="24" customHeight="1">
      <c r="A1570" s="7">
        <v>581764</v>
      </c>
      <c r="B1570" s="7">
        <v>1977</v>
      </c>
      <c r="C1570" s="8" t="s">
        <v>1304</v>
      </c>
      <c r="D1570" s="8" t="s">
        <v>1934</v>
      </c>
      <c r="E1570" s="2">
        <f>IFERROR(VLOOKUP(B1570,'[1]new sheet'!$A$1:$IV$65536,5,FALSE),0)</f>
        <v>0</v>
      </c>
      <c r="F1570" s="3">
        <f>IFERROR(VLOOKUP(B1570,'[1]new sheet'!$A$1:$IV$65536,4,FALSE),0)</f>
        <v>0</v>
      </c>
      <c r="G1570" s="4">
        <f>IFERROR(VLOOKUP(B1570,'[2]new sheet'!$A$1:$IV$65536,2,0),0)</f>
        <v>0</v>
      </c>
      <c r="H1570" s="5">
        <f>IFERROR(VLOOKUP(B1570,'[3]new sheet'!$A$1:$IV$65536,2,0),0)</f>
        <v>0</v>
      </c>
    </row>
    <row r="1571" spans="1:8" ht="24" customHeight="1">
      <c r="A1571" s="20">
        <v>31645</v>
      </c>
      <c r="B1571" s="7">
        <v>4300</v>
      </c>
      <c r="C1571" s="8" t="s">
        <v>1927</v>
      </c>
      <c r="D1571" s="8" t="s">
        <v>1936</v>
      </c>
      <c r="E1571" s="2">
        <f>IFERROR(VLOOKUP(B1571,'[1]new sheet'!$A$1:$IV$65536,5,FALSE),0)</f>
        <v>1</v>
      </c>
      <c r="F1571" s="3">
        <f>IFERROR(VLOOKUP(B1571,'[1]new sheet'!$A$1:$IV$65536,4,FALSE),0)</f>
        <v>0</v>
      </c>
      <c r="G1571" s="4">
        <f>IFERROR(VLOOKUP(B1571,'[2]new sheet'!$A$1:$IV$65536,2,0),0)</f>
        <v>40</v>
      </c>
      <c r="H1571" s="5">
        <f>IFERROR(VLOOKUP(B1571,'[3]new sheet'!$A$1:$IV$65536,2,0),0)</f>
        <v>0</v>
      </c>
    </row>
    <row r="1572" spans="1:8" ht="24" customHeight="1">
      <c r="A1572" s="7">
        <v>992506</v>
      </c>
      <c r="B1572" s="7">
        <v>4203</v>
      </c>
      <c r="C1572" s="8" t="s">
        <v>1846</v>
      </c>
      <c r="D1572" s="8" t="s">
        <v>1934</v>
      </c>
      <c r="E1572" s="2">
        <f>IFERROR(VLOOKUP(B1572,'[1]new sheet'!$A$1:$IV$65536,5,FALSE),0)</f>
        <v>0</v>
      </c>
      <c r="F1572" s="3">
        <f>IFERROR(VLOOKUP(B1572,'[1]new sheet'!$A$1:$IV$65536,4,FALSE),0)</f>
        <v>0</v>
      </c>
      <c r="G1572" s="4">
        <f>IFERROR(VLOOKUP(B1572,'[2]new sheet'!$A$1:$IV$65536,2,0),0)</f>
        <v>0</v>
      </c>
      <c r="H1572" s="5">
        <f>IFERROR(VLOOKUP(B1572,'[3]new sheet'!$A$1:$IV$65536,2,0),0)</f>
        <v>1</v>
      </c>
    </row>
    <row r="1573" spans="1:8" ht="24" customHeight="1">
      <c r="A1573" s="7">
        <v>561</v>
      </c>
      <c r="B1573" s="7">
        <v>712</v>
      </c>
      <c r="C1573" s="8" t="s">
        <v>1305</v>
      </c>
      <c r="D1573" s="8" t="s">
        <v>1936</v>
      </c>
      <c r="E1573" s="2">
        <f>IFERROR(VLOOKUP(B1573,'[1]new sheet'!$A$1:$IV$65536,5,FALSE),0)</f>
        <v>0</v>
      </c>
      <c r="F1573" s="3">
        <f>IFERROR(VLOOKUP(B1573,'[1]new sheet'!$A$1:$IV$65536,4,FALSE),0)</f>
        <v>0</v>
      </c>
      <c r="G1573" s="4">
        <f>IFERROR(VLOOKUP(B1573,'[2]new sheet'!$A$1:$IV$65536,2,0),0)</f>
        <v>99</v>
      </c>
      <c r="H1573" s="5">
        <f>IFERROR(VLOOKUP(B1573,'[3]new sheet'!$A$1:$IV$65536,2,0),0)</f>
        <v>0</v>
      </c>
    </row>
    <row r="1574" spans="1:8" ht="24" customHeight="1">
      <c r="A1574" s="7">
        <v>999057</v>
      </c>
      <c r="B1574" s="7">
        <v>4205</v>
      </c>
      <c r="C1574" s="8" t="s">
        <v>1847</v>
      </c>
      <c r="D1574" s="8" t="s">
        <v>1934</v>
      </c>
      <c r="E1574" s="2">
        <f>IFERROR(VLOOKUP(B1574,'[1]new sheet'!$A$1:$IV$65536,5,FALSE),0)</f>
        <v>0</v>
      </c>
      <c r="F1574" s="3">
        <f>IFERROR(VLOOKUP(B1574,'[1]new sheet'!$A$1:$IV$65536,4,FALSE),0)</f>
        <v>0</v>
      </c>
      <c r="G1574" s="4">
        <f>IFERROR(VLOOKUP(B1574,'[2]new sheet'!$A$1:$IV$65536,2,0),0)</f>
        <v>1</v>
      </c>
      <c r="H1574" s="5">
        <f>IFERROR(VLOOKUP(B1574,'[3]new sheet'!$A$1:$IV$65536,2,0),0)</f>
        <v>0</v>
      </c>
    </row>
    <row r="1575" spans="1:8" ht="24" customHeight="1">
      <c r="A1575" s="7">
        <v>155327</v>
      </c>
      <c r="B1575" s="7">
        <v>949</v>
      </c>
      <c r="C1575" s="8" t="s">
        <v>1306</v>
      </c>
      <c r="D1575" s="8" t="s">
        <v>1936</v>
      </c>
      <c r="E1575" s="2">
        <f>IFERROR(VLOOKUP(B1575,'[1]new sheet'!$A$1:$IV$65536,5,FALSE),0)</f>
        <v>0</v>
      </c>
      <c r="F1575" s="3">
        <f>IFERROR(VLOOKUP(B1575,'[1]new sheet'!$A$1:$IV$65536,4,FALSE),0)</f>
        <v>0</v>
      </c>
      <c r="G1575" s="4">
        <f>IFERROR(VLOOKUP(B1575,'[2]new sheet'!$A$1:$IV$65536,2,0),0)</f>
        <v>0</v>
      </c>
      <c r="H1575" s="5">
        <f>IFERROR(VLOOKUP(B1575,'[3]new sheet'!$A$1:$IV$65536,2,0),0)</f>
        <v>0</v>
      </c>
    </row>
    <row r="1576" spans="1:8" ht="24" customHeight="1">
      <c r="A1576" s="20">
        <v>997616</v>
      </c>
      <c r="B1576" s="7">
        <v>900</v>
      </c>
      <c r="C1576" s="8" t="s">
        <v>1307</v>
      </c>
      <c r="D1576" s="8" t="s">
        <v>1934</v>
      </c>
      <c r="E1576" s="2">
        <f>IFERROR(VLOOKUP(B1576,'[1]new sheet'!$A$1:$IV$65536,5,FALSE),0)</f>
        <v>0</v>
      </c>
      <c r="F1576" s="3">
        <f>IFERROR(VLOOKUP(B1576,'[1]new sheet'!$A$1:$IV$65536,4,FALSE),0)</f>
        <v>0</v>
      </c>
      <c r="G1576" s="4">
        <f>IFERROR(VLOOKUP(B1576,'[2]new sheet'!$A$1:$IV$65536,2,0),0)</f>
        <v>14</v>
      </c>
      <c r="H1576" s="5">
        <f>IFERROR(VLOOKUP(B1576,'[3]new sheet'!$A$1:$IV$65536,2,0),0)</f>
        <v>0</v>
      </c>
    </row>
    <row r="1577" spans="1:8" ht="24" customHeight="1">
      <c r="A1577" s="20">
        <v>994389</v>
      </c>
      <c r="B1577" s="7">
        <v>901</v>
      </c>
      <c r="C1577" s="8" t="s">
        <v>1308</v>
      </c>
      <c r="D1577" s="8" t="s">
        <v>1934</v>
      </c>
      <c r="E1577" s="2">
        <f>IFERROR(VLOOKUP(B1577,'[1]new sheet'!$A$1:$IV$65536,5,FALSE),0)</f>
        <v>0</v>
      </c>
      <c r="F1577" s="3">
        <f>IFERROR(VLOOKUP(B1577,'[1]new sheet'!$A$1:$IV$65536,4,FALSE),0)</f>
        <v>0</v>
      </c>
      <c r="G1577" s="4">
        <f>IFERROR(VLOOKUP(B1577,'[2]new sheet'!$A$1:$IV$65536,2,0),0)</f>
        <v>8</v>
      </c>
      <c r="H1577" s="5">
        <f>IFERROR(VLOOKUP(B1577,'[3]new sheet'!$A$1:$IV$65536,2,0),0)</f>
        <v>0</v>
      </c>
    </row>
    <row r="1578" spans="1:8" ht="24" customHeight="1">
      <c r="A1578" s="7">
        <v>955409</v>
      </c>
      <c r="B1578" s="7">
        <v>907</v>
      </c>
      <c r="C1578" s="8" t="s">
        <v>1309</v>
      </c>
      <c r="D1578" s="8" t="s">
        <v>1936</v>
      </c>
      <c r="E1578" s="2">
        <v>120</v>
      </c>
      <c r="F1578" s="3">
        <f>IFERROR(VLOOKUP(B1578,'[1]new sheet'!$A$1:$IV$65536,4,FALSE),0)</f>
        <v>6</v>
      </c>
      <c r="G1578" s="4">
        <f>IFERROR(VLOOKUP(B1578,'[2]new sheet'!$A$1:$IV$65536,2,0),0)</f>
        <v>212</v>
      </c>
      <c r="H1578" s="5">
        <f>IFERROR(VLOOKUP(B1578,'[3]new sheet'!$A$1:$IV$65536,2,0),0)</f>
        <v>83</v>
      </c>
    </row>
    <row r="1579" spans="1:8" ht="24" customHeight="1">
      <c r="A1579" s="7">
        <v>562</v>
      </c>
      <c r="B1579" s="7">
        <v>3703</v>
      </c>
      <c r="C1579" s="8" t="s">
        <v>1310</v>
      </c>
      <c r="D1579" s="8" t="s">
        <v>1936</v>
      </c>
      <c r="E1579" s="2">
        <f>IFERROR(VLOOKUP(B1579,'[1]new sheet'!$A$1:$IV$65536,5,FALSE),0)</f>
        <v>0</v>
      </c>
      <c r="F1579" s="3">
        <f>IFERROR(VLOOKUP(B1579,'[1]new sheet'!$A$1:$IV$65536,4,FALSE),0)</f>
        <v>0</v>
      </c>
      <c r="G1579" s="4">
        <f>IFERROR(VLOOKUP(B1579,'[2]new sheet'!$A$1:$IV$65536,2,0),0)</f>
        <v>0</v>
      </c>
      <c r="H1579" s="5">
        <f>IFERROR(VLOOKUP(B1579,'[3]new sheet'!$A$1:$IV$65536,2,0),0)</f>
        <v>0</v>
      </c>
    </row>
    <row r="1580" spans="1:8" ht="24" customHeight="1">
      <c r="A1580" s="7">
        <v>60619</v>
      </c>
      <c r="B1580" s="7">
        <v>1057</v>
      </c>
      <c r="C1580" s="8" t="s">
        <v>1311</v>
      </c>
      <c r="D1580" s="8" t="s">
        <v>1936</v>
      </c>
      <c r="E1580" s="2">
        <f>IFERROR(VLOOKUP(B1580,'[1]new sheet'!$A$1:$IV$65536,5,FALSE),0)</f>
        <v>0</v>
      </c>
      <c r="F1580" s="3">
        <f>IFERROR(VLOOKUP(B1580,'[1]new sheet'!$A$1:$IV$65536,4,FALSE),0)</f>
        <v>0</v>
      </c>
      <c r="G1580" s="4">
        <f>IFERROR(VLOOKUP(B1580,'[2]new sheet'!$A$1:$IV$65536,2,0),0)</f>
        <v>0</v>
      </c>
      <c r="H1580" s="5">
        <f>IFERROR(VLOOKUP(B1580,'[3]new sheet'!$A$1:$IV$65536,2,0),0)</f>
        <v>0</v>
      </c>
    </row>
    <row r="1581" spans="1:8" ht="24" customHeight="1">
      <c r="A1581" s="7">
        <v>39758</v>
      </c>
      <c r="B1581" s="7">
        <v>1908</v>
      </c>
      <c r="C1581" s="8" t="s">
        <v>1312</v>
      </c>
      <c r="D1581" s="8" t="s">
        <v>1935</v>
      </c>
      <c r="E1581" s="2">
        <f>IFERROR(VLOOKUP(B1581,'[1]new sheet'!$A$1:$IV$65536,5,FALSE),0)</f>
        <v>0</v>
      </c>
      <c r="F1581" s="3">
        <f>IFERROR(VLOOKUP(B1581,'[1]new sheet'!$A$1:$IV$65536,4,FALSE),0)</f>
        <v>0</v>
      </c>
      <c r="G1581" s="4">
        <f>IFERROR(VLOOKUP(B1581,'[2]new sheet'!$A$1:$IV$65536,2,0),0)</f>
        <v>0</v>
      </c>
      <c r="H1581" s="5">
        <f>IFERROR(VLOOKUP(B1581,'[3]new sheet'!$A$1:$IV$65536,2,0),0)</f>
        <v>0</v>
      </c>
    </row>
    <row r="1582" spans="1:8" ht="24" customHeight="1">
      <c r="A1582" s="7" t="s">
        <v>1313</v>
      </c>
      <c r="B1582" s="7">
        <v>394</v>
      </c>
      <c r="C1582" s="8" t="s">
        <v>1314</v>
      </c>
      <c r="D1582" s="8" t="s">
        <v>1934</v>
      </c>
      <c r="E1582" s="2">
        <f>IFERROR(VLOOKUP(B1582,'[1]new sheet'!$A$1:$IV$65536,5,FALSE),0)</f>
        <v>0</v>
      </c>
      <c r="F1582" s="3">
        <f>IFERROR(VLOOKUP(B1582,'[1]new sheet'!$A$1:$IV$65536,4,FALSE),0)</f>
        <v>0</v>
      </c>
      <c r="G1582" s="4">
        <f>IFERROR(VLOOKUP(B1582,'[2]new sheet'!$A$1:$IV$65536,2,0),0)</f>
        <v>0</v>
      </c>
      <c r="H1582" s="5">
        <f>IFERROR(VLOOKUP(B1582,'[3]new sheet'!$A$1:$IV$65536,2,0),0)</f>
        <v>0</v>
      </c>
    </row>
    <row r="1583" spans="1:8" ht="24" customHeight="1">
      <c r="A1583" s="7" t="s">
        <v>1315</v>
      </c>
      <c r="B1583" s="7">
        <v>395</v>
      </c>
      <c r="C1583" s="8" t="s">
        <v>1316</v>
      </c>
      <c r="D1583" s="8" t="s">
        <v>1934</v>
      </c>
      <c r="E1583" s="2">
        <f>IFERROR(VLOOKUP(B1583,'[1]new sheet'!$A$1:$IV$65536,5,FALSE),0)</f>
        <v>0</v>
      </c>
      <c r="F1583" s="3">
        <f>IFERROR(VLOOKUP(B1583,'[1]new sheet'!$A$1:$IV$65536,4,FALSE),0)</f>
        <v>0</v>
      </c>
      <c r="G1583" s="4">
        <f>IFERROR(VLOOKUP(B1583,'[2]new sheet'!$A$1:$IV$65536,2,0),0)</f>
        <v>0</v>
      </c>
      <c r="H1583" s="5">
        <f>IFERROR(VLOOKUP(B1583,'[3]new sheet'!$A$1:$IV$65536,2,0),0)</f>
        <v>0</v>
      </c>
    </row>
    <row r="1584" spans="1:8" ht="24" customHeight="1">
      <c r="A1584" s="7">
        <v>60575</v>
      </c>
      <c r="B1584" s="7">
        <v>713</v>
      </c>
      <c r="C1584" s="8" t="s">
        <v>1317</v>
      </c>
      <c r="D1584" s="8" t="s">
        <v>1936</v>
      </c>
      <c r="E1584" s="2">
        <f>IFERROR(VLOOKUP(B1584,'[1]new sheet'!$A$1:$IV$65536,5,FALSE),0)</f>
        <v>83</v>
      </c>
      <c r="F1584" s="3">
        <f>IFERROR(VLOOKUP(B1584,'[1]new sheet'!$A$1:$IV$65536,4,FALSE),0)</f>
        <v>0</v>
      </c>
      <c r="G1584" s="4">
        <f>IFERROR(VLOOKUP(B1584,'[2]new sheet'!$A$1:$IV$65536,2,0),0)</f>
        <v>193</v>
      </c>
      <c r="H1584" s="5">
        <f>IFERROR(VLOOKUP(B1584,'[3]new sheet'!$A$1:$IV$65536,2,0),0)</f>
        <v>75</v>
      </c>
    </row>
    <row r="1585" spans="1:8" ht="24" customHeight="1">
      <c r="A1585" s="7"/>
      <c r="B1585" s="7">
        <v>948</v>
      </c>
      <c r="C1585" s="8" t="s">
        <v>1317</v>
      </c>
      <c r="D1585" s="8" t="s">
        <v>1936</v>
      </c>
      <c r="E1585" s="2">
        <f>IFERROR(VLOOKUP(B1585,'[1]new sheet'!$A$1:$IV$65536,5,FALSE),0)</f>
        <v>0</v>
      </c>
      <c r="F1585" s="3">
        <f>IFERROR(VLOOKUP(B1585,'[1]new sheet'!$A$1:$IV$65536,4,FALSE),0)</f>
        <v>0</v>
      </c>
      <c r="G1585" s="4">
        <f>IFERROR(VLOOKUP(B1585,'[2]new sheet'!$A$1:$IV$65536,2,0),0)</f>
        <v>0</v>
      </c>
      <c r="H1585" s="5">
        <f>IFERROR(VLOOKUP(B1585,'[3]new sheet'!$A$1:$IV$65536,2,0),0)</f>
        <v>0</v>
      </c>
    </row>
    <row r="1586" spans="1:8" ht="24" customHeight="1">
      <c r="A1586" s="20">
        <v>578150</v>
      </c>
      <c r="B1586" s="7">
        <v>714</v>
      </c>
      <c r="C1586" s="8" t="s">
        <v>1318</v>
      </c>
      <c r="D1586" s="8" t="s">
        <v>1936</v>
      </c>
      <c r="E1586" s="2">
        <f>IFERROR(VLOOKUP(B1586,'[1]new sheet'!$A$1:$IV$65536,5,FALSE),0)</f>
        <v>557</v>
      </c>
      <c r="F1586" s="3">
        <f>IFERROR(VLOOKUP(B1586,'[1]new sheet'!$A$1:$IV$65536,4,FALSE),0)</f>
        <v>15</v>
      </c>
      <c r="G1586" s="4">
        <f>IFERROR(VLOOKUP(B1586,'[2]new sheet'!$A$1:$IV$65536,2,0),0)</f>
        <v>876</v>
      </c>
      <c r="H1586" s="5">
        <f>IFERROR(VLOOKUP(B1586,'[3]new sheet'!$A$1:$IV$65536,2,0),0)</f>
        <v>241</v>
      </c>
    </row>
    <row r="1587" spans="1:8" ht="24" customHeight="1">
      <c r="A1587" s="7">
        <v>992507</v>
      </c>
      <c r="B1587" s="7">
        <v>3766</v>
      </c>
      <c r="C1587" s="8" t="s">
        <v>1538</v>
      </c>
      <c r="D1587" s="8" t="s">
        <v>1934</v>
      </c>
      <c r="E1587" s="2">
        <f>IFERROR(VLOOKUP(B1587,'[1]new sheet'!$A$1:$IV$65536,5,FALSE),0)</f>
        <v>0</v>
      </c>
      <c r="F1587" s="3">
        <f>IFERROR(VLOOKUP(B1587,'[1]new sheet'!$A$1:$IV$65536,4,FALSE),0)</f>
        <v>0</v>
      </c>
      <c r="G1587" s="4">
        <f>IFERROR(VLOOKUP(B1587,'[2]new sheet'!$A$1:$IV$65536,2,0),0)</f>
        <v>0</v>
      </c>
      <c r="H1587" s="5">
        <f>IFERROR(VLOOKUP(B1587,'[3]new sheet'!$A$1:$IV$65536,2,0),0)</f>
        <v>0</v>
      </c>
    </row>
    <row r="1588" spans="1:8" ht="24" customHeight="1">
      <c r="A1588" s="7">
        <v>984990</v>
      </c>
      <c r="B1588" s="7">
        <v>1907</v>
      </c>
      <c r="C1588" s="8" t="s">
        <v>1319</v>
      </c>
      <c r="D1588" s="8" t="s">
        <v>1935</v>
      </c>
      <c r="E1588" s="2">
        <f>IFERROR(VLOOKUP(B1588,'[1]new sheet'!$A$1:$IV$65536,5,FALSE),0)</f>
        <v>0.45</v>
      </c>
      <c r="F1588" s="3">
        <f>IFERROR(VLOOKUP(B1588,'[1]new sheet'!$A$1:$IV$65536,4,FALSE),0)</f>
        <v>6</v>
      </c>
      <c r="G1588" s="4">
        <f>IFERROR(VLOOKUP(B1588,'[2]new sheet'!$A$1:$IV$65536,2,0),0)</f>
        <v>6.35</v>
      </c>
      <c r="H1588" s="5">
        <f>IFERROR(VLOOKUP(B1588,'[3]new sheet'!$A$1:$IV$65536,2,0),0)</f>
        <v>0</v>
      </c>
    </row>
    <row r="1589" spans="1:8" ht="24" customHeight="1">
      <c r="A1589" s="20">
        <v>997541</v>
      </c>
      <c r="B1589" s="7">
        <v>264</v>
      </c>
      <c r="C1589" s="8" t="s">
        <v>1320</v>
      </c>
      <c r="D1589" s="8" t="s">
        <v>1934</v>
      </c>
      <c r="E1589" s="2">
        <f>IFERROR(VLOOKUP(B1589,'[1]new sheet'!$A$1:$IV$65536,5,FALSE),0)</f>
        <v>0</v>
      </c>
      <c r="F1589" s="3">
        <f>IFERROR(VLOOKUP(B1589,'[1]new sheet'!$A$1:$IV$65536,4,FALSE),0)</f>
        <v>0</v>
      </c>
      <c r="G1589" s="4">
        <f>IFERROR(VLOOKUP(B1589,'[2]new sheet'!$A$1:$IV$65536,2,0),0)</f>
        <v>12</v>
      </c>
      <c r="H1589" s="5">
        <f>IFERROR(VLOOKUP(B1589,'[3]new sheet'!$A$1:$IV$65536,2,0),0)</f>
        <v>6</v>
      </c>
    </row>
    <row r="1590" spans="1:8" ht="24" customHeight="1">
      <c r="A1590" s="7">
        <v>998548</v>
      </c>
      <c r="B1590" s="7">
        <v>715</v>
      </c>
      <c r="C1590" s="8" t="s">
        <v>1321</v>
      </c>
      <c r="D1590" s="8" t="s">
        <v>1934</v>
      </c>
      <c r="E1590" s="2">
        <f>IFERROR(VLOOKUP(B1590,'[1]new sheet'!$A$1:$IV$65536,5,FALSE),0)</f>
        <v>1</v>
      </c>
      <c r="F1590" s="3">
        <f>IFERROR(VLOOKUP(B1590,'[1]new sheet'!$A$1:$IV$65536,4,FALSE),0)</f>
        <v>7</v>
      </c>
      <c r="G1590" s="4">
        <f>IFERROR(VLOOKUP(B1590,'[2]new sheet'!$A$1:$IV$65536,2,0),0)</f>
        <v>201</v>
      </c>
      <c r="H1590" s="5">
        <f>IFERROR(VLOOKUP(B1590,'[3]new sheet'!$A$1:$IV$65536,2,0),0)</f>
        <v>92</v>
      </c>
    </row>
    <row r="1591" spans="1:8" ht="24" customHeight="1">
      <c r="A1591" s="7">
        <v>6300</v>
      </c>
      <c r="B1591" s="7">
        <v>263</v>
      </c>
      <c r="C1591" s="8" t="s">
        <v>1322</v>
      </c>
      <c r="D1591" s="8" t="s">
        <v>1936</v>
      </c>
      <c r="E1591" s="2">
        <f>IFERROR(VLOOKUP(B1591,'[1]new sheet'!$A$1:$IV$65536,5,FALSE),0)</f>
        <v>1100</v>
      </c>
      <c r="F1591" s="3">
        <f>IFERROR(VLOOKUP(B1591,'[1]new sheet'!$A$1:$IV$65536,4,FALSE),0)</f>
        <v>20</v>
      </c>
      <c r="G1591" s="4">
        <f>IFERROR(VLOOKUP(B1591,'[2]new sheet'!$A$1:$IV$65536,2,0),0)</f>
        <v>937</v>
      </c>
      <c r="H1591" s="5">
        <f>IFERROR(VLOOKUP(B1591,'[3]new sheet'!$A$1:$IV$65536,2,0),0)</f>
        <v>304</v>
      </c>
    </row>
    <row r="1592" spans="1:8" ht="24" customHeight="1">
      <c r="A1592" s="7">
        <v>999143</v>
      </c>
      <c r="B1592" s="7">
        <v>1909</v>
      </c>
      <c r="C1592" s="8" t="s">
        <v>1323</v>
      </c>
      <c r="D1592" s="8" t="s">
        <v>1934</v>
      </c>
      <c r="E1592" s="2">
        <f>IFERROR(VLOOKUP(B1592,'[1]new sheet'!$A$1:$IV$65536,5,FALSE),0)</f>
        <v>0</v>
      </c>
      <c r="F1592" s="3">
        <f>IFERROR(VLOOKUP(B1592,'[1]new sheet'!$A$1:$IV$65536,4,FALSE),0)</f>
        <v>0</v>
      </c>
      <c r="G1592" s="4">
        <f>IFERROR(VLOOKUP(B1592,'[2]new sheet'!$A$1:$IV$65536,2,0),0)</f>
        <v>1</v>
      </c>
      <c r="H1592" s="5">
        <f>IFERROR(VLOOKUP(B1592,'[3]new sheet'!$A$1:$IV$65536,2,0),0)</f>
        <v>0</v>
      </c>
    </row>
    <row r="1593" spans="1:8" ht="24" customHeight="1">
      <c r="A1593" s="7">
        <v>240004</v>
      </c>
      <c r="B1593" s="7">
        <v>3133</v>
      </c>
      <c r="C1593" s="8" t="s">
        <v>1324</v>
      </c>
      <c r="D1593" s="8" t="s">
        <v>1934</v>
      </c>
      <c r="E1593" s="2">
        <f>IFERROR(VLOOKUP(B1593,'[1]new sheet'!$A$1:$IV$65536,5,FALSE),0)</f>
        <v>0</v>
      </c>
      <c r="F1593" s="3">
        <f>IFERROR(VLOOKUP(B1593,'[1]new sheet'!$A$1:$IV$65536,4,FALSE),0)</f>
        <v>0</v>
      </c>
      <c r="G1593" s="4">
        <f>IFERROR(VLOOKUP(B1593,'[2]new sheet'!$A$1:$IV$65536,2,0),0)</f>
        <v>21</v>
      </c>
      <c r="H1593" s="5">
        <f>IFERROR(VLOOKUP(B1593,'[3]new sheet'!$A$1:$IV$65536,2,0),0)</f>
        <v>8</v>
      </c>
    </row>
    <row r="1594" spans="1:8" ht="24" customHeight="1">
      <c r="A1594" s="7">
        <v>808630301</v>
      </c>
      <c r="B1594" s="7">
        <v>1937</v>
      </c>
      <c r="C1594" s="8" t="s">
        <v>1325</v>
      </c>
      <c r="D1594" s="8" t="s">
        <v>1935</v>
      </c>
      <c r="E1594" s="2">
        <f>IFERROR(VLOOKUP(B1594,'[1]new sheet'!$A$1:$IV$65536,5,FALSE),0)</f>
        <v>0</v>
      </c>
      <c r="F1594" s="3">
        <f>IFERROR(VLOOKUP(B1594,'[1]new sheet'!$A$1:$IV$65536,4,FALSE),0)</f>
        <v>0</v>
      </c>
      <c r="G1594" s="4">
        <f>IFERROR(VLOOKUP(B1594,'[2]new sheet'!$A$1:$IV$65536,2,0),0)</f>
        <v>0</v>
      </c>
      <c r="H1594" s="5">
        <f>IFERROR(VLOOKUP(B1594,'[3]new sheet'!$A$1:$IV$65536,2,0),0)</f>
        <v>0</v>
      </c>
    </row>
    <row r="1595" spans="1:8" ht="24" customHeight="1">
      <c r="A1595" s="7">
        <v>240005</v>
      </c>
      <c r="B1595" s="7">
        <v>4282</v>
      </c>
      <c r="C1595" s="8" t="s">
        <v>1896</v>
      </c>
      <c r="D1595" s="8" t="s">
        <v>1934</v>
      </c>
      <c r="E1595" s="2">
        <f>IFERROR(VLOOKUP(B1595,'[1]new sheet'!$A$1:$IV$65536,5,FALSE),0)</f>
        <v>0</v>
      </c>
      <c r="F1595" s="3">
        <f>IFERROR(VLOOKUP(B1595,'[1]new sheet'!$A$1:$IV$65536,4,FALSE),0)</f>
        <v>0</v>
      </c>
      <c r="G1595" s="4">
        <f>IFERROR(VLOOKUP(B1595,'[2]new sheet'!$A$1:$IV$65536,2,0),0)</f>
        <v>1</v>
      </c>
      <c r="H1595" s="5">
        <f>IFERROR(VLOOKUP(B1595,'[3]new sheet'!$A$1:$IV$65536,2,0),0)</f>
        <v>4</v>
      </c>
    </row>
    <row r="1596" spans="1:8" ht="24" customHeight="1">
      <c r="A1596" s="7">
        <v>130024</v>
      </c>
      <c r="B1596" s="7">
        <v>4276</v>
      </c>
      <c r="C1596" s="8" t="s">
        <v>1897</v>
      </c>
      <c r="D1596" s="8" t="s">
        <v>1935</v>
      </c>
      <c r="E1596" s="2">
        <f>IFERROR(VLOOKUP(B1596,'[1]new sheet'!$A$1:$IV$65536,5,FALSE),0)</f>
        <v>6.17</v>
      </c>
      <c r="F1596" s="3">
        <f>IFERROR(VLOOKUP(B1596,'[1]new sheet'!$A$1:$IV$65536,4,FALSE),0)</f>
        <v>0</v>
      </c>
      <c r="G1596" s="4">
        <f>IFERROR(VLOOKUP(B1596,'[2]new sheet'!$A$1:$IV$65536,2,0),0)</f>
        <v>0</v>
      </c>
      <c r="H1596" s="5">
        <f>IFERROR(VLOOKUP(B1596,'[3]new sheet'!$A$1:$IV$65536,2,0),0)</f>
        <v>0</v>
      </c>
    </row>
    <row r="1597" spans="1:8" ht="24" customHeight="1">
      <c r="A1597" s="7">
        <v>190006</v>
      </c>
      <c r="B1597" s="7">
        <v>4280</v>
      </c>
      <c r="C1597" s="8" t="s">
        <v>1898</v>
      </c>
      <c r="D1597" s="8" t="s">
        <v>1935</v>
      </c>
      <c r="E1597" s="2">
        <f>IFERROR(VLOOKUP(B1597,'[1]new sheet'!$A$1:$IV$65536,5,FALSE),0)</f>
        <v>1.1599999999999999</v>
      </c>
      <c r="F1597" s="3">
        <f>IFERROR(VLOOKUP(B1597,'[1]new sheet'!$A$1:$IV$65536,4,FALSE),0)</f>
        <v>0</v>
      </c>
      <c r="G1597" s="4">
        <f>IFERROR(VLOOKUP(B1597,'[2]new sheet'!$A$1:$IV$65536,2,0),0)</f>
        <v>0</v>
      </c>
      <c r="H1597" s="5">
        <f>IFERROR(VLOOKUP(B1597,'[3]new sheet'!$A$1:$IV$65536,2,0),0)</f>
        <v>4.4000000000000004</v>
      </c>
    </row>
    <row r="1598" spans="1:8" ht="24" customHeight="1">
      <c r="A1598" s="7">
        <v>4637</v>
      </c>
      <c r="B1598" s="7">
        <v>342</v>
      </c>
      <c r="C1598" s="8" t="s">
        <v>1944</v>
      </c>
      <c r="D1598" s="8" t="s">
        <v>1935</v>
      </c>
      <c r="E1598" s="2">
        <f>IFERROR(VLOOKUP(B1598,'[1]new sheet'!$A$1:$IV$65536,5,FALSE),0)</f>
        <v>604.01</v>
      </c>
      <c r="F1598" s="3">
        <f>IFERROR(VLOOKUP(B1598,'[1]new sheet'!$A$1:$IV$65536,4,FALSE),0)</f>
        <v>10</v>
      </c>
      <c r="G1598" s="4">
        <f>IFERROR(VLOOKUP(B1598,'[2]new sheet'!$A$1:$IV$65536,2,0),0)</f>
        <v>174.23</v>
      </c>
      <c r="H1598" s="5">
        <f>IFERROR(VLOOKUP(B1598,'[3]new sheet'!$A$1:$IV$65536,2,0),0)</f>
        <v>68.180000000000007</v>
      </c>
    </row>
    <row r="1599" spans="1:8" ht="24" customHeight="1">
      <c r="A1599" s="7">
        <v>130034</v>
      </c>
      <c r="B1599" s="7">
        <v>4277</v>
      </c>
      <c r="C1599" s="8" t="s">
        <v>1899</v>
      </c>
      <c r="D1599" s="8" t="s">
        <v>1935</v>
      </c>
      <c r="E1599" s="2">
        <f>IFERROR(VLOOKUP(B1599,'[1]new sheet'!$A$1:$IV$65536,5,FALSE),0)</f>
        <v>-0.18</v>
      </c>
      <c r="F1599" s="3">
        <f>IFERROR(VLOOKUP(B1599,'[1]new sheet'!$A$1:$IV$65536,4,FALSE),0)</f>
        <v>0</v>
      </c>
      <c r="G1599" s="4">
        <f>IFERROR(VLOOKUP(B1599,'[2]new sheet'!$A$1:$IV$65536,2,0),0)</f>
        <v>0</v>
      </c>
      <c r="H1599" s="5">
        <f>IFERROR(VLOOKUP(B1599,'[3]new sheet'!$A$1:$IV$65536,2,0),0)</f>
        <v>6.75</v>
      </c>
    </row>
    <row r="1600" spans="1:8" ht="24" customHeight="1">
      <c r="A1600" s="7">
        <v>7</v>
      </c>
      <c r="B1600" s="7">
        <v>341</v>
      </c>
      <c r="C1600" s="8" t="s">
        <v>1945</v>
      </c>
      <c r="D1600" s="8" t="s">
        <v>1935</v>
      </c>
      <c r="E1600" s="2">
        <f>IFERROR(VLOOKUP(B1600,'[1]new sheet'!$A$1:$IV$65536,5,FALSE),0)</f>
        <v>151.83000000000001</v>
      </c>
      <c r="F1600" s="3">
        <f>IFERROR(VLOOKUP(B1600,'[1]new sheet'!$A$1:$IV$65536,4,FALSE),0)</f>
        <v>10</v>
      </c>
      <c r="G1600" s="4">
        <f>IFERROR(VLOOKUP(B1600,'[2]new sheet'!$A$1:$IV$65536,2,0),0)</f>
        <v>804.85</v>
      </c>
      <c r="H1600" s="5">
        <f>IFERROR(VLOOKUP(B1600,'[3]new sheet'!$A$1:$IV$65536,2,0),0)</f>
        <v>273</v>
      </c>
    </row>
    <row r="1601" spans="1:8" ht="24" customHeight="1">
      <c r="A1601" s="7">
        <v>130010</v>
      </c>
      <c r="B1601" s="7">
        <v>4275</v>
      </c>
      <c r="C1601" s="8" t="s">
        <v>1933</v>
      </c>
      <c r="D1601" s="8" t="s">
        <v>1935</v>
      </c>
      <c r="E1601" s="2">
        <f>IFERROR(VLOOKUP(B1601,'[1]new sheet'!$A$1:$IV$65536,5,FALSE),0)</f>
        <v>-0.14000000000000001</v>
      </c>
      <c r="F1601" s="3">
        <f>IFERROR(VLOOKUP(B1601,'[1]new sheet'!$A$1:$IV$65536,4,FALSE),0)</f>
        <v>0</v>
      </c>
      <c r="G1601" s="4">
        <f>IFERROR(VLOOKUP(B1601,'[2]new sheet'!$A$1:$IV$65536,2,0),0)</f>
        <v>0</v>
      </c>
      <c r="H1601" s="5">
        <f>IFERROR(VLOOKUP(B1601,'[3]new sheet'!$A$1:$IV$65536,2,0),0)</f>
        <v>6.1</v>
      </c>
    </row>
    <row r="1602" spans="1:8" ht="24" customHeight="1">
      <c r="A1602" s="7">
        <v>120051</v>
      </c>
      <c r="B1602" s="7">
        <v>4268</v>
      </c>
      <c r="C1602" s="8" t="s">
        <v>1900</v>
      </c>
      <c r="D1602" s="8" t="s">
        <v>1937</v>
      </c>
      <c r="E1602" s="2">
        <f>IFERROR(VLOOKUP(B1602,'[1]new sheet'!$A$1:$IV$65536,5,FALSE),0)</f>
        <v>30</v>
      </c>
      <c r="F1602" s="3">
        <f>IFERROR(VLOOKUP(B1602,'[1]new sheet'!$A$1:$IV$65536,4,FALSE),0)</f>
        <v>0</v>
      </c>
      <c r="G1602" s="4">
        <f>IFERROR(VLOOKUP(B1602,'[2]new sheet'!$A$1:$IV$65536,2,0),0)</f>
        <v>0</v>
      </c>
      <c r="H1602" s="5">
        <f>IFERROR(VLOOKUP(B1602,'[3]new sheet'!$A$1:$IV$65536,2,0),0)</f>
        <v>6</v>
      </c>
    </row>
    <row r="1603" spans="1:8" ht="24" customHeight="1">
      <c r="A1603" s="7">
        <v>120053</v>
      </c>
      <c r="B1603" s="7">
        <v>4270</v>
      </c>
      <c r="C1603" s="8" t="s">
        <v>1901</v>
      </c>
      <c r="D1603" s="8" t="s">
        <v>1937</v>
      </c>
      <c r="E1603" s="2">
        <f>IFERROR(VLOOKUP(B1603,'[1]new sheet'!$A$1:$IV$65536,5,FALSE),0)</f>
        <v>30</v>
      </c>
      <c r="F1603" s="3">
        <f>IFERROR(VLOOKUP(B1603,'[1]new sheet'!$A$1:$IV$65536,4,FALSE),0)</f>
        <v>0</v>
      </c>
      <c r="G1603" s="4">
        <f>IFERROR(VLOOKUP(B1603,'[2]new sheet'!$A$1:$IV$65536,2,0),0)</f>
        <v>0</v>
      </c>
      <c r="H1603" s="5">
        <f>IFERROR(VLOOKUP(B1603,'[3]new sheet'!$A$1:$IV$65536,2,0),0)</f>
        <v>6</v>
      </c>
    </row>
    <row r="1604" spans="1:8" ht="24" customHeight="1">
      <c r="A1604" s="7">
        <v>120054</v>
      </c>
      <c r="B1604" s="7">
        <v>4272</v>
      </c>
      <c r="C1604" s="8" t="s">
        <v>1902</v>
      </c>
      <c r="D1604" s="8" t="s">
        <v>1937</v>
      </c>
      <c r="E1604" s="2">
        <f>IFERROR(VLOOKUP(B1604,'[1]new sheet'!$A$1:$IV$65536,5,FALSE),0)</f>
        <v>4</v>
      </c>
      <c r="F1604" s="3">
        <f>IFERROR(VLOOKUP(B1604,'[1]new sheet'!$A$1:$IV$65536,4,FALSE),0)</f>
        <v>0</v>
      </c>
      <c r="G1604" s="4">
        <f>IFERROR(VLOOKUP(B1604,'[2]new sheet'!$A$1:$IV$65536,2,0),0)</f>
        <v>0</v>
      </c>
      <c r="H1604" s="5">
        <f>IFERROR(VLOOKUP(B1604,'[3]new sheet'!$A$1:$IV$65536,2,0),0)</f>
        <v>12</v>
      </c>
    </row>
    <row r="1605" spans="1:8" ht="24" customHeight="1">
      <c r="A1605" s="7">
        <v>120052</v>
      </c>
      <c r="B1605" s="7">
        <v>4269</v>
      </c>
      <c r="C1605" s="8" t="s">
        <v>1903</v>
      </c>
      <c r="D1605" s="8" t="s">
        <v>1937</v>
      </c>
      <c r="E1605" s="2">
        <f>IFERROR(VLOOKUP(B1605,'[1]new sheet'!$A$1:$IV$65536,5,FALSE),0)</f>
        <v>24</v>
      </c>
      <c r="F1605" s="3">
        <f>IFERROR(VLOOKUP(B1605,'[1]new sheet'!$A$1:$IV$65536,4,FALSE),0)</f>
        <v>0</v>
      </c>
      <c r="G1605" s="4">
        <f>IFERROR(VLOOKUP(B1605,'[2]new sheet'!$A$1:$IV$65536,2,0),0)</f>
        <v>0</v>
      </c>
      <c r="H1605" s="5">
        <f>IFERROR(VLOOKUP(B1605,'[3]new sheet'!$A$1:$IV$65536,2,0),0)</f>
        <v>12</v>
      </c>
    </row>
    <row r="1606" spans="1:8" ht="24" customHeight="1">
      <c r="A1606" s="7">
        <v>120055</v>
      </c>
      <c r="B1606" s="7">
        <v>4273</v>
      </c>
      <c r="C1606" s="8" t="s">
        <v>1904</v>
      </c>
      <c r="D1606" s="8" t="s">
        <v>1937</v>
      </c>
      <c r="E1606" s="2">
        <f>IFERROR(VLOOKUP(B1606,'[1]new sheet'!$A$1:$IV$65536,5,FALSE),0)</f>
        <v>18</v>
      </c>
      <c r="F1606" s="3">
        <f>IFERROR(VLOOKUP(B1606,'[1]new sheet'!$A$1:$IV$65536,4,FALSE),0)</f>
        <v>0</v>
      </c>
      <c r="G1606" s="4">
        <f>IFERROR(VLOOKUP(B1606,'[2]new sheet'!$A$1:$IV$65536,2,0),0)</f>
        <v>0</v>
      </c>
      <c r="H1606" s="5">
        <f>IFERROR(VLOOKUP(B1606,'[3]new sheet'!$A$1:$IV$65536,2,0),0)</f>
        <v>12</v>
      </c>
    </row>
    <row r="1607" spans="1:8" ht="24" customHeight="1">
      <c r="A1607" s="7">
        <v>2185</v>
      </c>
      <c r="B1607" s="7">
        <v>339</v>
      </c>
      <c r="C1607" s="8" t="s">
        <v>1326</v>
      </c>
      <c r="D1607" s="8" t="s">
        <v>1935</v>
      </c>
      <c r="E1607" s="2">
        <f>IFERROR(VLOOKUP(B1607,'[1]new sheet'!$A$1:$IV$65536,5,FALSE),0)</f>
        <v>144.1</v>
      </c>
      <c r="F1607" s="3">
        <f>IFERROR(VLOOKUP(B1607,'[1]new sheet'!$A$1:$IV$65536,4,FALSE),0)</f>
        <v>0</v>
      </c>
      <c r="G1607" s="4">
        <f>IFERROR(VLOOKUP(B1607,'[2]new sheet'!$A$1:$IV$65536,2,0),0)</f>
        <v>175.18</v>
      </c>
      <c r="H1607" s="5">
        <f>IFERROR(VLOOKUP(B1607,'[3]new sheet'!$A$1:$IV$65536,2,0),0)</f>
        <v>48.8</v>
      </c>
    </row>
    <row r="1608" spans="1:8" ht="24" customHeight="1">
      <c r="A1608" s="7">
        <v>3</v>
      </c>
      <c r="B1608" s="7">
        <v>340</v>
      </c>
      <c r="C1608" s="8" t="s">
        <v>1327</v>
      </c>
      <c r="D1608" s="8" t="s">
        <v>1935</v>
      </c>
      <c r="E1608" s="2">
        <f>IFERROR(VLOOKUP(B1608,'[1]new sheet'!$A$1:$IV$65536,5,FALSE),0)</f>
        <v>63.68</v>
      </c>
      <c r="F1608" s="3">
        <f>IFERROR(VLOOKUP(B1608,'[1]new sheet'!$A$1:$IV$65536,4,FALSE),0)</f>
        <v>0</v>
      </c>
      <c r="G1608" s="4">
        <f>IFERROR(VLOOKUP(B1608,'[2]new sheet'!$A$1:$IV$65536,2,0),0)</f>
        <v>107.44</v>
      </c>
      <c r="H1608" s="5">
        <f>IFERROR(VLOOKUP(B1608,'[3]new sheet'!$A$1:$IV$65536,2,0),0)</f>
        <v>33.9</v>
      </c>
    </row>
    <row r="1609" spans="1:8" ht="24" customHeight="1">
      <c r="A1609" s="7">
        <v>120056</v>
      </c>
      <c r="B1609" s="7">
        <v>4274</v>
      </c>
      <c r="C1609" s="8" t="s">
        <v>1905</v>
      </c>
      <c r="D1609" s="8" t="s">
        <v>1937</v>
      </c>
      <c r="E1609" s="2">
        <f>IFERROR(VLOOKUP(B1609,'[1]new sheet'!$A$1:$IV$65536,5,FALSE),0)</f>
        <v>6</v>
      </c>
      <c r="F1609" s="3">
        <f>IFERROR(VLOOKUP(B1609,'[1]new sheet'!$A$1:$IV$65536,4,FALSE),0)</f>
        <v>0</v>
      </c>
      <c r="G1609" s="4">
        <f>IFERROR(VLOOKUP(B1609,'[2]new sheet'!$A$1:$IV$65536,2,0),0)</f>
        <v>0</v>
      </c>
      <c r="H1609" s="5">
        <f>IFERROR(VLOOKUP(B1609,'[3]new sheet'!$A$1:$IV$65536,2,0),0)</f>
        <v>18</v>
      </c>
    </row>
    <row r="1610" spans="1:8" ht="24" customHeight="1">
      <c r="A1610" s="7">
        <v>120049</v>
      </c>
      <c r="B1610" s="7">
        <v>2349</v>
      </c>
      <c r="C1610" s="8" t="s">
        <v>1928</v>
      </c>
      <c r="D1610" s="8" t="s">
        <v>1937</v>
      </c>
      <c r="E1610" s="2"/>
      <c r="F1610" s="3"/>
      <c r="G1610" s="4"/>
      <c r="H1610" s="5"/>
    </row>
    <row r="1611" spans="1:8" ht="24" customHeight="1">
      <c r="A1611" s="7">
        <v>120044</v>
      </c>
      <c r="B1611" s="7">
        <v>4000</v>
      </c>
      <c r="C1611" s="8" t="s">
        <v>1906</v>
      </c>
      <c r="D1611" s="8" t="s">
        <v>1934</v>
      </c>
      <c r="E1611" s="2">
        <f>IFERROR(VLOOKUP(B1611,'[1]new sheet'!$A$1:$IV$65536,5,FALSE),0)</f>
        <v>0</v>
      </c>
      <c r="F1611" s="3">
        <f>IFERROR(VLOOKUP(B1611,'[1]new sheet'!$A$1:$IV$65536,4,FALSE),0)</f>
        <v>0</v>
      </c>
      <c r="G1611" s="4">
        <f>IFERROR(VLOOKUP(B1611,'[2]new sheet'!$A$1:$IV$65536,2,0),0)</f>
        <v>0</v>
      </c>
      <c r="H1611" s="5">
        <f>IFERROR(VLOOKUP(B1611,'[3]new sheet'!$A$1:$IV$65536,2,0),0)</f>
        <v>10</v>
      </c>
    </row>
    <row r="1612" spans="1:8" ht="24" customHeight="1">
      <c r="A1612" s="7">
        <v>7</v>
      </c>
      <c r="B1612" s="7">
        <v>850</v>
      </c>
      <c r="C1612" s="8" t="s">
        <v>1328</v>
      </c>
      <c r="D1612" s="8" t="s">
        <v>1935</v>
      </c>
      <c r="E1612" s="2">
        <f>IFERROR(VLOOKUP(B1612,'[1]new sheet'!$A$1:$IV$65536,5,FALSE),0)</f>
        <v>0</v>
      </c>
      <c r="F1612" s="3">
        <f>IFERROR(VLOOKUP(B1612,'[1]new sheet'!$A$1:$IV$65536,4,FALSE),0)</f>
        <v>0</v>
      </c>
      <c r="G1612" s="4">
        <f>IFERROR(VLOOKUP(B1612,'[2]new sheet'!$A$1:$IV$65536,2,0),0)</f>
        <v>0</v>
      </c>
      <c r="H1612" s="5">
        <f>IFERROR(VLOOKUP(B1612,'[3]new sheet'!$A$1:$IV$65536,2,0),0)</f>
        <v>0</v>
      </c>
    </row>
    <row r="1613" spans="1:8" ht="24" customHeight="1">
      <c r="A1613" s="7">
        <v>1179</v>
      </c>
      <c r="B1613" s="7">
        <v>338</v>
      </c>
      <c r="C1613" s="8" t="s">
        <v>1329</v>
      </c>
      <c r="D1613" s="8" t="s">
        <v>1937</v>
      </c>
      <c r="E1613" s="2">
        <f>IFERROR(VLOOKUP(B1613,'[1]new sheet'!$A$1:$IV$65536,5,FALSE),0)</f>
        <v>0</v>
      </c>
      <c r="F1613" s="3">
        <f>IFERROR(VLOOKUP(B1613,'[1]new sheet'!$A$1:$IV$65536,4,FALSE),0)</f>
        <v>0</v>
      </c>
      <c r="G1613" s="4">
        <f>IFERROR(VLOOKUP(B1613,'[2]new sheet'!$A$1:$IV$65536,2,0),0)</f>
        <v>0</v>
      </c>
      <c r="H1613" s="5">
        <f>IFERROR(VLOOKUP(B1613,'[3]new sheet'!$A$1:$IV$65536,2,0),0)</f>
        <v>0</v>
      </c>
    </row>
    <row r="1614" spans="1:8" ht="24" customHeight="1">
      <c r="A1614" s="7">
        <v>110012</v>
      </c>
      <c r="B1614" s="7">
        <v>4267</v>
      </c>
      <c r="C1614" s="8" t="s">
        <v>1907</v>
      </c>
      <c r="D1614" s="8" t="s">
        <v>1935</v>
      </c>
      <c r="E1614" s="2">
        <f>IFERROR(VLOOKUP(B1614,'[1]new sheet'!$A$1:$IV$65536,5,FALSE),0)</f>
        <v>0</v>
      </c>
      <c r="F1614" s="3">
        <f>IFERROR(VLOOKUP(B1614,'[1]new sheet'!$A$1:$IV$65536,4,FALSE),0)</f>
        <v>0</v>
      </c>
      <c r="G1614" s="4">
        <f>IFERROR(VLOOKUP(B1614,'[2]new sheet'!$A$1:$IV$65536,2,0),0)</f>
        <v>0</v>
      </c>
      <c r="H1614" s="5">
        <f>IFERROR(VLOOKUP(B1614,'[3]new sheet'!$A$1:$IV$65536,2,0),0)</f>
        <v>12.07</v>
      </c>
    </row>
    <row r="1615" spans="1:8" ht="24" customHeight="1">
      <c r="A1615" s="7">
        <v>20008</v>
      </c>
      <c r="B1615" s="7">
        <v>3132</v>
      </c>
      <c r="C1615" s="8" t="s">
        <v>1330</v>
      </c>
      <c r="D1615" s="8" t="s">
        <v>1937</v>
      </c>
      <c r="E1615" s="2">
        <f>IFERROR(VLOOKUP(B1615,'[1]new sheet'!$A$1:$IV$65536,5,FALSE),0)</f>
        <v>69</v>
      </c>
      <c r="F1615" s="3">
        <f>IFERROR(VLOOKUP(B1615,'[1]new sheet'!$A$1:$IV$65536,4,FALSE),0)</f>
        <v>5</v>
      </c>
      <c r="G1615" s="4">
        <f>IFERROR(VLOOKUP(B1615,'[2]new sheet'!$A$1:$IV$65536,2,0),0)</f>
        <v>137</v>
      </c>
      <c r="H1615" s="5">
        <f>IFERROR(VLOOKUP(B1615,'[3]new sheet'!$A$1:$IV$65536,2,0),0)</f>
        <v>89</v>
      </c>
    </row>
    <row r="1616" spans="1:8" ht="24" customHeight="1">
      <c r="A1616" s="7">
        <v>200002</v>
      </c>
      <c r="B1616" s="7">
        <v>4281</v>
      </c>
      <c r="C1616" s="8" t="s">
        <v>1929</v>
      </c>
      <c r="D1616" s="8" t="s">
        <v>1935</v>
      </c>
      <c r="E1616" s="2">
        <f>IFERROR(VLOOKUP(B1616,'[1]new sheet'!$A$1:$IV$65536,5,FALSE),0)</f>
        <v>7.21</v>
      </c>
      <c r="F1616" s="3">
        <f>IFERROR(VLOOKUP(B1616,'[1]new sheet'!$A$1:$IV$65536,4,FALSE),0)</f>
        <v>0</v>
      </c>
      <c r="G1616" s="4">
        <f>IFERROR(VLOOKUP(B1616,'[2]new sheet'!$A$1:$IV$65536,2,0),0)</f>
        <v>0</v>
      </c>
      <c r="H1616" s="5">
        <f>IFERROR(VLOOKUP(B1616,'[3]new sheet'!$A$1:$IV$65536,2,0),0)</f>
        <v>3.84</v>
      </c>
    </row>
    <row r="1617" spans="1:8" ht="24" customHeight="1">
      <c r="A1617" s="7"/>
      <c r="B1617" s="7">
        <v>337</v>
      </c>
      <c r="C1617" s="8" t="s">
        <v>1331</v>
      </c>
      <c r="D1617" s="8" t="s">
        <v>1934</v>
      </c>
      <c r="E1617" s="2">
        <f>IFERROR(VLOOKUP(B1617,'[1]new sheet'!$A$1:$IV$65536,5,FALSE),0)</f>
        <v>0</v>
      </c>
      <c r="F1617" s="3">
        <f>IFERROR(VLOOKUP(B1617,'[1]new sheet'!$A$1:$IV$65536,4,FALSE),0)</f>
        <v>0</v>
      </c>
      <c r="G1617" s="4">
        <f>IFERROR(VLOOKUP(B1617,'[2]new sheet'!$A$1:$IV$65536,2,0),0)</f>
        <v>0</v>
      </c>
      <c r="H1617" s="5">
        <f>IFERROR(VLOOKUP(B1617,'[3]new sheet'!$A$1:$IV$65536,2,0),0)</f>
        <v>0</v>
      </c>
    </row>
    <row r="1618" spans="1:8" ht="24" customHeight="1">
      <c r="A1618" s="20">
        <v>260001</v>
      </c>
      <c r="B1618" s="7">
        <v>4287</v>
      </c>
      <c r="C1618" s="8" t="s">
        <v>1908</v>
      </c>
      <c r="D1618" s="8" t="s">
        <v>1937</v>
      </c>
      <c r="E1618" s="2">
        <f>IFERROR(VLOOKUP(B1618,'[1]new sheet'!$A$1:$IV$65536,5,FALSE),0)</f>
        <v>160</v>
      </c>
      <c r="F1618" s="3">
        <f>IFERROR(VLOOKUP(B1618,'[1]new sheet'!$A$1:$IV$65536,4,FALSE),0)</f>
        <v>0</v>
      </c>
      <c r="G1618" s="4">
        <f>IFERROR(VLOOKUP(B1618,'[2]new sheet'!$A$1:$IV$65536,2,0),0)</f>
        <v>8</v>
      </c>
      <c r="H1618" s="5">
        <f>IFERROR(VLOOKUP(B1618,'[3]new sheet'!$A$1:$IV$65536,2,0),0)</f>
        <v>0</v>
      </c>
    </row>
    <row r="1619" spans="1:8" ht="24" customHeight="1">
      <c r="A1619" s="7">
        <v>260002</v>
      </c>
      <c r="B1619" s="7">
        <v>4288</v>
      </c>
      <c r="C1619" s="8" t="s">
        <v>1909</v>
      </c>
      <c r="D1619" s="8" t="s">
        <v>1937</v>
      </c>
      <c r="E1619" s="2">
        <f>IFERROR(VLOOKUP(B1619,'[1]new sheet'!$A$1:$IV$65536,5,FALSE),0)</f>
        <v>16</v>
      </c>
      <c r="F1619" s="3">
        <f>IFERROR(VLOOKUP(B1619,'[1]new sheet'!$A$1:$IV$65536,4,FALSE),0)</f>
        <v>0</v>
      </c>
      <c r="G1619" s="4">
        <f>IFERROR(VLOOKUP(B1619,'[2]new sheet'!$A$1:$IV$65536,2,0),0)</f>
        <v>8</v>
      </c>
      <c r="H1619" s="5">
        <f>IFERROR(VLOOKUP(B1619,'[3]new sheet'!$A$1:$IV$65536,2,0),0)</f>
        <v>0</v>
      </c>
    </row>
    <row r="1620" spans="1:8" ht="24" customHeight="1">
      <c r="A1620" s="7">
        <v>260003</v>
      </c>
      <c r="B1620" s="7">
        <v>4289</v>
      </c>
      <c r="C1620" s="8" t="s">
        <v>1910</v>
      </c>
      <c r="D1620" s="8" t="s">
        <v>1937</v>
      </c>
      <c r="E1620" s="2">
        <f>IFERROR(VLOOKUP(B1620,'[1]new sheet'!$A$1:$IV$65536,5,FALSE),0)</f>
        <v>78</v>
      </c>
      <c r="F1620" s="3">
        <f>IFERROR(VLOOKUP(B1620,'[1]new sheet'!$A$1:$IV$65536,4,FALSE),0)</f>
        <v>0</v>
      </c>
      <c r="G1620" s="4">
        <f>IFERROR(VLOOKUP(B1620,'[2]new sheet'!$A$1:$IV$65536,2,0),0)</f>
        <v>8</v>
      </c>
      <c r="H1620" s="5">
        <f>IFERROR(VLOOKUP(B1620,'[3]new sheet'!$A$1:$IV$65536,2,0),0)</f>
        <v>2</v>
      </c>
    </row>
    <row r="1621" spans="1:8" ht="24" customHeight="1">
      <c r="A1621" s="7"/>
      <c r="B1621" s="7">
        <v>717</v>
      </c>
      <c r="C1621" s="8" t="s">
        <v>1332</v>
      </c>
      <c r="D1621" s="8" t="s">
        <v>1934</v>
      </c>
      <c r="E1621" s="2">
        <f>IFERROR(VLOOKUP(B1621,'[1]new sheet'!$A$1:$IV$65536,5,FALSE),0)</f>
        <v>0</v>
      </c>
      <c r="F1621" s="3">
        <f>IFERROR(VLOOKUP(B1621,'[1]new sheet'!$A$1:$IV$65536,4,FALSE),0)</f>
        <v>0</v>
      </c>
      <c r="G1621" s="4">
        <f>IFERROR(VLOOKUP(B1621,'[2]new sheet'!$A$1:$IV$65536,2,0),0)</f>
        <v>0</v>
      </c>
      <c r="H1621" s="5">
        <f>IFERROR(VLOOKUP(B1621,'[3]new sheet'!$A$1:$IV$65536,2,0),0)</f>
        <v>0</v>
      </c>
    </row>
    <row r="1622" spans="1:8" ht="24" customHeight="1">
      <c r="A1622" s="7"/>
      <c r="B1622" s="7">
        <v>2088</v>
      </c>
      <c r="C1622" s="8" t="s">
        <v>1333</v>
      </c>
      <c r="D1622" s="8" t="s">
        <v>1937</v>
      </c>
      <c r="E1622" s="2">
        <f>IFERROR(VLOOKUP(B1622,'[1]new sheet'!$A$1:$IV$65536,5,FALSE),0)</f>
        <v>0</v>
      </c>
      <c r="F1622" s="3">
        <f>IFERROR(VLOOKUP(B1622,'[1]new sheet'!$A$1:$IV$65536,4,FALSE),0)</f>
        <v>0</v>
      </c>
      <c r="G1622" s="4">
        <f>IFERROR(VLOOKUP(B1622,'[2]new sheet'!$A$1:$IV$65536,2,0),0)</f>
        <v>0</v>
      </c>
      <c r="H1622" s="5">
        <f>IFERROR(VLOOKUP(B1622,'[3]new sheet'!$A$1:$IV$65536,2,0),0)</f>
        <v>0</v>
      </c>
    </row>
    <row r="1623" spans="1:8" ht="24" customHeight="1">
      <c r="A1623" s="7">
        <v>2009598</v>
      </c>
      <c r="B1623" s="7">
        <v>718</v>
      </c>
      <c r="C1623" s="8" t="s">
        <v>1334</v>
      </c>
      <c r="D1623" s="8" t="s">
        <v>1937</v>
      </c>
      <c r="E1623" s="2">
        <f>IFERROR(VLOOKUP(B1623,'[1]new sheet'!$A$1:$IV$65536,5,FALSE),0)</f>
        <v>817</v>
      </c>
      <c r="F1623" s="3">
        <f>IFERROR(VLOOKUP(B1623,'[1]new sheet'!$A$1:$IV$65536,4,FALSE),0)</f>
        <v>22</v>
      </c>
      <c r="G1623" s="4">
        <f>IFERROR(VLOOKUP(B1623,'[2]new sheet'!$A$1:$IV$65536,2,0),0)</f>
        <v>504</v>
      </c>
      <c r="H1623" s="5">
        <f>IFERROR(VLOOKUP(B1623,'[3]new sheet'!$A$1:$IV$65536,2,0),0)</f>
        <v>411</v>
      </c>
    </row>
    <row r="1624" spans="1:8" ht="24" customHeight="1">
      <c r="A1624" s="7"/>
      <c r="B1624" s="7">
        <v>2084</v>
      </c>
      <c r="C1624" s="8" t="s">
        <v>1335</v>
      </c>
      <c r="D1624" s="8" t="s">
        <v>1937</v>
      </c>
      <c r="E1624" s="2">
        <f>IFERROR(VLOOKUP(B1624,'[1]new sheet'!$A$1:$IV$65536,5,FALSE),0)</f>
        <v>0</v>
      </c>
      <c r="F1624" s="3">
        <f>IFERROR(VLOOKUP(B1624,'[1]new sheet'!$A$1:$IV$65536,4,FALSE),0)</f>
        <v>0</v>
      </c>
      <c r="G1624" s="4">
        <f>IFERROR(VLOOKUP(B1624,'[2]new sheet'!$A$1:$IV$65536,2,0),0)</f>
        <v>0</v>
      </c>
      <c r="H1624" s="5">
        <f>IFERROR(VLOOKUP(B1624,'[3]new sheet'!$A$1:$IV$65536,2,0),0)</f>
        <v>0</v>
      </c>
    </row>
    <row r="1625" spans="1:8" ht="24" customHeight="1">
      <c r="A1625" s="7">
        <v>2003250</v>
      </c>
      <c r="B1625" s="7">
        <v>331</v>
      </c>
      <c r="C1625" s="8" t="s">
        <v>1336</v>
      </c>
      <c r="D1625" s="8" t="s">
        <v>1937</v>
      </c>
      <c r="E1625" s="2">
        <f>IFERROR(VLOOKUP(B1625,'[1]new sheet'!$A$1:$IV$65536,5,FALSE),0)</f>
        <v>0</v>
      </c>
      <c r="F1625" s="3">
        <f>IFERROR(VLOOKUP(B1625,'[1]new sheet'!$A$1:$IV$65536,4,FALSE),0)</f>
        <v>0</v>
      </c>
      <c r="G1625" s="4">
        <f>IFERROR(VLOOKUP(B1625,'[2]new sheet'!$A$1:$IV$65536,2,0),0)</f>
        <v>51</v>
      </c>
      <c r="H1625" s="5">
        <f>IFERROR(VLOOKUP(B1625,'[3]new sheet'!$A$1:$IV$65536,2,0),0)</f>
        <v>5</v>
      </c>
    </row>
    <row r="1626" spans="1:8" ht="24" customHeight="1">
      <c r="A1626" s="7">
        <v>0</v>
      </c>
      <c r="B1626" s="7">
        <v>575</v>
      </c>
      <c r="C1626" s="8" t="s">
        <v>1876</v>
      </c>
      <c r="D1626" s="8" t="s">
        <v>1937</v>
      </c>
      <c r="E1626" s="2">
        <f>IFERROR(VLOOKUP(B1626,'[1]new sheet'!$A$1:$IV$65536,5,FALSE),0)</f>
        <v>653</v>
      </c>
      <c r="F1626" s="3">
        <f>IFERROR(VLOOKUP(B1626,'[1]new sheet'!$A$1:$IV$65536,4,FALSE),0)</f>
        <v>23</v>
      </c>
      <c r="G1626" s="4">
        <f>IFERROR(VLOOKUP(B1626,'[2]new sheet'!$A$1:$IV$65536,2,0),0)</f>
        <v>1426</v>
      </c>
      <c r="H1626" s="5">
        <f>IFERROR(VLOOKUP(B1626,'[3]new sheet'!$A$1:$IV$65536,2,0),0)</f>
        <v>284</v>
      </c>
    </row>
    <row r="1627" spans="1:8" ht="24" customHeight="1">
      <c r="A1627" s="7">
        <v>108</v>
      </c>
      <c r="B1627" s="7">
        <v>335</v>
      </c>
      <c r="C1627" s="8" t="s">
        <v>1337</v>
      </c>
      <c r="D1627" s="8" t="s">
        <v>1937</v>
      </c>
      <c r="E1627" s="2">
        <f>IFERROR(VLOOKUP(B1627,'[1]new sheet'!$A$1:$IV$65536,5,FALSE),0)</f>
        <v>633</v>
      </c>
      <c r="F1627" s="3">
        <f>IFERROR(VLOOKUP(B1627,'[1]new sheet'!$A$1:$IV$65536,4,FALSE),0)</f>
        <v>0</v>
      </c>
      <c r="G1627" s="4">
        <f>IFERROR(VLOOKUP(B1627,'[2]new sheet'!$A$1:$IV$65536,2,0),0)</f>
        <v>577</v>
      </c>
      <c r="H1627" s="5">
        <f>IFERROR(VLOOKUP(B1627,'[3]new sheet'!$A$1:$IV$65536,2,0),0)</f>
        <v>153</v>
      </c>
    </row>
    <row r="1628" spans="1:8" ht="24" customHeight="1">
      <c r="A1628" s="7">
        <v>2009832</v>
      </c>
      <c r="B1628" s="7">
        <v>332</v>
      </c>
      <c r="C1628" s="8" t="s">
        <v>1338</v>
      </c>
      <c r="D1628" s="8" t="s">
        <v>1937</v>
      </c>
      <c r="E1628" s="2">
        <f>IFERROR(VLOOKUP(B1628,'[1]new sheet'!$A$1:$IV$65536,5,FALSE),0)</f>
        <v>0</v>
      </c>
      <c r="F1628" s="3">
        <f>IFERROR(VLOOKUP(B1628,'[1]new sheet'!$A$1:$IV$65536,4,FALSE),0)</f>
        <v>0</v>
      </c>
      <c r="G1628" s="4">
        <f>IFERROR(VLOOKUP(B1628,'[2]new sheet'!$A$1:$IV$65536,2,0),0)</f>
        <v>10</v>
      </c>
      <c r="H1628" s="5">
        <f>IFERROR(VLOOKUP(B1628,'[3]new sheet'!$A$1:$IV$65536,2,0),0)</f>
        <v>0</v>
      </c>
    </row>
    <row r="1629" spans="1:8" ht="24" customHeight="1">
      <c r="A1629" s="20">
        <v>2003618</v>
      </c>
      <c r="B1629" s="7">
        <v>719</v>
      </c>
      <c r="C1629" s="8" t="s">
        <v>1339</v>
      </c>
      <c r="D1629" s="8" t="s">
        <v>1937</v>
      </c>
      <c r="E1629" s="2">
        <f>IFERROR(VLOOKUP(B1629,'[1]new sheet'!$A$1:$IV$65536,5,FALSE),0)</f>
        <v>93</v>
      </c>
      <c r="F1629" s="3">
        <f>IFERROR(VLOOKUP(B1629,'[1]new sheet'!$A$1:$IV$65536,4,FALSE),0)</f>
        <v>1</v>
      </c>
      <c r="G1629" s="4">
        <f>IFERROR(VLOOKUP(B1629,'[2]new sheet'!$A$1:$IV$65536,2,0),0)</f>
        <v>11</v>
      </c>
      <c r="H1629" s="5">
        <f>IFERROR(VLOOKUP(B1629,'[3]new sheet'!$A$1:$IV$65536,2,0),0)</f>
        <v>5</v>
      </c>
    </row>
    <row r="1630" spans="1:8" ht="24" customHeight="1">
      <c r="A1630" s="7"/>
      <c r="B1630" s="7">
        <v>2087</v>
      </c>
      <c r="C1630" s="8" t="s">
        <v>1340</v>
      </c>
      <c r="D1630" s="8" t="s">
        <v>1937</v>
      </c>
      <c r="E1630" s="2">
        <f>IFERROR(VLOOKUP(B1630,'[1]new sheet'!$A$1:$IV$65536,5,FALSE),0)</f>
        <v>0</v>
      </c>
      <c r="F1630" s="3">
        <f>IFERROR(VLOOKUP(B1630,'[1]new sheet'!$A$1:$IV$65536,4,FALSE),0)</f>
        <v>0</v>
      </c>
      <c r="G1630" s="4">
        <f>IFERROR(VLOOKUP(B1630,'[2]new sheet'!$A$1:$IV$65536,2,0),0)</f>
        <v>0</v>
      </c>
      <c r="H1630" s="5">
        <f>IFERROR(VLOOKUP(B1630,'[3]new sheet'!$A$1:$IV$65536,2,0),0)</f>
        <v>0</v>
      </c>
    </row>
    <row r="1631" spans="1:8" ht="24" customHeight="1">
      <c r="A1631" s="20"/>
      <c r="B1631" s="7">
        <v>2086</v>
      </c>
      <c r="C1631" s="8" t="s">
        <v>1341</v>
      </c>
      <c r="D1631" s="8" t="s">
        <v>1937</v>
      </c>
      <c r="E1631" s="2">
        <f>IFERROR(VLOOKUP(B1631,'[1]new sheet'!$A$1:$IV$65536,5,FALSE),0)</f>
        <v>0</v>
      </c>
      <c r="F1631" s="3">
        <f>IFERROR(VLOOKUP(B1631,'[1]new sheet'!$A$1:$IV$65536,4,FALSE),0)</f>
        <v>0</v>
      </c>
      <c r="G1631" s="4">
        <f>IFERROR(VLOOKUP(B1631,'[2]new sheet'!$A$1:$IV$65536,2,0),0)</f>
        <v>0</v>
      </c>
      <c r="H1631" s="5">
        <f>IFERROR(VLOOKUP(B1631,'[3]new sheet'!$A$1:$IV$65536,2,0),0)</f>
        <v>0</v>
      </c>
    </row>
    <row r="1632" spans="1:8" ht="24" customHeight="1">
      <c r="A1632" s="20">
        <v>809131241</v>
      </c>
      <c r="B1632" s="7">
        <v>2398</v>
      </c>
      <c r="C1632" s="8" t="s">
        <v>1342</v>
      </c>
      <c r="D1632" s="8" t="s">
        <v>1937</v>
      </c>
      <c r="E1632" s="2">
        <f>IFERROR(VLOOKUP(B1632,'[1]new sheet'!$A$1:$IV$65536,5,FALSE),0)</f>
        <v>0</v>
      </c>
      <c r="F1632" s="3">
        <f>IFERROR(VLOOKUP(B1632,'[1]new sheet'!$A$1:$IV$65536,4,FALSE),0)</f>
        <v>0</v>
      </c>
      <c r="G1632" s="4">
        <f>IFERROR(VLOOKUP(B1632,'[2]new sheet'!$A$1:$IV$65536,2,0),0)</f>
        <v>0</v>
      </c>
      <c r="H1632" s="5">
        <f>IFERROR(VLOOKUP(B1632,'[3]new sheet'!$A$1:$IV$65536,2,0),0)</f>
        <v>0</v>
      </c>
    </row>
    <row r="1633" spans="1:8" ht="24" customHeight="1">
      <c r="A1633" s="7"/>
      <c r="B1633" s="7">
        <v>2085</v>
      </c>
      <c r="C1633" s="8" t="s">
        <v>1343</v>
      </c>
      <c r="D1633" s="8" t="s">
        <v>1937</v>
      </c>
      <c r="E1633" s="2">
        <f>IFERROR(VLOOKUP(B1633,'[1]new sheet'!$A$1:$IV$65536,5,FALSE),0)</f>
        <v>0.95</v>
      </c>
      <c r="F1633" s="3">
        <f>IFERROR(VLOOKUP(B1633,'[1]new sheet'!$A$1:$IV$65536,4,FALSE),0)</f>
        <v>0</v>
      </c>
      <c r="G1633" s="4">
        <f>IFERROR(VLOOKUP(B1633,'[2]new sheet'!$A$1:$IV$65536,2,0),0)</f>
        <v>0</v>
      </c>
      <c r="H1633" s="5">
        <f>IFERROR(VLOOKUP(B1633,'[3]new sheet'!$A$1:$IV$65536,2,0),0)</f>
        <v>0</v>
      </c>
    </row>
    <row r="1634" spans="1:8" ht="24" customHeight="1">
      <c r="A1634" s="7">
        <v>150035</v>
      </c>
      <c r="B1634" s="7">
        <v>3122</v>
      </c>
      <c r="C1634" s="8" t="s">
        <v>1344</v>
      </c>
      <c r="D1634" s="8" t="s">
        <v>1937</v>
      </c>
      <c r="E1634" s="2">
        <f>IFERROR(VLOOKUP(B1634,'[1]new sheet'!$A$1:$IV$65536,5,FALSE),0)</f>
        <v>1597</v>
      </c>
      <c r="F1634" s="3">
        <f>IFERROR(VLOOKUP(B1634,'[1]new sheet'!$A$1:$IV$65536,4,FALSE),0)</f>
        <v>23</v>
      </c>
      <c r="G1634" s="4">
        <f>IFERROR(VLOOKUP(B1634,'[2]new sheet'!$A$1:$IV$65536,2,0),0)</f>
        <v>935</v>
      </c>
      <c r="H1634" s="5">
        <f>IFERROR(VLOOKUP(B1634,'[3]new sheet'!$A$1:$IV$65536,2,0),0)</f>
        <v>179</v>
      </c>
    </row>
    <row r="1635" spans="1:8" ht="24" customHeight="1">
      <c r="A1635" s="7">
        <v>150003</v>
      </c>
      <c r="B1635" s="7">
        <v>3123</v>
      </c>
      <c r="C1635" s="8" t="s">
        <v>1345</v>
      </c>
      <c r="D1635" s="8" t="s">
        <v>1937</v>
      </c>
      <c r="E1635" s="2">
        <f>IFERROR(VLOOKUP(B1635,'[1]new sheet'!$A$1:$IV$65536,5,FALSE),0)</f>
        <v>167</v>
      </c>
      <c r="F1635" s="3">
        <f>IFERROR(VLOOKUP(B1635,'[1]new sheet'!$A$1:$IV$65536,4,FALSE),0)</f>
        <v>0</v>
      </c>
      <c r="G1635" s="4">
        <f>IFERROR(VLOOKUP(B1635,'[2]new sheet'!$A$1:$IV$65536,2,0),0)</f>
        <v>110</v>
      </c>
      <c r="H1635" s="5">
        <f>IFERROR(VLOOKUP(B1635,'[3]new sheet'!$A$1:$IV$65536,2,0),0)</f>
        <v>45</v>
      </c>
    </row>
    <row r="1636" spans="1:8" ht="24" customHeight="1">
      <c r="A1636" s="7">
        <v>104</v>
      </c>
      <c r="B1636" s="7">
        <v>334</v>
      </c>
      <c r="C1636" s="8" t="s">
        <v>1346</v>
      </c>
      <c r="D1636" s="8" t="s">
        <v>1937</v>
      </c>
      <c r="E1636" s="2">
        <v>120</v>
      </c>
      <c r="F1636" s="3">
        <f>IFERROR(VLOOKUP(B1636,'[1]new sheet'!$A$1:$IV$65536,4,FALSE),0)</f>
        <v>73</v>
      </c>
      <c r="G1636" s="4">
        <f>IFERROR(VLOOKUP(B1636,'[2]new sheet'!$A$1:$IV$65536,2,0),0)</f>
        <v>4675</v>
      </c>
      <c r="H1636" s="5">
        <f>IFERROR(VLOOKUP(B1636,'[3]new sheet'!$A$1:$IV$65536,2,0),0)</f>
        <v>1436</v>
      </c>
    </row>
    <row r="1637" spans="1:8" ht="24" customHeight="1">
      <c r="A1637" s="7">
        <v>250001</v>
      </c>
      <c r="B1637" s="7">
        <v>3126</v>
      </c>
      <c r="C1637" s="8" t="s">
        <v>1862</v>
      </c>
      <c r="D1637" s="8" t="s">
        <v>1937</v>
      </c>
      <c r="E1637" s="2">
        <f>IFERROR(VLOOKUP(B1637,'[1]new sheet'!$A$1:$IV$65536,5,FALSE),0)</f>
        <v>88</v>
      </c>
      <c r="F1637" s="3">
        <f>IFERROR(VLOOKUP(B1637,'[1]new sheet'!$A$1:$IV$65536,4,FALSE),0)</f>
        <v>4</v>
      </c>
      <c r="G1637" s="4">
        <f>IFERROR(VLOOKUP(B1637,'[2]new sheet'!$A$1:$IV$65536,2,0),0)</f>
        <v>82</v>
      </c>
      <c r="H1637" s="5">
        <f>IFERROR(VLOOKUP(B1637,'[3]new sheet'!$A$1:$IV$65536,2,0),0)</f>
        <v>31</v>
      </c>
    </row>
    <row r="1638" spans="1:8" ht="24" customHeight="1">
      <c r="A1638" s="7">
        <v>250003</v>
      </c>
      <c r="B1638" s="7">
        <v>3127</v>
      </c>
      <c r="C1638" s="8" t="s">
        <v>1863</v>
      </c>
      <c r="D1638" s="8" t="s">
        <v>1937</v>
      </c>
      <c r="E1638" s="2">
        <f>IFERROR(VLOOKUP(B1638,'[1]new sheet'!$A$1:$IV$65536,5,FALSE),0)</f>
        <v>25</v>
      </c>
      <c r="F1638" s="3">
        <f>IFERROR(VLOOKUP(B1638,'[1]new sheet'!$A$1:$IV$65536,4,FALSE),0)</f>
        <v>0</v>
      </c>
      <c r="G1638" s="4">
        <f>IFERROR(VLOOKUP(B1638,'[2]new sheet'!$A$1:$IV$65536,2,0),0)</f>
        <v>95</v>
      </c>
      <c r="H1638" s="5">
        <f>IFERROR(VLOOKUP(B1638,'[3]new sheet'!$A$1:$IV$65536,2,0),0)</f>
        <v>55</v>
      </c>
    </row>
    <row r="1639" spans="1:8" ht="24" customHeight="1">
      <c r="A1639" s="7">
        <v>250009</v>
      </c>
      <c r="B1639" s="7">
        <v>4286</v>
      </c>
      <c r="C1639" s="8" t="s">
        <v>1911</v>
      </c>
      <c r="D1639" s="8" t="s">
        <v>1934</v>
      </c>
      <c r="E1639" s="2">
        <f>IFERROR(VLOOKUP(B1639,'[1]new sheet'!$A$1:$IV$65536,5,FALSE),0)</f>
        <v>3</v>
      </c>
      <c r="F1639" s="3">
        <f>IFERROR(VLOOKUP(B1639,'[1]new sheet'!$A$1:$IV$65536,4,FALSE),0)</f>
        <v>0</v>
      </c>
      <c r="G1639" s="4">
        <f>IFERROR(VLOOKUP(B1639,'[2]new sheet'!$A$1:$IV$65536,2,0),0)</f>
        <v>1</v>
      </c>
      <c r="H1639" s="5">
        <f>IFERROR(VLOOKUP(B1639,'[3]new sheet'!$A$1:$IV$65536,2,0),0)</f>
        <v>1</v>
      </c>
    </row>
    <row r="1640" spans="1:8" ht="24" customHeight="1">
      <c r="A1640" s="7">
        <v>250010</v>
      </c>
      <c r="B1640" s="7">
        <v>4285</v>
      </c>
      <c r="C1640" s="8" t="s">
        <v>1912</v>
      </c>
      <c r="D1640" s="8" t="s">
        <v>1934</v>
      </c>
      <c r="E1640" s="2">
        <f>IFERROR(VLOOKUP(B1640,'[1]new sheet'!$A$1:$IV$65536,5,FALSE),0)</f>
        <v>1</v>
      </c>
      <c r="F1640" s="3">
        <f>IFERROR(VLOOKUP(B1640,'[1]new sheet'!$A$1:$IV$65536,4,FALSE),0)</f>
        <v>0</v>
      </c>
      <c r="G1640" s="4">
        <f>IFERROR(VLOOKUP(B1640,'[2]new sheet'!$A$1:$IV$65536,2,0),0)</f>
        <v>0</v>
      </c>
      <c r="H1640" s="5">
        <f>IFERROR(VLOOKUP(B1640,'[3]new sheet'!$A$1:$IV$65536,2,0),0)</f>
        <v>1</v>
      </c>
    </row>
    <row r="1641" spans="1:8" ht="24" customHeight="1">
      <c r="A1641" s="7">
        <v>250006</v>
      </c>
      <c r="B1641" s="7">
        <v>4283</v>
      </c>
      <c r="C1641" s="8" t="s">
        <v>1913</v>
      </c>
      <c r="D1641" s="8" t="s">
        <v>1934</v>
      </c>
      <c r="E1641" s="2">
        <f>IFERROR(VLOOKUP(B1641,'[1]new sheet'!$A$1:$IV$65536,5,FALSE),0)</f>
        <v>0</v>
      </c>
      <c r="F1641" s="3">
        <f>IFERROR(VLOOKUP(B1641,'[1]new sheet'!$A$1:$IV$65536,4,FALSE),0)</f>
        <v>0</v>
      </c>
      <c r="G1641" s="4">
        <f>IFERROR(VLOOKUP(B1641,'[2]new sheet'!$A$1:$IV$65536,2,0),0)</f>
        <v>4</v>
      </c>
      <c r="H1641" s="5">
        <f>IFERROR(VLOOKUP(B1641,'[3]new sheet'!$A$1:$IV$65536,2,0),0)</f>
        <v>1</v>
      </c>
    </row>
    <row r="1642" spans="1:8" ht="24" customHeight="1">
      <c r="A1642" s="7">
        <v>250007</v>
      </c>
      <c r="B1642" s="7">
        <v>4284</v>
      </c>
      <c r="C1642" s="8" t="s">
        <v>1914</v>
      </c>
      <c r="D1642" s="8" t="s">
        <v>1934</v>
      </c>
      <c r="E1642" s="2">
        <f>IFERROR(VLOOKUP(B1642,'[1]new sheet'!$A$1:$IV$65536,5,FALSE),0)</f>
        <v>0</v>
      </c>
      <c r="F1642" s="3">
        <f>IFERROR(VLOOKUP(B1642,'[1]new sheet'!$A$1:$IV$65536,4,FALSE),0)</f>
        <v>0</v>
      </c>
      <c r="G1642" s="4">
        <f>IFERROR(VLOOKUP(B1642,'[2]new sheet'!$A$1:$IV$65536,2,0),0)</f>
        <v>1</v>
      </c>
      <c r="H1642" s="5">
        <f>IFERROR(VLOOKUP(B1642,'[3]new sheet'!$A$1:$IV$65536,2,0),0)</f>
        <v>1</v>
      </c>
    </row>
    <row r="1643" spans="1:8" ht="24" customHeight="1">
      <c r="A1643" s="7">
        <v>150036</v>
      </c>
      <c r="B1643" s="7">
        <v>3124</v>
      </c>
      <c r="C1643" s="8" t="s">
        <v>1864</v>
      </c>
      <c r="D1643" s="8" t="s">
        <v>1937</v>
      </c>
      <c r="E1643" s="2">
        <f>IFERROR(VLOOKUP(B1643,'[1]new sheet'!$A$1:$IV$65536,5,FALSE),0)</f>
        <v>104</v>
      </c>
      <c r="F1643" s="3">
        <f>IFERROR(VLOOKUP(B1643,'[1]new sheet'!$A$1:$IV$65536,4,FALSE),0)</f>
        <v>1</v>
      </c>
      <c r="G1643" s="4">
        <f>IFERROR(VLOOKUP(B1643,'[2]new sheet'!$A$1:$IV$65536,2,0),0)</f>
        <v>247</v>
      </c>
      <c r="H1643" s="5">
        <f>IFERROR(VLOOKUP(B1643,'[3]new sheet'!$A$1:$IV$65536,2,0),0)</f>
        <v>14</v>
      </c>
    </row>
    <row r="1644" spans="1:8" ht="24" customHeight="1">
      <c r="A1644" s="7">
        <v>150023</v>
      </c>
      <c r="B1644" s="7">
        <v>3125</v>
      </c>
      <c r="C1644" s="8" t="s">
        <v>1865</v>
      </c>
      <c r="D1644" s="8" t="s">
        <v>1937</v>
      </c>
      <c r="E1644" s="2">
        <f>IFERROR(VLOOKUP(B1644,'[1]new sheet'!$A$1:$IV$65536,5,FALSE),0)</f>
        <v>107</v>
      </c>
      <c r="F1644" s="3">
        <f>IFERROR(VLOOKUP(B1644,'[1]new sheet'!$A$1:$IV$65536,4,FALSE),0)</f>
        <v>0</v>
      </c>
      <c r="G1644" s="4">
        <f>IFERROR(VLOOKUP(B1644,'[2]new sheet'!$A$1:$IV$65536,2,0),0)</f>
        <v>100</v>
      </c>
      <c r="H1644" s="5">
        <f>IFERROR(VLOOKUP(B1644,'[3]new sheet'!$A$1:$IV$65536,2,0),0)</f>
        <v>61</v>
      </c>
    </row>
    <row r="1645" spans="1:8" ht="24" customHeight="1">
      <c r="A1645" s="7">
        <v>2737</v>
      </c>
      <c r="B1645" s="7">
        <v>851</v>
      </c>
      <c r="C1645" s="8" t="s">
        <v>1347</v>
      </c>
      <c r="D1645" s="8" t="s">
        <v>1934</v>
      </c>
      <c r="E1645" s="2">
        <f>IFERROR(VLOOKUP(B1645,'[1]new sheet'!$A$1:$IV$65536,5,FALSE),0)</f>
        <v>0</v>
      </c>
      <c r="F1645" s="3">
        <f>IFERROR(VLOOKUP(B1645,'[1]new sheet'!$A$1:$IV$65536,4,FALSE),0)</f>
        <v>0</v>
      </c>
      <c r="G1645" s="4">
        <f>IFERROR(VLOOKUP(B1645,'[2]new sheet'!$A$1:$IV$65536,2,0),0)</f>
        <v>0</v>
      </c>
      <c r="H1645" s="5">
        <f>IFERROR(VLOOKUP(B1645,'[3]new sheet'!$A$1:$IV$65536,2,0),0)</f>
        <v>0</v>
      </c>
    </row>
    <row r="1646" spans="1:8" ht="24" customHeight="1">
      <c r="A1646" s="7">
        <v>51</v>
      </c>
      <c r="B1646" s="7">
        <v>2457</v>
      </c>
      <c r="C1646" s="8" t="s">
        <v>1348</v>
      </c>
      <c r="D1646" s="8" t="s">
        <v>1934</v>
      </c>
      <c r="E1646" s="2">
        <f>IFERROR(VLOOKUP(B1646,'[1]new sheet'!$A$1:$IV$65536,5,FALSE),0)</f>
        <v>0</v>
      </c>
      <c r="F1646" s="3">
        <f>IFERROR(VLOOKUP(B1646,'[1]new sheet'!$A$1:$IV$65536,4,FALSE),0)</f>
        <v>0</v>
      </c>
      <c r="G1646" s="4">
        <f>IFERROR(VLOOKUP(B1646,'[2]new sheet'!$A$1:$IV$65536,2,0),0)</f>
        <v>0</v>
      </c>
      <c r="H1646" s="5">
        <f>IFERROR(VLOOKUP(B1646,'[3]new sheet'!$A$1:$IV$65536,2,0),0)</f>
        <v>0</v>
      </c>
    </row>
    <row r="1647" spans="1:8" ht="24" customHeight="1">
      <c r="A1647" s="7">
        <v>59</v>
      </c>
      <c r="B1647" s="7">
        <v>2601</v>
      </c>
      <c r="C1647" s="8" t="s">
        <v>1349</v>
      </c>
      <c r="D1647" s="8" t="s">
        <v>1934</v>
      </c>
      <c r="E1647" s="2">
        <f>IFERROR(VLOOKUP(B1647,'[1]new sheet'!$A$1:$IV$65536,5,FALSE),0)</f>
        <v>0</v>
      </c>
      <c r="F1647" s="3">
        <f>IFERROR(VLOOKUP(B1647,'[1]new sheet'!$A$1:$IV$65536,4,FALSE),0)</f>
        <v>0</v>
      </c>
      <c r="G1647" s="4">
        <f>IFERROR(VLOOKUP(B1647,'[2]new sheet'!$A$1:$IV$65536,2,0),0)</f>
        <v>0</v>
      </c>
      <c r="H1647" s="5">
        <f>IFERROR(VLOOKUP(B1647,'[3]new sheet'!$A$1:$IV$65536,2,0),0)</f>
        <v>0</v>
      </c>
    </row>
    <row r="1648" spans="1:8" ht="24" customHeight="1">
      <c r="A1648" s="7">
        <v>809121218</v>
      </c>
      <c r="B1648" s="7">
        <v>1936</v>
      </c>
      <c r="C1648" s="8" t="s">
        <v>1350</v>
      </c>
      <c r="D1648" s="8" t="s">
        <v>1934</v>
      </c>
      <c r="E1648" s="2">
        <f>IFERROR(VLOOKUP(B1648,'[1]new sheet'!$A$1:$IV$65536,5,FALSE),0)</f>
        <v>0</v>
      </c>
      <c r="F1648" s="3">
        <f>IFERROR(VLOOKUP(B1648,'[1]new sheet'!$A$1:$IV$65536,4,FALSE),0)</f>
        <v>0</v>
      </c>
      <c r="G1648" s="4">
        <f>IFERROR(VLOOKUP(B1648,'[2]new sheet'!$A$1:$IV$65536,2,0),0)</f>
        <v>0</v>
      </c>
      <c r="H1648" s="5">
        <f>IFERROR(VLOOKUP(B1648,'[3]new sheet'!$A$1:$IV$65536,2,0),0)</f>
        <v>0</v>
      </c>
    </row>
    <row r="1649" spans="1:8" ht="24" customHeight="1">
      <c r="A1649" s="7">
        <v>150015</v>
      </c>
      <c r="B1649" s="7">
        <v>3128</v>
      </c>
      <c r="C1649" s="8" t="s">
        <v>1351</v>
      </c>
      <c r="D1649" s="8" t="s">
        <v>1934</v>
      </c>
      <c r="E1649" s="2">
        <f>IFERROR(VLOOKUP(B1649,'[1]new sheet'!$A$1:$IV$65536,5,FALSE),0)</f>
        <v>176</v>
      </c>
      <c r="F1649" s="3">
        <f>IFERROR(VLOOKUP(B1649,'[1]new sheet'!$A$1:$IV$65536,4,FALSE),0)</f>
        <v>4</v>
      </c>
      <c r="G1649" s="4">
        <f>IFERROR(VLOOKUP(B1649,'[2]new sheet'!$A$1:$IV$65536,2,0),0)</f>
        <v>227</v>
      </c>
      <c r="H1649" s="5">
        <f>IFERROR(VLOOKUP(B1649,'[3]new sheet'!$A$1:$IV$65536,2,0),0)</f>
        <v>58</v>
      </c>
    </row>
    <row r="1650" spans="1:8" ht="24" customHeight="1">
      <c r="A1650" s="7">
        <v>150038</v>
      </c>
      <c r="B1650" s="7">
        <v>3131</v>
      </c>
      <c r="C1650" s="8" t="s">
        <v>1352</v>
      </c>
      <c r="D1650" s="8" t="s">
        <v>1934</v>
      </c>
      <c r="E1650" s="2">
        <f>IFERROR(VLOOKUP(B1650,'[1]new sheet'!$A$1:$IV$65536,5,FALSE),0)</f>
        <v>64</v>
      </c>
      <c r="F1650" s="3">
        <f>IFERROR(VLOOKUP(B1650,'[1]new sheet'!$A$1:$IV$65536,4,FALSE),0)</f>
        <v>1</v>
      </c>
      <c r="G1650" s="4">
        <f>IFERROR(VLOOKUP(B1650,'[2]new sheet'!$A$1:$IV$65536,2,0),0)</f>
        <v>25</v>
      </c>
      <c r="H1650" s="5">
        <f>IFERROR(VLOOKUP(B1650,'[3]new sheet'!$A$1:$IV$65536,2,0),0)</f>
        <v>5</v>
      </c>
    </row>
    <row r="1651" spans="1:8" ht="24" customHeight="1">
      <c r="A1651" s="7"/>
      <c r="B1651" s="7">
        <v>333</v>
      </c>
      <c r="C1651" s="8" t="s">
        <v>1353</v>
      </c>
      <c r="D1651" s="8" t="s">
        <v>1934</v>
      </c>
      <c r="E1651" s="2">
        <f>IFERROR(VLOOKUP(B1651,'[1]new sheet'!$A$1:$IV$65536,5,FALSE),0)</f>
        <v>0</v>
      </c>
      <c r="F1651" s="3">
        <f>IFERROR(VLOOKUP(B1651,'[1]new sheet'!$A$1:$IV$65536,4,FALSE),0)</f>
        <v>0</v>
      </c>
      <c r="G1651" s="4">
        <f>IFERROR(VLOOKUP(B1651,'[2]new sheet'!$A$1:$IV$65536,2,0),0)</f>
        <v>0</v>
      </c>
      <c r="H1651" s="5">
        <f>IFERROR(VLOOKUP(B1651,'[3]new sheet'!$A$1:$IV$65536,2,0),0)</f>
        <v>0</v>
      </c>
    </row>
    <row r="1652" spans="1:8" ht="24" customHeight="1">
      <c r="A1652" s="7"/>
      <c r="B1652" s="7">
        <v>993</v>
      </c>
      <c r="C1652" s="8" t="s">
        <v>1354</v>
      </c>
      <c r="D1652" s="8" t="s">
        <v>1934</v>
      </c>
      <c r="E1652" s="2">
        <f>IFERROR(VLOOKUP(B1652,'[1]new sheet'!$A$1:$IV$65536,5,FALSE),0)</f>
        <v>0</v>
      </c>
      <c r="F1652" s="3">
        <f>IFERROR(VLOOKUP(B1652,'[1]new sheet'!$A$1:$IV$65536,4,FALSE),0)</f>
        <v>0</v>
      </c>
      <c r="G1652" s="4">
        <f>IFERROR(VLOOKUP(B1652,'[2]new sheet'!$A$1:$IV$65536,2,0),0)</f>
        <v>0</v>
      </c>
      <c r="H1652" s="5">
        <f>IFERROR(VLOOKUP(B1652,'[3]new sheet'!$A$1:$IV$65536,2,0),0)</f>
        <v>0</v>
      </c>
    </row>
    <row r="1653" spans="1:8" ht="24" customHeight="1">
      <c r="A1653" s="7">
        <v>150013</v>
      </c>
      <c r="B1653" s="7">
        <v>3129</v>
      </c>
      <c r="C1653" s="8" t="s">
        <v>1355</v>
      </c>
      <c r="D1653" s="8" t="s">
        <v>1934</v>
      </c>
      <c r="E1653" s="2">
        <f>IFERROR(VLOOKUP(B1653,'[1]new sheet'!$A$1:$IV$65536,5,FALSE),0)</f>
        <v>0</v>
      </c>
      <c r="F1653" s="3">
        <f>IFERROR(VLOOKUP(B1653,'[1]new sheet'!$A$1:$IV$65536,4,FALSE),0)</f>
        <v>0</v>
      </c>
      <c r="G1653" s="4">
        <f>IFERROR(VLOOKUP(B1653,'[2]new sheet'!$A$1:$IV$65536,2,0),0)</f>
        <v>40</v>
      </c>
      <c r="H1653" s="5">
        <f>IFERROR(VLOOKUP(B1653,'[3]new sheet'!$A$1:$IV$65536,2,0),0)</f>
        <v>15</v>
      </c>
    </row>
    <row r="1654" spans="1:8" ht="24" customHeight="1">
      <c r="A1654" s="7">
        <v>150028</v>
      </c>
      <c r="B1654" s="7">
        <v>3130</v>
      </c>
      <c r="C1654" s="8" t="s">
        <v>1356</v>
      </c>
      <c r="D1654" s="8" t="s">
        <v>1934</v>
      </c>
      <c r="E1654" s="2">
        <f>IFERROR(VLOOKUP(B1654,'[1]new sheet'!$A$1:$IV$65536,5,FALSE),0)</f>
        <v>4</v>
      </c>
      <c r="F1654" s="3">
        <f>IFERROR(VLOOKUP(B1654,'[1]new sheet'!$A$1:$IV$65536,4,FALSE),0)</f>
        <v>0</v>
      </c>
      <c r="G1654" s="4">
        <f>IFERROR(VLOOKUP(B1654,'[2]new sheet'!$A$1:$IV$65536,2,0),0)</f>
        <v>24</v>
      </c>
      <c r="H1654" s="5">
        <f>IFERROR(VLOOKUP(B1654,'[3]new sheet'!$A$1:$IV$65536,2,0),0)</f>
        <v>11</v>
      </c>
    </row>
    <row r="1655" spans="1:8" ht="24" customHeight="1">
      <c r="A1655" s="7">
        <v>47562</v>
      </c>
      <c r="B1655" s="7">
        <v>853</v>
      </c>
      <c r="C1655" s="8" t="s">
        <v>1357</v>
      </c>
      <c r="D1655" s="8" t="s">
        <v>1938</v>
      </c>
      <c r="E1655" s="2">
        <f>IFERROR(VLOOKUP(B1655,'[1]new sheet'!$A$1:$IV$65536,5,FALSE),0)</f>
        <v>0</v>
      </c>
      <c r="F1655" s="3">
        <f>IFERROR(VLOOKUP(B1655,'[1]new sheet'!$A$1:$IV$65536,4,FALSE),0)</f>
        <v>0</v>
      </c>
      <c r="G1655" s="4">
        <f>IFERROR(VLOOKUP(B1655,'[2]new sheet'!$A$1:$IV$65536,2,0),0)</f>
        <v>1</v>
      </c>
      <c r="H1655" s="5">
        <f>IFERROR(VLOOKUP(B1655,'[3]new sheet'!$A$1:$IV$65536,2,0),0)</f>
        <v>0</v>
      </c>
    </row>
    <row r="1656" spans="1:8" ht="24" customHeight="1">
      <c r="A1656" s="7">
        <v>47563</v>
      </c>
      <c r="B1656" s="7">
        <v>854</v>
      </c>
      <c r="C1656" s="8" t="s">
        <v>1358</v>
      </c>
      <c r="D1656" s="8" t="s">
        <v>1938</v>
      </c>
      <c r="E1656" s="2">
        <f>IFERROR(VLOOKUP(B1656,'[1]new sheet'!$A$1:$IV$65536,5,FALSE),0)</f>
        <v>0</v>
      </c>
      <c r="F1656" s="3">
        <f>IFERROR(VLOOKUP(B1656,'[1]new sheet'!$A$1:$IV$65536,4,FALSE),0)</f>
        <v>0</v>
      </c>
      <c r="G1656" s="4">
        <f>IFERROR(VLOOKUP(B1656,'[2]new sheet'!$A$1:$IV$65536,2,0),0)</f>
        <v>0</v>
      </c>
      <c r="H1656" s="5">
        <f>IFERROR(VLOOKUP(B1656,'[3]new sheet'!$A$1:$IV$65536,2,0),0)</f>
        <v>0</v>
      </c>
    </row>
    <row r="1657" spans="1:8" ht="24" customHeight="1">
      <c r="A1657" s="7">
        <v>47564</v>
      </c>
      <c r="B1657" s="7">
        <v>720</v>
      </c>
      <c r="C1657" s="8" t="s">
        <v>1359</v>
      </c>
      <c r="D1657" s="8" t="s">
        <v>1938</v>
      </c>
      <c r="E1657" s="2">
        <f>IFERROR(VLOOKUP(B1657,'[1]new sheet'!$A$1:$IV$65536,5,FALSE),0)</f>
        <v>0</v>
      </c>
      <c r="F1657" s="3">
        <f>IFERROR(VLOOKUP(B1657,'[1]new sheet'!$A$1:$IV$65536,4,FALSE),0)</f>
        <v>0</v>
      </c>
      <c r="G1657" s="4">
        <f>IFERROR(VLOOKUP(B1657,'[2]new sheet'!$A$1:$IV$65536,2,0),0)</f>
        <v>0</v>
      </c>
      <c r="H1657" s="5">
        <f>IFERROR(VLOOKUP(B1657,'[3]new sheet'!$A$1:$IV$65536,2,0),0)</f>
        <v>0</v>
      </c>
    </row>
    <row r="1658" spans="1:8" ht="24" customHeight="1">
      <c r="A1658" s="7"/>
      <c r="B1658" s="7">
        <v>866</v>
      </c>
      <c r="C1658" s="8" t="s">
        <v>1360</v>
      </c>
      <c r="D1658" s="8" t="s">
        <v>1938</v>
      </c>
      <c r="E1658" s="2">
        <f>IFERROR(VLOOKUP(B1658,'[1]new sheet'!$A$1:$IV$65536,5,FALSE),0)</f>
        <v>0</v>
      </c>
      <c r="F1658" s="3">
        <f>IFERROR(VLOOKUP(B1658,'[1]new sheet'!$A$1:$IV$65536,4,FALSE),0)</f>
        <v>0</v>
      </c>
      <c r="G1658" s="4">
        <f>IFERROR(VLOOKUP(B1658,'[2]new sheet'!$A$1:$IV$65536,2,0),0)</f>
        <v>0</v>
      </c>
      <c r="H1658" s="5">
        <f>IFERROR(VLOOKUP(B1658,'[3]new sheet'!$A$1:$IV$65536,2,0),0)</f>
        <v>0</v>
      </c>
    </row>
    <row r="1659" spans="1:8" ht="24" customHeight="1">
      <c r="A1659" s="7">
        <v>100047</v>
      </c>
      <c r="B1659" s="7">
        <v>330</v>
      </c>
      <c r="C1659" s="8" t="s">
        <v>1361</v>
      </c>
      <c r="D1659" s="8" t="s">
        <v>1938</v>
      </c>
      <c r="E1659" s="2">
        <f>IFERROR(VLOOKUP(B1659,'[1]new sheet'!$A$1:$IV$65536,5,FALSE),0)</f>
        <v>0</v>
      </c>
      <c r="F1659" s="3">
        <f>IFERROR(VLOOKUP(B1659,'[1]new sheet'!$A$1:$IV$65536,4,FALSE),0)</f>
        <v>0</v>
      </c>
      <c r="G1659" s="4">
        <f>IFERROR(VLOOKUP(B1659,'[2]new sheet'!$A$1:$IV$65536,2,0),0)</f>
        <v>0</v>
      </c>
      <c r="H1659" s="5">
        <f>IFERROR(VLOOKUP(B1659,'[3]new sheet'!$A$1:$IV$65536,2,0),0)</f>
        <v>0</v>
      </c>
    </row>
    <row r="1660" spans="1:8" ht="24" customHeight="1">
      <c r="A1660" s="7"/>
      <c r="B1660" s="7">
        <v>327</v>
      </c>
      <c r="C1660" s="8" t="s">
        <v>1362</v>
      </c>
      <c r="D1660" s="8" t="s">
        <v>1938</v>
      </c>
      <c r="E1660" s="2">
        <f>IFERROR(VLOOKUP(B1660,'[1]new sheet'!$A$1:$IV$65536,5,FALSE),0)</f>
        <v>0</v>
      </c>
      <c r="F1660" s="3">
        <f>IFERROR(VLOOKUP(B1660,'[1]new sheet'!$A$1:$IV$65536,4,FALSE),0)</f>
        <v>0</v>
      </c>
      <c r="G1660" s="4">
        <f>IFERROR(VLOOKUP(B1660,'[2]new sheet'!$A$1:$IV$65536,2,0),0)</f>
        <v>1</v>
      </c>
      <c r="H1660" s="5">
        <f>IFERROR(VLOOKUP(B1660,'[3]new sheet'!$A$1:$IV$65536,2,0),0)</f>
        <v>0</v>
      </c>
    </row>
    <row r="1661" spans="1:8" ht="24" customHeight="1">
      <c r="A1661" s="7">
        <v>100078</v>
      </c>
      <c r="B1661" s="7">
        <v>329</v>
      </c>
      <c r="C1661" s="8" t="s">
        <v>1363</v>
      </c>
      <c r="D1661" s="8" t="s">
        <v>1938</v>
      </c>
      <c r="E1661" s="2">
        <f>IFERROR(VLOOKUP(B1661,'[1]new sheet'!$A$1:$IV$65536,5,FALSE),0)</f>
        <v>0</v>
      </c>
      <c r="F1661" s="3">
        <f>IFERROR(VLOOKUP(B1661,'[1]new sheet'!$A$1:$IV$65536,4,FALSE),0)</f>
        <v>0</v>
      </c>
      <c r="G1661" s="4">
        <f>IFERROR(VLOOKUP(B1661,'[2]new sheet'!$A$1:$IV$65536,2,0),0)</f>
        <v>0</v>
      </c>
      <c r="H1661" s="5">
        <f>IFERROR(VLOOKUP(B1661,'[3]new sheet'!$A$1:$IV$65536,2,0),0)</f>
        <v>0</v>
      </c>
    </row>
    <row r="1662" spans="1:8" ht="24" customHeight="1">
      <c r="A1662" s="7">
        <v>100043</v>
      </c>
      <c r="B1662" s="7">
        <v>852</v>
      </c>
      <c r="C1662" s="8" t="s">
        <v>1364</v>
      </c>
      <c r="D1662" s="8" t="s">
        <v>1938</v>
      </c>
      <c r="E1662" s="2">
        <f>IFERROR(VLOOKUP(B1662,'[1]new sheet'!$A$1:$IV$65536,5,FALSE),0)</f>
        <v>0</v>
      </c>
      <c r="F1662" s="3">
        <f>IFERROR(VLOOKUP(B1662,'[1]new sheet'!$A$1:$IV$65536,4,FALSE),0)</f>
        <v>0</v>
      </c>
      <c r="G1662" s="4">
        <f>IFERROR(VLOOKUP(B1662,'[2]new sheet'!$A$1:$IV$65536,2,0),0)</f>
        <v>0</v>
      </c>
      <c r="H1662" s="5">
        <f>IFERROR(VLOOKUP(B1662,'[3]new sheet'!$A$1:$IV$65536,2,0),0)</f>
        <v>0</v>
      </c>
    </row>
    <row r="1663" spans="1:8" ht="24" customHeight="1">
      <c r="A1663" s="7">
        <v>100009</v>
      </c>
      <c r="B1663" s="7">
        <v>328</v>
      </c>
      <c r="C1663" s="8" t="s">
        <v>1848</v>
      </c>
      <c r="D1663" s="8" t="s">
        <v>1938</v>
      </c>
      <c r="E1663" s="2">
        <f>IFERROR(VLOOKUP(B1663,'[1]new sheet'!$A$1:$IV$65536,5,FALSE),0)</f>
        <v>0</v>
      </c>
      <c r="F1663" s="3">
        <f>IFERROR(VLOOKUP(B1663,'[1]new sheet'!$A$1:$IV$65536,4,FALSE),0)</f>
        <v>0</v>
      </c>
      <c r="G1663" s="4">
        <f>IFERROR(VLOOKUP(B1663,'[2]new sheet'!$A$1:$IV$65536,2,0),0)</f>
        <v>0</v>
      </c>
      <c r="H1663" s="5">
        <f>IFERROR(VLOOKUP(B1663,'[3]new sheet'!$A$1:$IV$65536,2,0),0)</f>
        <v>0</v>
      </c>
    </row>
    <row r="1664" spans="1:8" ht="24" customHeight="1">
      <c r="A1664" s="7">
        <v>100075</v>
      </c>
      <c r="B1664" s="7">
        <v>326</v>
      </c>
      <c r="C1664" s="8" t="s">
        <v>1365</v>
      </c>
      <c r="D1664" s="8" t="s">
        <v>1938</v>
      </c>
      <c r="E1664" s="2">
        <f>IFERROR(VLOOKUP(B1664,'[1]new sheet'!$A$1:$IV$65536,5,FALSE),0)</f>
        <v>0</v>
      </c>
      <c r="F1664" s="3">
        <f>IFERROR(VLOOKUP(B1664,'[1]new sheet'!$A$1:$IV$65536,4,FALSE),0)</f>
        <v>0</v>
      </c>
      <c r="G1664" s="4">
        <f>IFERROR(VLOOKUP(B1664,'[2]new sheet'!$A$1:$IV$65536,2,0),0)</f>
        <v>217</v>
      </c>
      <c r="H1664" s="5">
        <f>IFERROR(VLOOKUP(B1664,'[3]new sheet'!$A$1:$IV$65536,2,0),0)</f>
        <v>0</v>
      </c>
    </row>
    <row r="1665" spans="1:8" ht="24" customHeight="1">
      <c r="A1665" s="7">
        <v>992735</v>
      </c>
      <c r="B1665" s="7">
        <v>4002</v>
      </c>
      <c r="C1665" s="8" t="s">
        <v>1366</v>
      </c>
      <c r="D1665" s="8" t="s">
        <v>1934</v>
      </c>
      <c r="E1665" s="2">
        <f>IFERROR(VLOOKUP(B1665,'[1]new sheet'!$A$1:$IV$65536,5,FALSE),0)</f>
        <v>10</v>
      </c>
      <c r="F1665" s="3">
        <f>IFERROR(VLOOKUP(B1665,'[1]new sheet'!$A$1:$IV$65536,4,FALSE),0)</f>
        <v>0</v>
      </c>
      <c r="G1665" s="4">
        <f>IFERROR(VLOOKUP(B1665,'[2]new sheet'!$A$1:$IV$65536,2,0),0)</f>
        <v>5</v>
      </c>
      <c r="H1665" s="5">
        <f>IFERROR(VLOOKUP(B1665,'[3]new sheet'!$A$1:$IV$65536,2,0),0)</f>
        <v>0</v>
      </c>
    </row>
    <row r="1666" spans="1:8" ht="24" customHeight="1">
      <c r="A1666" s="7">
        <v>202409</v>
      </c>
      <c r="B1666" s="7">
        <v>3998</v>
      </c>
      <c r="C1666" s="8" t="s">
        <v>1367</v>
      </c>
      <c r="D1666" s="8" t="s">
        <v>1938</v>
      </c>
      <c r="E1666" s="2">
        <f>IFERROR(VLOOKUP(B1666,'[1]new sheet'!$A$1:$IV$65536,5,FALSE),0)</f>
        <v>22</v>
      </c>
      <c r="F1666" s="3">
        <f>IFERROR(VLOOKUP(B1666,'[1]new sheet'!$A$1:$IV$65536,4,FALSE),0)</f>
        <v>6</v>
      </c>
      <c r="G1666" s="4">
        <f>IFERROR(VLOOKUP(B1666,'[2]new sheet'!$A$1:$IV$65536,2,0),0)</f>
        <v>41</v>
      </c>
      <c r="H1666" s="5">
        <f>IFERROR(VLOOKUP(B1666,'[3]new sheet'!$A$1:$IV$65536,2,0),0)</f>
        <v>9</v>
      </c>
    </row>
    <row r="1667" spans="1:8" ht="24" customHeight="1">
      <c r="A1667" s="7">
        <v>211239</v>
      </c>
      <c r="B1667" s="7">
        <v>4005</v>
      </c>
      <c r="C1667" s="8" t="s">
        <v>1368</v>
      </c>
      <c r="D1667" s="8" t="s">
        <v>1938</v>
      </c>
      <c r="E1667" s="2">
        <f>IFERROR(VLOOKUP(B1667,'[1]new sheet'!$A$1:$IV$65536,5,FALSE),0)</f>
        <v>67</v>
      </c>
      <c r="F1667" s="3">
        <f>IFERROR(VLOOKUP(B1667,'[1]new sheet'!$A$1:$IV$65536,4,FALSE),0)</f>
        <v>2</v>
      </c>
      <c r="G1667" s="4">
        <f>IFERROR(VLOOKUP(B1667,'[2]new sheet'!$A$1:$IV$65536,2,0),0)</f>
        <v>44</v>
      </c>
      <c r="H1667" s="5">
        <f>IFERROR(VLOOKUP(B1667,'[3]new sheet'!$A$1:$IV$65536,2,0),0)</f>
        <v>8</v>
      </c>
    </row>
    <row r="1668" spans="1:8" ht="24" customHeight="1">
      <c r="A1668" s="7">
        <v>993043</v>
      </c>
      <c r="B1668" s="7">
        <v>1098</v>
      </c>
      <c r="C1668" s="8" t="s">
        <v>1369</v>
      </c>
      <c r="D1668" s="8" t="s">
        <v>1937</v>
      </c>
      <c r="E1668" s="2">
        <f>IFERROR(VLOOKUP(B1668,'[1]new sheet'!$A$1:$IV$65536,5,FALSE),0)</f>
        <v>0</v>
      </c>
      <c r="F1668" s="3">
        <f>IFERROR(VLOOKUP(B1668,'[1]new sheet'!$A$1:$IV$65536,4,FALSE),0)</f>
        <v>0</v>
      </c>
      <c r="G1668" s="4">
        <f>IFERROR(VLOOKUP(B1668,'[2]new sheet'!$A$1:$IV$65536,2,0),0)</f>
        <v>9</v>
      </c>
      <c r="H1668" s="5">
        <f>IFERROR(VLOOKUP(B1668,'[3]new sheet'!$A$1:$IV$65536,2,0),0)</f>
        <v>3</v>
      </c>
    </row>
    <row r="1669" spans="1:8" ht="24" customHeight="1">
      <c r="A1669" s="7">
        <v>211219</v>
      </c>
      <c r="B1669" s="7">
        <v>4006</v>
      </c>
      <c r="C1669" s="8" t="s">
        <v>1370</v>
      </c>
      <c r="D1669" s="8" t="s">
        <v>1938</v>
      </c>
      <c r="E1669" s="2">
        <f>IFERROR(VLOOKUP(B1669,'[1]new sheet'!$A$1:$IV$65536,5,FALSE),0)</f>
        <v>38</v>
      </c>
      <c r="F1669" s="3">
        <f>IFERROR(VLOOKUP(B1669,'[1]new sheet'!$A$1:$IV$65536,4,FALSE),0)</f>
        <v>3</v>
      </c>
      <c r="G1669" s="4">
        <f>IFERROR(VLOOKUP(B1669,'[2]new sheet'!$A$1:$IV$65536,2,0),0)</f>
        <v>67</v>
      </c>
      <c r="H1669" s="5">
        <f>IFERROR(VLOOKUP(B1669,'[3]new sheet'!$A$1:$IV$65536,2,0),0)</f>
        <v>27</v>
      </c>
    </row>
    <row r="1670" spans="1:8" ht="24" customHeight="1">
      <c r="A1670" s="7">
        <v>992737</v>
      </c>
      <c r="B1670" s="7">
        <v>4001</v>
      </c>
      <c r="C1670" s="8" t="s">
        <v>1371</v>
      </c>
      <c r="D1670" s="8" t="s">
        <v>1934</v>
      </c>
      <c r="E1670" s="2">
        <f>IFERROR(VLOOKUP(B1670,'[1]new sheet'!$A$1:$IV$65536,5,FALSE),0)</f>
        <v>0</v>
      </c>
      <c r="F1670" s="3">
        <f>IFERROR(VLOOKUP(B1670,'[1]new sheet'!$A$1:$IV$65536,4,FALSE),0)</f>
        <v>0</v>
      </c>
      <c r="G1670" s="4">
        <f>IFERROR(VLOOKUP(B1670,'[2]new sheet'!$A$1:$IV$65536,2,0),0)</f>
        <v>0</v>
      </c>
      <c r="H1670" s="5">
        <f>IFERROR(VLOOKUP(B1670,'[3]new sheet'!$A$1:$IV$65536,2,0),0)</f>
        <v>0</v>
      </c>
    </row>
    <row r="1671" spans="1:8" ht="24" customHeight="1">
      <c r="A1671" s="7">
        <v>555657</v>
      </c>
      <c r="B1671" s="7">
        <v>262</v>
      </c>
      <c r="C1671" s="8" t="s">
        <v>1372</v>
      </c>
      <c r="D1671" s="8" t="s">
        <v>1937</v>
      </c>
      <c r="E1671" s="2">
        <f>IFERROR(VLOOKUP(B1671,'[1]new sheet'!$A$1:$IV$65536,5,FALSE),0)</f>
        <v>209</v>
      </c>
      <c r="F1671" s="3">
        <f>IFERROR(VLOOKUP(B1671,'[1]new sheet'!$A$1:$IV$65536,4,FALSE),0)</f>
        <v>12</v>
      </c>
      <c r="G1671" s="4">
        <f>IFERROR(VLOOKUP(B1671,'[2]new sheet'!$A$1:$IV$65536,2,0),0)</f>
        <v>619</v>
      </c>
      <c r="H1671" s="5">
        <f>IFERROR(VLOOKUP(B1671,'[3]new sheet'!$A$1:$IV$65536,2,0),0)</f>
        <v>223</v>
      </c>
    </row>
    <row r="1672" spans="1:8" ht="24" customHeight="1">
      <c r="A1672" s="7">
        <v>684694</v>
      </c>
      <c r="B1672" s="7">
        <v>721</v>
      </c>
      <c r="C1672" s="8" t="s">
        <v>1373</v>
      </c>
      <c r="D1672" s="8" t="s">
        <v>1937</v>
      </c>
      <c r="E1672" s="2">
        <f>IFERROR(VLOOKUP(B1672,'[1]new sheet'!$A$1:$IV$65536,5,FALSE),0)</f>
        <v>0</v>
      </c>
      <c r="F1672" s="3">
        <f>IFERROR(VLOOKUP(B1672,'[1]new sheet'!$A$1:$IV$65536,4,FALSE),0)</f>
        <v>0</v>
      </c>
      <c r="G1672" s="4">
        <f>IFERROR(VLOOKUP(B1672,'[2]new sheet'!$A$1:$IV$65536,2,0),0)</f>
        <v>4</v>
      </c>
      <c r="H1672" s="5">
        <f>IFERROR(VLOOKUP(B1672,'[3]new sheet'!$A$1:$IV$65536,2,0),0)</f>
        <v>0</v>
      </c>
    </row>
    <row r="1673" spans="1:8" ht="24" customHeight="1">
      <c r="A1673" s="7">
        <v>992761</v>
      </c>
      <c r="B1673" s="7">
        <v>1050</v>
      </c>
      <c r="C1673" s="8" t="s">
        <v>1374</v>
      </c>
      <c r="D1673" s="8" t="s">
        <v>1937</v>
      </c>
      <c r="E1673" s="2">
        <f>IFERROR(VLOOKUP(B1673,'[1]new sheet'!$A$1:$IV$65536,5,FALSE),0)</f>
        <v>0</v>
      </c>
      <c r="F1673" s="3">
        <f>IFERROR(VLOOKUP(B1673,'[1]new sheet'!$A$1:$IV$65536,4,FALSE),0)</f>
        <v>0</v>
      </c>
      <c r="G1673" s="4">
        <f>IFERROR(VLOOKUP(B1673,'[2]new sheet'!$A$1:$IV$65536,2,0),0)</f>
        <v>0</v>
      </c>
      <c r="H1673" s="5">
        <f>IFERROR(VLOOKUP(B1673,'[3]new sheet'!$A$1:$IV$65536,2,0),0)</f>
        <v>0</v>
      </c>
    </row>
    <row r="1674" spans="1:8" ht="24" customHeight="1">
      <c r="A1674" s="7">
        <v>992760</v>
      </c>
      <c r="B1674" s="7">
        <v>1049</v>
      </c>
      <c r="C1674" s="8" t="s">
        <v>1375</v>
      </c>
      <c r="D1674" s="8" t="s">
        <v>1937</v>
      </c>
      <c r="E1674" s="2">
        <f>IFERROR(VLOOKUP(B1674,'[1]new sheet'!$A$1:$IV$65536,5,FALSE),0)</f>
        <v>12</v>
      </c>
      <c r="F1674" s="3">
        <f>IFERROR(VLOOKUP(B1674,'[1]new sheet'!$A$1:$IV$65536,4,FALSE),0)</f>
        <v>7</v>
      </c>
      <c r="G1674" s="4">
        <f>IFERROR(VLOOKUP(B1674,'[2]new sheet'!$A$1:$IV$65536,2,0),0)</f>
        <v>9</v>
      </c>
      <c r="H1674" s="5">
        <f>IFERROR(VLOOKUP(B1674,'[3]new sheet'!$A$1:$IV$65536,2,0),0)</f>
        <v>9</v>
      </c>
    </row>
    <row r="1675" spans="1:8" ht="24" customHeight="1">
      <c r="A1675" s="7">
        <v>706973</v>
      </c>
      <c r="B1675" s="7">
        <v>856</v>
      </c>
      <c r="C1675" s="8" t="s">
        <v>1376</v>
      </c>
      <c r="D1675" s="8" t="s">
        <v>1937</v>
      </c>
      <c r="E1675" s="2">
        <f>IFERROR(VLOOKUP(B1675,'[1]new sheet'!$A$1:$IV$65536,5,FALSE),0)</f>
        <v>0</v>
      </c>
      <c r="F1675" s="3">
        <f>IFERROR(VLOOKUP(B1675,'[1]new sheet'!$A$1:$IV$65536,4,FALSE),0)</f>
        <v>77</v>
      </c>
      <c r="G1675" s="4">
        <f>IFERROR(VLOOKUP(B1675,'[2]new sheet'!$A$1:$IV$65536,2,0),0)</f>
        <v>31</v>
      </c>
      <c r="H1675" s="5">
        <f>IFERROR(VLOOKUP(B1675,'[3]new sheet'!$A$1:$IV$65536,2,0),0)</f>
        <v>10</v>
      </c>
    </row>
    <row r="1676" spans="1:8" ht="24" customHeight="1">
      <c r="A1676" s="7">
        <v>994085</v>
      </c>
      <c r="B1676" s="7">
        <v>1099</v>
      </c>
      <c r="C1676" s="8" t="s">
        <v>1377</v>
      </c>
      <c r="D1676" s="8" t="s">
        <v>1937</v>
      </c>
      <c r="E1676" s="2">
        <f>IFERROR(VLOOKUP(B1676,'[1]new sheet'!$A$1:$IV$65536,5,FALSE),0)</f>
        <v>0</v>
      </c>
      <c r="F1676" s="3">
        <f>IFERROR(VLOOKUP(B1676,'[1]new sheet'!$A$1:$IV$65536,4,FALSE),0)</f>
        <v>0</v>
      </c>
      <c r="G1676" s="4">
        <f>IFERROR(VLOOKUP(B1676,'[2]new sheet'!$A$1:$IV$65536,2,0),0)</f>
        <v>0</v>
      </c>
      <c r="H1676" s="5">
        <f>IFERROR(VLOOKUP(B1676,'[3]new sheet'!$A$1:$IV$65536,2,0),0)</f>
        <v>0</v>
      </c>
    </row>
    <row r="1677" spans="1:8" ht="24" customHeight="1">
      <c r="A1677" s="7">
        <v>994086</v>
      </c>
      <c r="B1677" s="7">
        <v>1747</v>
      </c>
      <c r="C1677" s="8" t="s">
        <v>1378</v>
      </c>
      <c r="D1677" s="8" t="s">
        <v>1937</v>
      </c>
      <c r="E1677" s="2">
        <f>IFERROR(VLOOKUP(B1677,'[1]new sheet'!$A$1:$IV$65536,5,FALSE),0)</f>
        <v>0</v>
      </c>
      <c r="F1677" s="3">
        <f>IFERROR(VLOOKUP(B1677,'[1]new sheet'!$A$1:$IV$65536,4,FALSE),0)</f>
        <v>0</v>
      </c>
      <c r="G1677" s="4">
        <f>IFERROR(VLOOKUP(B1677,'[2]new sheet'!$A$1:$IV$65536,2,0),0)</f>
        <v>0</v>
      </c>
      <c r="H1677" s="5">
        <f>IFERROR(VLOOKUP(B1677,'[3]new sheet'!$A$1:$IV$65536,2,0),0)</f>
        <v>0</v>
      </c>
    </row>
    <row r="1678" spans="1:8" ht="24" customHeight="1">
      <c r="A1678" s="7">
        <v>994084</v>
      </c>
      <c r="B1678" s="7">
        <v>722</v>
      </c>
      <c r="C1678" s="8" t="s">
        <v>1379</v>
      </c>
      <c r="D1678" s="8" t="s">
        <v>1937</v>
      </c>
      <c r="E1678" s="2">
        <f>IFERROR(VLOOKUP(B1678,'[1]new sheet'!$A$1:$IV$65536,5,FALSE),0)</f>
        <v>0</v>
      </c>
      <c r="F1678" s="3">
        <f>IFERROR(VLOOKUP(B1678,'[1]new sheet'!$A$1:$IV$65536,4,FALSE),0)</f>
        <v>0</v>
      </c>
      <c r="G1678" s="4">
        <f>IFERROR(VLOOKUP(B1678,'[2]new sheet'!$A$1:$IV$65536,2,0),0)</f>
        <v>0</v>
      </c>
      <c r="H1678" s="5">
        <f>IFERROR(VLOOKUP(B1678,'[3]new sheet'!$A$1:$IV$65536,2,0),0)</f>
        <v>0</v>
      </c>
    </row>
    <row r="1679" spans="1:8" ht="24" customHeight="1">
      <c r="A1679" s="7">
        <v>707210</v>
      </c>
      <c r="B1679" s="7">
        <v>260</v>
      </c>
      <c r="C1679" s="8" t="s">
        <v>1380</v>
      </c>
      <c r="D1679" s="8" t="s">
        <v>1937</v>
      </c>
      <c r="E1679" s="2">
        <f>IFERROR(VLOOKUP(B1679,'[1]new sheet'!$A$1:$IV$65536,5,FALSE),0)</f>
        <v>378</v>
      </c>
      <c r="F1679" s="3">
        <f>IFERROR(VLOOKUP(B1679,'[1]new sheet'!$A$1:$IV$65536,4,FALSE),0)</f>
        <v>26</v>
      </c>
      <c r="G1679" s="4">
        <f>IFERROR(VLOOKUP(B1679,'[2]new sheet'!$A$1:$IV$65536,2,0),0)</f>
        <v>321</v>
      </c>
      <c r="H1679" s="5">
        <f>IFERROR(VLOOKUP(B1679,'[3]new sheet'!$A$1:$IV$65536,2,0),0)</f>
        <v>46</v>
      </c>
    </row>
    <row r="1680" spans="1:8" ht="24" customHeight="1">
      <c r="A1680" s="7">
        <v>706981</v>
      </c>
      <c r="B1680" s="7">
        <v>261</v>
      </c>
      <c r="C1680" s="8" t="s">
        <v>1381</v>
      </c>
      <c r="D1680" s="8" t="s">
        <v>1937</v>
      </c>
      <c r="E1680" s="2">
        <f>IFERROR(VLOOKUP(B1680,'[1]new sheet'!$A$1:$IV$65536,5,FALSE),0)</f>
        <v>508</v>
      </c>
      <c r="F1680" s="3">
        <f>IFERROR(VLOOKUP(B1680,'[1]new sheet'!$A$1:$IV$65536,4,FALSE),0)</f>
        <v>1</v>
      </c>
      <c r="G1680" s="4">
        <f>IFERROR(VLOOKUP(B1680,'[2]new sheet'!$A$1:$IV$65536,2,0),0)</f>
        <v>232</v>
      </c>
      <c r="H1680" s="5">
        <f>IFERROR(VLOOKUP(B1680,'[3]new sheet'!$A$1:$IV$65536,2,0),0)</f>
        <v>66</v>
      </c>
    </row>
    <row r="1681" spans="1:8" ht="24" customHeight="1">
      <c r="A1681" s="7">
        <v>990615</v>
      </c>
      <c r="B1681" s="7">
        <v>1038</v>
      </c>
      <c r="C1681" s="8" t="s">
        <v>1382</v>
      </c>
      <c r="D1681" s="8" t="s">
        <v>1937</v>
      </c>
      <c r="E1681" s="2">
        <f>IFERROR(VLOOKUP(B1681,'[1]new sheet'!$A$1:$IV$65536,5,FALSE),0)</f>
        <v>0</v>
      </c>
      <c r="F1681" s="3">
        <f>IFERROR(VLOOKUP(B1681,'[1]new sheet'!$A$1:$IV$65536,4,FALSE),0)</f>
        <v>0</v>
      </c>
      <c r="G1681" s="4">
        <f>IFERROR(VLOOKUP(B1681,'[2]new sheet'!$A$1:$IV$65536,2,0),0)</f>
        <v>0</v>
      </c>
      <c r="H1681" s="5">
        <f>IFERROR(VLOOKUP(B1681,'[3]new sheet'!$A$1:$IV$65536,2,0),0)</f>
        <v>0</v>
      </c>
    </row>
    <row r="1682" spans="1:8" ht="24" customHeight="1">
      <c r="A1682" s="7">
        <v>991812</v>
      </c>
      <c r="B1682" s="7">
        <v>2516</v>
      </c>
      <c r="C1682" s="8" t="s">
        <v>1383</v>
      </c>
      <c r="D1682" s="8" t="s">
        <v>1937</v>
      </c>
      <c r="E1682" s="2">
        <f>IFERROR(VLOOKUP(B1682,'[1]new sheet'!$A$1:$IV$65536,5,FALSE),0)</f>
        <v>0</v>
      </c>
      <c r="F1682" s="3">
        <f>IFERROR(VLOOKUP(B1682,'[1]new sheet'!$A$1:$IV$65536,4,FALSE),0)</f>
        <v>0</v>
      </c>
      <c r="G1682" s="4">
        <f>IFERROR(VLOOKUP(B1682,'[2]new sheet'!$A$1:$IV$65536,2,0),0)</f>
        <v>0</v>
      </c>
      <c r="H1682" s="5">
        <f>IFERROR(VLOOKUP(B1682,'[3]new sheet'!$A$1:$IV$65536,2,0),0)</f>
        <v>0</v>
      </c>
    </row>
    <row r="1683" spans="1:8" ht="24" customHeight="1">
      <c r="A1683" s="7">
        <v>988912</v>
      </c>
      <c r="B1683" s="7">
        <v>3942</v>
      </c>
      <c r="C1683" s="8" t="s">
        <v>1636</v>
      </c>
      <c r="D1683" s="8" t="s">
        <v>1937</v>
      </c>
      <c r="E1683" s="2">
        <f>IFERROR(VLOOKUP(B1683,'[1]new sheet'!$A$1:$IV$65536,5,FALSE),0)</f>
        <v>0</v>
      </c>
      <c r="F1683" s="3">
        <f>IFERROR(VLOOKUP(B1683,'[1]new sheet'!$A$1:$IV$65536,4,FALSE),0)</f>
        <v>0</v>
      </c>
      <c r="G1683" s="4">
        <f>IFERROR(VLOOKUP(B1683,'[2]new sheet'!$A$1:$IV$65536,2,0),0)</f>
        <v>0</v>
      </c>
      <c r="H1683" s="5">
        <f>IFERROR(VLOOKUP(B1683,'[3]new sheet'!$A$1:$IV$65536,2,0),0)</f>
        <v>0</v>
      </c>
    </row>
    <row r="1684" spans="1:8" ht="24" customHeight="1">
      <c r="A1684" s="7">
        <v>990271</v>
      </c>
      <c r="B1684" s="7">
        <v>4225</v>
      </c>
      <c r="C1684" s="8" t="s">
        <v>1877</v>
      </c>
      <c r="D1684" s="8" t="s">
        <v>1937</v>
      </c>
      <c r="E1684" s="2">
        <f>IFERROR(VLOOKUP(B1684,'[1]new sheet'!$A$1:$IV$65536,5,FALSE),0)</f>
        <v>8</v>
      </c>
      <c r="F1684" s="3">
        <f>IFERROR(VLOOKUP(B1684,'[1]new sheet'!$A$1:$IV$65536,4,FALSE),0)</f>
        <v>0</v>
      </c>
      <c r="G1684" s="4">
        <f>IFERROR(VLOOKUP(B1684,'[2]new sheet'!$A$1:$IV$65536,2,0),0)</f>
        <v>26</v>
      </c>
      <c r="H1684" s="5">
        <f>IFERROR(VLOOKUP(B1684,'[3]new sheet'!$A$1:$IV$65536,2,0),0)</f>
        <v>3</v>
      </c>
    </row>
    <row r="1685" spans="1:8" ht="24" customHeight="1">
      <c r="A1685" s="7">
        <v>40205</v>
      </c>
      <c r="B1685" s="7">
        <v>57</v>
      </c>
      <c r="C1685" s="8" t="s">
        <v>1384</v>
      </c>
      <c r="D1685" s="8" t="s">
        <v>1934</v>
      </c>
      <c r="E1685" s="2">
        <f>IFERROR(VLOOKUP(B1685,'[1]new sheet'!$A$1:$IV$65536,5,FALSE),0)</f>
        <v>0</v>
      </c>
      <c r="F1685" s="3">
        <f>IFERROR(VLOOKUP(B1685,'[1]new sheet'!$A$1:$IV$65536,4,FALSE),0)</f>
        <v>0</v>
      </c>
      <c r="G1685" s="4">
        <f>IFERROR(VLOOKUP(B1685,'[2]new sheet'!$A$1:$IV$65536,2,0),0)</f>
        <v>0</v>
      </c>
      <c r="H1685" s="5">
        <f>IFERROR(VLOOKUP(B1685,'[3]new sheet'!$A$1:$IV$65536,2,0),0)</f>
        <v>0</v>
      </c>
    </row>
    <row r="1686" spans="1:8" ht="24" customHeight="1">
      <c r="A1686" s="7"/>
      <c r="B1686" s="7">
        <v>325</v>
      </c>
      <c r="C1686" s="8" t="s">
        <v>1385</v>
      </c>
      <c r="D1686" s="8" t="s">
        <v>1934</v>
      </c>
      <c r="E1686" s="2">
        <f>IFERROR(VLOOKUP(B1686,'[1]new sheet'!$A$1:$IV$65536,5,FALSE),0)</f>
        <v>0</v>
      </c>
      <c r="F1686" s="3">
        <f>IFERROR(VLOOKUP(B1686,'[1]new sheet'!$A$1:$IV$65536,4,FALSE),0)</f>
        <v>0</v>
      </c>
      <c r="G1686" s="4">
        <f>IFERROR(VLOOKUP(B1686,'[2]new sheet'!$A$1:$IV$65536,2,0),0)</f>
        <v>0</v>
      </c>
      <c r="H1686" s="5">
        <f>IFERROR(VLOOKUP(B1686,'[3]new sheet'!$A$1:$IV$65536,2,0),0)</f>
        <v>0</v>
      </c>
    </row>
    <row r="1687" spans="1:8" ht="24" customHeight="1">
      <c r="A1687" s="7">
        <v>988321</v>
      </c>
      <c r="B1687" s="7">
        <v>4248</v>
      </c>
      <c r="C1687" s="8" t="s">
        <v>1878</v>
      </c>
      <c r="D1687" s="8" t="s">
        <v>1934</v>
      </c>
      <c r="E1687" s="2">
        <f>IFERROR(VLOOKUP(B1687,'[1]new sheet'!$A$1:$IV$65536,5,FALSE),0)</f>
        <v>20</v>
      </c>
      <c r="F1687" s="3">
        <f>IFERROR(VLOOKUP(B1687,'[1]new sheet'!$A$1:$IV$65536,4,FALSE),0)</f>
        <v>0</v>
      </c>
      <c r="G1687" s="4">
        <f>IFERROR(VLOOKUP(B1687,'[2]new sheet'!$A$1:$IV$65536,2,0),0)</f>
        <v>0</v>
      </c>
      <c r="H1687" s="5">
        <f>IFERROR(VLOOKUP(B1687,'[3]new sheet'!$A$1:$IV$65536,2,0),0)</f>
        <v>0</v>
      </c>
    </row>
    <row r="1688" spans="1:8" ht="24" customHeight="1">
      <c r="A1688" s="7">
        <v>712</v>
      </c>
      <c r="B1688" s="7">
        <v>997</v>
      </c>
      <c r="C1688" s="8" t="s">
        <v>1386</v>
      </c>
      <c r="D1688" s="8" t="s">
        <v>1937</v>
      </c>
      <c r="E1688" s="2">
        <f>IFERROR(VLOOKUP(B1688,'[1]new sheet'!$A$1:$IV$65536,5,FALSE),0)</f>
        <v>0</v>
      </c>
      <c r="F1688" s="3">
        <f>IFERROR(VLOOKUP(B1688,'[1]new sheet'!$A$1:$IV$65536,4,FALSE),0)</f>
        <v>0</v>
      </c>
      <c r="G1688" s="4">
        <f>IFERROR(VLOOKUP(B1688,'[2]new sheet'!$A$1:$IV$65536,2,0),0)</f>
        <v>0</v>
      </c>
      <c r="H1688" s="5">
        <f>IFERROR(VLOOKUP(B1688,'[3]new sheet'!$A$1:$IV$65536,2,0),0)</f>
        <v>0</v>
      </c>
    </row>
    <row r="1689" spans="1:8" ht="24" customHeight="1">
      <c r="A1689" s="7">
        <v>991602</v>
      </c>
      <c r="B1689" s="7">
        <v>2518</v>
      </c>
      <c r="C1689" s="8" t="s">
        <v>1387</v>
      </c>
      <c r="D1689" s="8" t="s">
        <v>1934</v>
      </c>
      <c r="E1689" s="2">
        <f>IFERROR(VLOOKUP(B1689,'[1]new sheet'!$A$1:$IV$65536,5,FALSE),0)</f>
        <v>0</v>
      </c>
      <c r="F1689" s="3">
        <f>IFERROR(VLOOKUP(B1689,'[1]new sheet'!$A$1:$IV$65536,4,FALSE),0)</f>
        <v>0</v>
      </c>
      <c r="G1689" s="4">
        <f>IFERROR(VLOOKUP(B1689,'[2]new sheet'!$A$1:$IV$65536,2,0),0)</f>
        <v>0</v>
      </c>
      <c r="H1689" s="5">
        <f>IFERROR(VLOOKUP(B1689,'[3]new sheet'!$A$1:$IV$65536,2,0),0)</f>
        <v>0</v>
      </c>
    </row>
    <row r="1690" spans="1:8" ht="24" customHeight="1">
      <c r="A1690" s="7">
        <v>993229</v>
      </c>
      <c r="B1690" s="7">
        <v>723</v>
      </c>
      <c r="C1690" s="8" t="s">
        <v>1388</v>
      </c>
      <c r="D1690" s="8" t="s">
        <v>1934</v>
      </c>
      <c r="E1690" s="2">
        <f>IFERROR(VLOOKUP(B1690,'[1]new sheet'!$A$1:$IV$65536,5,FALSE),0)</f>
        <v>0</v>
      </c>
      <c r="F1690" s="3">
        <f>IFERROR(VLOOKUP(B1690,'[1]new sheet'!$A$1:$IV$65536,4,FALSE),0)</f>
        <v>2</v>
      </c>
      <c r="G1690" s="4">
        <f>IFERROR(VLOOKUP(B1690,'[2]new sheet'!$A$1:$IV$65536,2,0),0)</f>
        <v>0</v>
      </c>
      <c r="H1690" s="5">
        <f>IFERROR(VLOOKUP(B1690,'[3]new sheet'!$A$1:$IV$65536,2,0),0)</f>
        <v>2</v>
      </c>
    </row>
    <row r="1691" spans="1:8" ht="24" customHeight="1">
      <c r="A1691" s="7">
        <v>993228</v>
      </c>
      <c r="B1691" s="7">
        <v>724</v>
      </c>
      <c r="C1691" s="8" t="s">
        <v>1389</v>
      </c>
      <c r="D1691" s="8" t="s">
        <v>1937</v>
      </c>
      <c r="E1691" s="2">
        <f>IFERROR(VLOOKUP(B1691,'[1]new sheet'!$A$1:$IV$65536,5,FALSE),0)</f>
        <v>0</v>
      </c>
      <c r="F1691" s="3">
        <f>IFERROR(VLOOKUP(B1691,'[1]new sheet'!$A$1:$IV$65536,4,FALSE),0)</f>
        <v>0</v>
      </c>
      <c r="G1691" s="4">
        <f>IFERROR(VLOOKUP(B1691,'[2]new sheet'!$A$1:$IV$65536,2,0),0)</f>
        <v>203</v>
      </c>
      <c r="H1691" s="5">
        <f>IFERROR(VLOOKUP(B1691,'[3]new sheet'!$A$1:$IV$65536,2,0),0)</f>
        <v>39</v>
      </c>
    </row>
    <row r="1692" spans="1:8" ht="24" customHeight="1">
      <c r="A1692" s="7">
        <v>5835</v>
      </c>
      <c r="B1692" s="7">
        <v>259</v>
      </c>
      <c r="C1692" s="8" t="s">
        <v>1390</v>
      </c>
      <c r="D1692" s="8" t="s">
        <v>1934</v>
      </c>
      <c r="E1692" s="2">
        <f>IFERROR(VLOOKUP(B1692,'[1]new sheet'!$A$1:$IV$65536,5,FALSE),0)</f>
        <v>4</v>
      </c>
      <c r="F1692" s="3">
        <f>IFERROR(VLOOKUP(B1692,'[1]new sheet'!$A$1:$IV$65536,4,FALSE),0)</f>
        <v>1</v>
      </c>
      <c r="G1692" s="4">
        <f>IFERROR(VLOOKUP(B1692,'[2]new sheet'!$A$1:$IV$65536,2,0),0)</f>
        <v>8</v>
      </c>
      <c r="H1692" s="5">
        <f>IFERROR(VLOOKUP(B1692,'[3]new sheet'!$A$1:$IV$65536,2,0),0)</f>
        <v>2</v>
      </c>
    </row>
    <row r="1693" spans="1:8" ht="24" customHeight="1">
      <c r="A1693" s="7">
        <v>56163</v>
      </c>
      <c r="B1693" s="7">
        <v>1473</v>
      </c>
      <c r="C1693" s="8" t="s">
        <v>1849</v>
      </c>
      <c r="D1693" s="8" t="s">
        <v>1934</v>
      </c>
      <c r="E1693" s="2">
        <f>IFERROR(VLOOKUP(B1693,'[1]new sheet'!$A$1:$IV$65536,5,FALSE),0)</f>
        <v>0</v>
      </c>
      <c r="F1693" s="3">
        <f>IFERROR(VLOOKUP(B1693,'[1]new sheet'!$A$1:$IV$65536,4,FALSE),0)</f>
        <v>0</v>
      </c>
      <c r="G1693" s="4">
        <f>IFERROR(VLOOKUP(B1693,'[2]new sheet'!$A$1:$IV$65536,2,0),0)</f>
        <v>0</v>
      </c>
      <c r="H1693" s="5">
        <f>IFERROR(VLOOKUP(B1693,'[3]new sheet'!$A$1:$IV$65536,2,0),0)</f>
        <v>0</v>
      </c>
    </row>
    <row r="1694" spans="1:8" ht="24" customHeight="1">
      <c r="A1694" s="7">
        <v>950436</v>
      </c>
      <c r="B1694" s="7">
        <v>908</v>
      </c>
      <c r="C1694" s="8" t="s">
        <v>1391</v>
      </c>
      <c r="D1694" s="8" t="s">
        <v>1934</v>
      </c>
      <c r="E1694" s="2">
        <f>IFERROR(VLOOKUP(B1694,'[1]new sheet'!$A$1:$IV$65536,5,FALSE),0)</f>
        <v>0</v>
      </c>
      <c r="F1694" s="3">
        <f>IFERROR(VLOOKUP(B1694,'[1]new sheet'!$A$1:$IV$65536,4,FALSE),0)</f>
        <v>0</v>
      </c>
      <c r="G1694" s="4">
        <f>IFERROR(VLOOKUP(B1694,'[2]new sheet'!$A$1:$IV$65536,2,0),0)</f>
        <v>12</v>
      </c>
      <c r="H1694" s="5">
        <f>IFERROR(VLOOKUP(B1694,'[3]new sheet'!$A$1:$IV$65536,2,0),0)</f>
        <v>1</v>
      </c>
    </row>
    <row r="1695" spans="1:8" ht="24" customHeight="1">
      <c r="A1695" s="7">
        <v>950499</v>
      </c>
      <c r="B1695" s="7">
        <v>725</v>
      </c>
      <c r="C1695" s="8" t="s">
        <v>1392</v>
      </c>
      <c r="D1695" s="8" t="s">
        <v>1937</v>
      </c>
      <c r="E1695" s="2">
        <f>IFERROR(VLOOKUP(B1695,'[1]new sheet'!$A$1:$IV$65536,5,FALSE),0)</f>
        <v>901</v>
      </c>
      <c r="F1695" s="3">
        <f>IFERROR(VLOOKUP(B1695,'[1]new sheet'!$A$1:$IV$65536,4,FALSE),0)</f>
        <v>7</v>
      </c>
      <c r="G1695" s="4">
        <f>IFERROR(VLOOKUP(B1695,'[2]new sheet'!$A$1:$IV$65536,2,0),0)</f>
        <v>1643</v>
      </c>
      <c r="H1695" s="5">
        <f>IFERROR(VLOOKUP(B1695,'[3]new sheet'!$A$1:$IV$65536,2,0),0)</f>
        <v>626</v>
      </c>
    </row>
    <row r="1696" spans="1:8" ht="24" customHeight="1">
      <c r="A1696" s="7">
        <v>9890</v>
      </c>
      <c r="B1696" s="7">
        <v>258</v>
      </c>
      <c r="C1696" s="8" t="s">
        <v>1393</v>
      </c>
      <c r="D1696" s="8" t="s">
        <v>1934</v>
      </c>
      <c r="E1696" s="2">
        <f>IFERROR(VLOOKUP(B1696,'[1]new sheet'!$A$1:$IV$65536,5,FALSE),0)</f>
        <v>9</v>
      </c>
      <c r="F1696" s="3">
        <f>IFERROR(VLOOKUP(B1696,'[1]new sheet'!$A$1:$IV$65536,4,FALSE),0)</f>
        <v>0</v>
      </c>
      <c r="G1696" s="4">
        <f>IFERROR(VLOOKUP(B1696,'[2]new sheet'!$A$1:$IV$65536,2,0),0)</f>
        <v>0</v>
      </c>
      <c r="H1696" s="5">
        <f>IFERROR(VLOOKUP(B1696,'[3]new sheet'!$A$1:$IV$65536,2,0),0)</f>
        <v>0</v>
      </c>
    </row>
    <row r="1697" spans="1:8" ht="24" customHeight="1">
      <c r="A1697" s="7" t="s">
        <v>1394</v>
      </c>
      <c r="B1697" s="7">
        <v>257</v>
      </c>
      <c r="C1697" s="8" t="s">
        <v>1395</v>
      </c>
      <c r="D1697" s="8" t="s">
        <v>1934</v>
      </c>
      <c r="E1697" s="2">
        <f>IFERROR(VLOOKUP(B1697,'[1]new sheet'!$A$1:$IV$65536,5,FALSE),0)</f>
        <v>0</v>
      </c>
      <c r="F1697" s="3">
        <f>IFERROR(VLOOKUP(B1697,'[1]new sheet'!$A$1:$IV$65536,4,FALSE),0)</f>
        <v>0</v>
      </c>
      <c r="G1697" s="4">
        <f>IFERROR(VLOOKUP(B1697,'[2]new sheet'!$A$1:$IV$65536,2,0),0)</f>
        <v>0</v>
      </c>
      <c r="H1697" s="5">
        <f>IFERROR(VLOOKUP(B1697,'[3]new sheet'!$A$1:$IV$65536,2,0),0)</f>
        <v>0</v>
      </c>
    </row>
    <row r="1698" spans="1:8" ht="24" customHeight="1">
      <c r="A1698" s="7">
        <v>43845</v>
      </c>
      <c r="B1698" s="7">
        <v>161</v>
      </c>
      <c r="C1698" s="8" t="s">
        <v>1396</v>
      </c>
      <c r="D1698" s="8" t="s">
        <v>1937</v>
      </c>
      <c r="E1698" s="2">
        <f>IFERROR(VLOOKUP(B1698,'[1]new sheet'!$A$1:$IV$65536,5,FALSE),0)</f>
        <v>988</v>
      </c>
      <c r="F1698" s="3">
        <f>IFERROR(VLOOKUP(B1698,'[1]new sheet'!$A$1:$IV$65536,4,FALSE),0)</f>
        <v>84</v>
      </c>
      <c r="G1698" s="4">
        <f>IFERROR(VLOOKUP(B1698,'[2]new sheet'!$A$1:$IV$65536,2,0),0)</f>
        <v>2648</v>
      </c>
      <c r="H1698" s="5">
        <f>IFERROR(VLOOKUP(B1698,'[3]new sheet'!$A$1:$IV$65536,2,0),0)</f>
        <v>951</v>
      </c>
    </row>
    <row r="1699" spans="1:8" ht="24" customHeight="1">
      <c r="A1699" s="7">
        <v>991479</v>
      </c>
      <c r="B1699" s="7">
        <v>2517</v>
      </c>
      <c r="C1699" s="8" t="s">
        <v>1575</v>
      </c>
      <c r="D1699" s="8" t="s">
        <v>1937</v>
      </c>
      <c r="E1699" s="2">
        <f>IFERROR(VLOOKUP(B1699,'[1]new sheet'!$A$1:$IV$65536,5,FALSE),0)</f>
        <v>225</v>
      </c>
      <c r="F1699" s="3">
        <f>IFERROR(VLOOKUP(B1699,'[1]new sheet'!$A$1:$IV$65536,4,FALSE),0)</f>
        <v>0</v>
      </c>
      <c r="G1699" s="4">
        <f>IFERROR(VLOOKUP(B1699,'[2]new sheet'!$A$1:$IV$65536,2,0),0)</f>
        <v>444</v>
      </c>
      <c r="H1699" s="5">
        <f>IFERROR(VLOOKUP(B1699,'[3]new sheet'!$A$1:$IV$65536,2,0),0)</f>
        <v>18</v>
      </c>
    </row>
    <row r="1700" spans="1:8" ht="24" customHeight="1">
      <c r="A1700" s="7">
        <v>234868</v>
      </c>
      <c r="B1700" s="7">
        <v>893</v>
      </c>
      <c r="C1700" s="8" t="s">
        <v>1397</v>
      </c>
      <c r="D1700" s="8" t="s">
        <v>1934</v>
      </c>
      <c r="E1700" s="2">
        <f>IFERROR(VLOOKUP(B1700,'[1]new sheet'!$A$1:$IV$65536,5,FALSE),0)</f>
        <v>12</v>
      </c>
      <c r="F1700" s="3">
        <f>IFERROR(VLOOKUP(B1700,'[1]new sheet'!$A$1:$IV$65536,4,FALSE),0)</f>
        <v>0</v>
      </c>
      <c r="G1700" s="4">
        <f>IFERROR(VLOOKUP(B1700,'[2]new sheet'!$A$1:$IV$65536,2,0),0)</f>
        <v>15</v>
      </c>
      <c r="H1700" s="5">
        <f>IFERROR(VLOOKUP(B1700,'[3]new sheet'!$A$1:$IV$65536,2,0),0)</f>
        <v>14</v>
      </c>
    </row>
    <row r="1701" spans="1:8" ht="24" customHeight="1">
      <c r="A1701" s="7">
        <v>577855</v>
      </c>
      <c r="B1701" s="7">
        <v>255</v>
      </c>
      <c r="C1701" s="8" t="s">
        <v>1398</v>
      </c>
      <c r="D1701" s="8" t="s">
        <v>1937</v>
      </c>
      <c r="E1701" s="2">
        <f>IFERROR(VLOOKUP(B1701,'[1]new sheet'!$A$1:$IV$65536,5,FALSE),0)</f>
        <v>2541</v>
      </c>
      <c r="F1701" s="3">
        <f>IFERROR(VLOOKUP(B1701,'[1]new sheet'!$A$1:$IV$65536,4,FALSE),0)</f>
        <v>21</v>
      </c>
      <c r="G1701" s="4">
        <f>IFERROR(VLOOKUP(B1701,'[2]new sheet'!$A$1:$IV$65536,2,0),0)</f>
        <v>3035</v>
      </c>
      <c r="H1701" s="5">
        <f>IFERROR(VLOOKUP(B1701,'[3]new sheet'!$A$1:$IV$65536,2,0),0)</f>
        <v>942</v>
      </c>
    </row>
    <row r="1702" spans="1:8" ht="24" customHeight="1">
      <c r="A1702" s="7">
        <v>5487</v>
      </c>
      <c r="B1702" s="7">
        <v>256</v>
      </c>
      <c r="C1702" s="8" t="s">
        <v>1399</v>
      </c>
      <c r="D1702" s="8" t="s">
        <v>1934</v>
      </c>
      <c r="E1702" s="2">
        <f>IFERROR(VLOOKUP(B1702,'[1]new sheet'!$A$1:$IV$65536,5,FALSE),0)</f>
        <v>15</v>
      </c>
      <c r="F1702" s="3">
        <f>IFERROR(VLOOKUP(B1702,'[1]new sheet'!$A$1:$IV$65536,4,FALSE),0)</f>
        <v>1</v>
      </c>
      <c r="G1702" s="4">
        <f>IFERROR(VLOOKUP(B1702,'[2]new sheet'!$A$1:$IV$65536,2,0),0)</f>
        <v>15</v>
      </c>
      <c r="H1702" s="5">
        <f>IFERROR(VLOOKUP(B1702,'[3]new sheet'!$A$1:$IV$65536,2,0),0)</f>
        <v>6</v>
      </c>
    </row>
    <row r="1703" spans="1:8" ht="24" customHeight="1">
      <c r="A1703" s="7">
        <v>572462</v>
      </c>
      <c r="B1703" s="7">
        <v>162</v>
      </c>
      <c r="C1703" s="8" t="s">
        <v>1400</v>
      </c>
      <c r="D1703" s="8" t="s">
        <v>1937</v>
      </c>
      <c r="E1703" s="2">
        <f>IFERROR(VLOOKUP(B1703,'[1]new sheet'!$A$1:$IV$65536,5,FALSE),0)</f>
        <v>1108</v>
      </c>
      <c r="F1703" s="3">
        <f>IFERROR(VLOOKUP(B1703,'[1]new sheet'!$A$1:$IV$65536,4,FALSE),0)</f>
        <v>40</v>
      </c>
      <c r="G1703" s="4">
        <f>IFERROR(VLOOKUP(B1703,'[2]new sheet'!$A$1:$IV$65536,2,0),0)</f>
        <v>3311</v>
      </c>
      <c r="H1703" s="5">
        <f>IFERROR(VLOOKUP(B1703,'[3]new sheet'!$A$1:$IV$65536,2,0),0)</f>
        <v>1032</v>
      </c>
    </row>
    <row r="1704" spans="1:8" ht="24" customHeight="1">
      <c r="A1704" s="7">
        <v>61540</v>
      </c>
      <c r="B1704" s="7">
        <v>4089</v>
      </c>
      <c r="C1704" s="8" t="s">
        <v>1850</v>
      </c>
      <c r="D1704" s="8" t="s">
        <v>1934</v>
      </c>
      <c r="E1704" s="2">
        <f>IFERROR(VLOOKUP(B1704,'[1]new sheet'!$A$1:$IV$65536,5,FALSE),0)</f>
        <v>0</v>
      </c>
      <c r="F1704" s="3">
        <f>IFERROR(VLOOKUP(B1704,'[1]new sheet'!$A$1:$IV$65536,4,FALSE),0)</f>
        <v>0</v>
      </c>
      <c r="G1704" s="4">
        <f>IFERROR(VLOOKUP(B1704,'[2]new sheet'!$A$1:$IV$65536,2,0),0)</f>
        <v>123</v>
      </c>
      <c r="H1704" s="5">
        <f>IFERROR(VLOOKUP(B1704,'[3]new sheet'!$A$1:$IV$65536,2,0),0)</f>
        <v>1</v>
      </c>
    </row>
    <row r="1705" spans="1:8" ht="24" customHeight="1">
      <c r="A1705" s="7">
        <v>156621</v>
      </c>
      <c r="B1705" s="7">
        <v>160</v>
      </c>
      <c r="C1705" s="8" t="s">
        <v>1851</v>
      </c>
      <c r="D1705" s="8" t="s">
        <v>1934</v>
      </c>
      <c r="E1705" s="2">
        <f>IFERROR(VLOOKUP(B1705,'[1]new sheet'!$A$1:$IV$65536,5,FALSE),0)</f>
        <v>288</v>
      </c>
      <c r="F1705" s="3">
        <f>IFERROR(VLOOKUP(B1705,'[1]new sheet'!$A$1:$IV$65536,4,FALSE),0)</f>
        <v>4</v>
      </c>
      <c r="G1705" s="4">
        <f>IFERROR(VLOOKUP(B1705,'[2]new sheet'!$A$1:$IV$65536,2,0),0)</f>
        <v>151</v>
      </c>
      <c r="H1705" s="5">
        <f>IFERROR(VLOOKUP(B1705,'[3]new sheet'!$A$1:$IV$65536,2,0),0)</f>
        <v>38</v>
      </c>
    </row>
    <row r="1706" spans="1:8" ht="24" customHeight="1">
      <c r="A1706" s="7">
        <v>43868</v>
      </c>
      <c r="B1706" s="7">
        <v>4088</v>
      </c>
      <c r="C1706" s="8" t="s">
        <v>1721</v>
      </c>
      <c r="D1706" s="8" t="s">
        <v>1934</v>
      </c>
      <c r="E1706" s="2">
        <f>IFERROR(VLOOKUP(B1706,'[1]new sheet'!$A$1:$IV$65536,5,FALSE),0)</f>
        <v>0</v>
      </c>
      <c r="F1706" s="3">
        <f>IFERROR(VLOOKUP(B1706,'[1]new sheet'!$A$1:$IV$65536,4,FALSE),0)</f>
        <v>0</v>
      </c>
      <c r="G1706" s="4">
        <f>IFERROR(VLOOKUP(B1706,'[2]new sheet'!$A$1:$IV$65536,2,0),0)</f>
        <v>0</v>
      </c>
      <c r="H1706" s="5">
        <f>IFERROR(VLOOKUP(B1706,'[3]new sheet'!$A$1:$IV$65536,2,0),0)</f>
        <v>0</v>
      </c>
    </row>
    <row r="1707" spans="1:8" ht="24" customHeight="1">
      <c r="A1707" s="7"/>
      <c r="B1707" s="7">
        <v>33</v>
      </c>
      <c r="C1707" s="8" t="s">
        <v>1401</v>
      </c>
      <c r="D1707" s="8" t="s">
        <v>1934</v>
      </c>
      <c r="E1707" s="2">
        <f>IFERROR(VLOOKUP(B1707,'[1]new sheet'!$A$1:$IV$65536,5,FALSE),0)</f>
        <v>0</v>
      </c>
      <c r="F1707" s="3">
        <f>IFERROR(VLOOKUP(B1707,'[1]new sheet'!$A$1:$IV$65536,4,FALSE),0)</f>
        <v>0</v>
      </c>
      <c r="G1707" s="4">
        <f>IFERROR(VLOOKUP(B1707,'[2]new sheet'!$A$1:$IV$65536,2,0),0)</f>
        <v>0</v>
      </c>
      <c r="H1707" s="5">
        <f>IFERROR(VLOOKUP(B1707,'[3]new sheet'!$A$1:$IV$65536,2,0),0)</f>
        <v>0</v>
      </c>
    </row>
    <row r="1708" spans="1:8" ht="24" customHeight="1">
      <c r="A1708" s="7">
        <v>26</v>
      </c>
      <c r="B1708" s="7">
        <v>1748</v>
      </c>
      <c r="C1708" s="8" t="s">
        <v>1402</v>
      </c>
      <c r="D1708" s="8" t="s">
        <v>1934</v>
      </c>
      <c r="E1708" s="2">
        <f>IFERROR(VLOOKUP(B1708,'[1]new sheet'!$A$1:$IV$65536,5,FALSE),0)</f>
        <v>65</v>
      </c>
      <c r="F1708" s="3">
        <f>IFERROR(VLOOKUP(B1708,'[1]new sheet'!$A$1:$IV$65536,4,FALSE),0)</f>
        <v>0</v>
      </c>
      <c r="G1708" s="4">
        <f>IFERROR(VLOOKUP(B1708,'[2]new sheet'!$A$1:$IV$65536,2,0),0)</f>
        <v>16</v>
      </c>
      <c r="H1708" s="5">
        <f>IFERROR(VLOOKUP(B1708,'[3]new sheet'!$A$1:$IV$65536,2,0),0)</f>
        <v>38</v>
      </c>
    </row>
    <row r="1709" spans="1:8" ht="24" customHeight="1">
      <c r="A1709" s="7">
        <v>209</v>
      </c>
      <c r="B1709" s="7">
        <v>1458</v>
      </c>
      <c r="C1709" s="8" t="s">
        <v>1403</v>
      </c>
      <c r="D1709" s="8" t="s">
        <v>1934</v>
      </c>
      <c r="E1709" s="2">
        <f>IFERROR(VLOOKUP(B1709,'[1]new sheet'!$A$1:$IV$65536,5,FALSE),0)</f>
        <v>0</v>
      </c>
      <c r="F1709" s="3">
        <f>IFERROR(VLOOKUP(B1709,'[1]new sheet'!$A$1:$IV$65536,4,FALSE),0)</f>
        <v>0</v>
      </c>
      <c r="G1709" s="4">
        <f>IFERROR(VLOOKUP(B1709,'[2]new sheet'!$A$1:$IV$65536,2,0),0)</f>
        <v>0</v>
      </c>
      <c r="H1709" s="5">
        <f>IFERROR(VLOOKUP(B1709,'[3]new sheet'!$A$1:$IV$65536,2,0),0)</f>
        <v>0</v>
      </c>
    </row>
    <row r="1710" spans="1:8" ht="24" customHeight="1">
      <c r="A1710" s="7"/>
      <c r="B1710" s="7">
        <v>32</v>
      </c>
      <c r="C1710" s="8" t="s">
        <v>1404</v>
      </c>
      <c r="D1710" s="8" t="s">
        <v>1934</v>
      </c>
      <c r="E1710" s="2">
        <f>IFERROR(VLOOKUP(B1710,'[1]new sheet'!$A$1:$IV$65536,5,FALSE),0)</f>
        <v>0</v>
      </c>
      <c r="F1710" s="3">
        <f>IFERROR(VLOOKUP(B1710,'[1]new sheet'!$A$1:$IV$65536,4,FALSE),0)</f>
        <v>0</v>
      </c>
      <c r="G1710" s="4">
        <f>IFERROR(VLOOKUP(B1710,'[2]new sheet'!$A$1:$IV$65536,2,0),0)</f>
        <v>0</v>
      </c>
      <c r="H1710" s="5">
        <f>IFERROR(VLOOKUP(B1710,'[3]new sheet'!$A$1:$IV$65536,2,0),0)</f>
        <v>0</v>
      </c>
    </row>
    <row r="1711" spans="1:8" ht="24" customHeight="1">
      <c r="A1711" s="7">
        <v>1600756</v>
      </c>
      <c r="B1711" s="7">
        <v>726</v>
      </c>
      <c r="C1711" s="8" t="s">
        <v>1405</v>
      </c>
      <c r="D1711" s="8" t="s">
        <v>1934</v>
      </c>
      <c r="E1711" s="2">
        <f>IFERROR(VLOOKUP(B1711,'[1]new sheet'!$A$1:$IV$65536,5,FALSE),0)</f>
        <v>0</v>
      </c>
      <c r="F1711" s="3">
        <f>IFERROR(VLOOKUP(B1711,'[1]new sheet'!$A$1:$IV$65536,4,FALSE),0)</f>
        <v>0</v>
      </c>
      <c r="G1711" s="4">
        <f>IFERROR(VLOOKUP(B1711,'[2]new sheet'!$A$1:$IV$65536,2,0),0)</f>
        <v>0</v>
      </c>
      <c r="H1711" s="5">
        <f>IFERROR(VLOOKUP(B1711,'[3]new sheet'!$A$1:$IV$65536,2,0),0)</f>
        <v>0</v>
      </c>
    </row>
    <row r="1712" spans="1:8" ht="24" customHeight="1">
      <c r="A1712" s="7">
        <v>1600757</v>
      </c>
      <c r="B1712" s="7">
        <v>727</v>
      </c>
      <c r="C1712" s="8" t="s">
        <v>1406</v>
      </c>
      <c r="D1712" s="8" t="s">
        <v>1934</v>
      </c>
      <c r="E1712" s="2">
        <f>IFERROR(VLOOKUP(B1712,'[1]new sheet'!$A$1:$IV$65536,5,FALSE),0)</f>
        <v>0</v>
      </c>
      <c r="F1712" s="3">
        <f>IFERROR(VLOOKUP(B1712,'[1]new sheet'!$A$1:$IV$65536,4,FALSE),0)</f>
        <v>0</v>
      </c>
      <c r="G1712" s="4">
        <f>IFERROR(VLOOKUP(B1712,'[2]new sheet'!$A$1:$IV$65536,2,0),0)</f>
        <v>0</v>
      </c>
      <c r="H1712" s="5">
        <f>IFERROR(VLOOKUP(B1712,'[3]new sheet'!$A$1:$IV$65536,2,0),0)</f>
        <v>0</v>
      </c>
    </row>
    <row r="1713" spans="1:8" ht="24" customHeight="1">
      <c r="A1713" s="7"/>
      <c r="B1713" s="7">
        <v>167</v>
      </c>
      <c r="C1713" s="8" t="s">
        <v>1407</v>
      </c>
      <c r="D1713" s="8" t="s">
        <v>1934</v>
      </c>
      <c r="E1713" s="2">
        <f>IFERROR(VLOOKUP(B1713,'[1]new sheet'!$A$1:$IV$65536,5,FALSE),0)</f>
        <v>0</v>
      </c>
      <c r="F1713" s="3">
        <f>IFERROR(VLOOKUP(B1713,'[1]new sheet'!$A$1:$IV$65536,4,FALSE),0)</f>
        <v>0</v>
      </c>
      <c r="G1713" s="4">
        <f>IFERROR(VLOOKUP(B1713,'[2]new sheet'!$A$1:$IV$65536,2,0),0)</f>
        <v>0</v>
      </c>
      <c r="H1713" s="5">
        <f>IFERROR(VLOOKUP(B1713,'[3]new sheet'!$A$1:$IV$65536,2,0),0)</f>
        <v>0</v>
      </c>
    </row>
    <row r="1714" spans="1:8" ht="24" customHeight="1">
      <c r="A1714" s="7"/>
      <c r="B1714" s="7">
        <v>168</v>
      </c>
      <c r="C1714" s="8" t="s">
        <v>1408</v>
      </c>
      <c r="D1714" s="8" t="s">
        <v>1934</v>
      </c>
      <c r="E1714" s="2">
        <f>IFERROR(VLOOKUP(B1714,'[1]new sheet'!$A$1:$IV$65536,5,FALSE),0)</f>
        <v>0</v>
      </c>
      <c r="F1714" s="3">
        <f>IFERROR(VLOOKUP(B1714,'[1]new sheet'!$A$1:$IV$65536,4,FALSE),0)</f>
        <v>0</v>
      </c>
      <c r="G1714" s="4">
        <f>IFERROR(VLOOKUP(B1714,'[2]new sheet'!$A$1:$IV$65536,2,0),0)</f>
        <v>0</v>
      </c>
      <c r="H1714" s="5">
        <f>IFERROR(VLOOKUP(B1714,'[3]new sheet'!$A$1:$IV$65536,2,0),0)</f>
        <v>0</v>
      </c>
    </row>
    <row r="1715" spans="1:8" ht="24" customHeight="1">
      <c r="A1715" s="7" t="s">
        <v>1409</v>
      </c>
      <c r="B1715" s="7">
        <v>165</v>
      </c>
      <c r="C1715" s="8" t="s">
        <v>1410</v>
      </c>
      <c r="D1715" s="8" t="s">
        <v>1934</v>
      </c>
      <c r="E1715" s="2">
        <f>IFERROR(VLOOKUP(B1715,'[1]new sheet'!$A$1:$IV$65536,5,FALSE),0)</f>
        <v>397</v>
      </c>
      <c r="F1715" s="3">
        <f>IFERROR(VLOOKUP(B1715,'[1]new sheet'!$A$1:$IV$65536,4,FALSE),0)</f>
        <v>5</v>
      </c>
      <c r="G1715" s="4">
        <f>IFERROR(VLOOKUP(B1715,'[2]new sheet'!$A$1:$IV$65536,2,0),0)</f>
        <v>200</v>
      </c>
      <c r="H1715" s="5">
        <f>IFERROR(VLOOKUP(B1715,'[3]new sheet'!$A$1:$IV$65536,2,0),0)</f>
        <v>54</v>
      </c>
    </row>
    <row r="1716" spans="1:8" ht="24" customHeight="1">
      <c r="A1716" s="7" t="s">
        <v>1411</v>
      </c>
      <c r="B1716" s="7">
        <v>166</v>
      </c>
      <c r="C1716" s="8" t="s">
        <v>1412</v>
      </c>
      <c r="D1716" s="8" t="s">
        <v>1934</v>
      </c>
      <c r="E1716" s="2">
        <f>IFERROR(VLOOKUP(B1716,'[1]new sheet'!$A$1:$IV$65536,5,FALSE),0)</f>
        <v>597</v>
      </c>
      <c r="F1716" s="3">
        <f>IFERROR(VLOOKUP(B1716,'[1]new sheet'!$A$1:$IV$65536,4,FALSE),0)</f>
        <v>3</v>
      </c>
      <c r="G1716" s="4">
        <f>IFERROR(VLOOKUP(B1716,'[2]new sheet'!$A$1:$IV$65536,2,0),0)</f>
        <v>269</v>
      </c>
      <c r="H1716" s="5">
        <f>IFERROR(VLOOKUP(B1716,'[3]new sheet'!$A$1:$IV$65536,2,0),0)</f>
        <v>87</v>
      </c>
    </row>
    <row r="1717" spans="1:8" ht="24" customHeight="1">
      <c r="A1717" s="7">
        <v>989854</v>
      </c>
      <c r="B1717" s="7">
        <v>4074</v>
      </c>
      <c r="C1717" s="8" t="s">
        <v>1698</v>
      </c>
      <c r="D1717" s="8" t="s">
        <v>1934</v>
      </c>
      <c r="E1717" s="2">
        <f>IFERROR(VLOOKUP(B1717,'[1]new sheet'!$A$1:$IV$65536,5,FALSE),0)</f>
        <v>1</v>
      </c>
      <c r="F1717" s="3">
        <f>IFERROR(VLOOKUP(B1717,'[1]new sheet'!$A$1:$IV$65536,4,FALSE),0)</f>
        <v>0</v>
      </c>
      <c r="G1717" s="4">
        <f>IFERROR(VLOOKUP(B1717,'[2]new sheet'!$A$1:$IV$65536,2,0),0)</f>
        <v>0</v>
      </c>
      <c r="H1717" s="5">
        <f>IFERROR(VLOOKUP(B1717,'[3]new sheet'!$A$1:$IV$65536,2,0),0)</f>
        <v>1</v>
      </c>
    </row>
    <row r="1718" spans="1:8" ht="24" customHeight="1">
      <c r="A1718" s="7">
        <v>989852</v>
      </c>
      <c r="B1718" s="7">
        <v>4072</v>
      </c>
      <c r="C1718" s="8" t="s">
        <v>1699</v>
      </c>
      <c r="D1718" s="8" t="s">
        <v>1934</v>
      </c>
      <c r="E1718" s="2">
        <f>IFERROR(VLOOKUP(B1718,'[1]new sheet'!$A$1:$IV$65536,5,FALSE),0)</f>
        <v>2</v>
      </c>
      <c r="F1718" s="3">
        <f>IFERROR(VLOOKUP(B1718,'[1]new sheet'!$A$1:$IV$65536,4,FALSE),0)</f>
        <v>0</v>
      </c>
      <c r="G1718" s="4">
        <f>IFERROR(VLOOKUP(B1718,'[2]new sheet'!$A$1:$IV$65536,2,0),0)</f>
        <v>0</v>
      </c>
      <c r="H1718" s="5">
        <f>IFERROR(VLOOKUP(B1718,'[3]new sheet'!$A$1:$IV$65536,2,0),0)</f>
        <v>1</v>
      </c>
    </row>
    <row r="1719" spans="1:8" ht="24" customHeight="1">
      <c r="A1719" s="7">
        <v>989853</v>
      </c>
      <c r="B1719" s="7">
        <v>4073</v>
      </c>
      <c r="C1719" s="8" t="s">
        <v>1700</v>
      </c>
      <c r="D1719" s="8" t="s">
        <v>1934</v>
      </c>
      <c r="E1719" s="2">
        <f>IFERROR(VLOOKUP(B1719,'[1]new sheet'!$A$1:$IV$65536,5,FALSE),0)</f>
        <v>0</v>
      </c>
      <c r="F1719" s="3">
        <f>IFERROR(VLOOKUP(B1719,'[1]new sheet'!$A$1:$IV$65536,4,FALSE),0)</f>
        <v>1</v>
      </c>
      <c r="G1719" s="4">
        <f>IFERROR(VLOOKUP(B1719,'[2]new sheet'!$A$1:$IV$65536,2,0),0)</f>
        <v>0</v>
      </c>
      <c r="H1719" s="5">
        <f>IFERROR(VLOOKUP(B1719,'[3]new sheet'!$A$1:$IV$65536,2,0),0)</f>
        <v>1</v>
      </c>
    </row>
    <row r="1720" spans="1:8" ht="24" customHeight="1">
      <c r="A1720" s="7">
        <v>27150</v>
      </c>
      <c r="B1720" s="7">
        <v>728</v>
      </c>
      <c r="C1720" s="8" t="s">
        <v>1413</v>
      </c>
      <c r="D1720" s="8" t="s">
        <v>1934</v>
      </c>
      <c r="E1720" s="2">
        <f>IFERROR(VLOOKUP(B1720,'[1]new sheet'!$A$1:$IV$65536,5,FALSE),0)</f>
        <v>10</v>
      </c>
      <c r="F1720" s="3">
        <f>IFERROR(VLOOKUP(B1720,'[1]new sheet'!$A$1:$IV$65536,4,FALSE),0)</f>
        <v>0</v>
      </c>
      <c r="G1720" s="4">
        <f>IFERROR(VLOOKUP(B1720,'[2]new sheet'!$A$1:$IV$65536,2,0),0)</f>
        <v>4</v>
      </c>
      <c r="H1720" s="5">
        <f>IFERROR(VLOOKUP(B1720,'[3]new sheet'!$A$1:$IV$65536,2,0),0)</f>
        <v>1</v>
      </c>
    </row>
    <row r="1721" spans="1:8" ht="24" customHeight="1">
      <c r="A1721" s="7">
        <v>27151</v>
      </c>
      <c r="B1721" s="7">
        <v>254</v>
      </c>
      <c r="C1721" s="8" t="s">
        <v>1414</v>
      </c>
      <c r="D1721" s="8" t="s">
        <v>1934</v>
      </c>
      <c r="E1721" s="2">
        <f>IFERROR(VLOOKUP(B1721,'[1]new sheet'!$A$1:$IV$65536,5,FALSE),0)</f>
        <v>9</v>
      </c>
      <c r="F1721" s="3">
        <f>IFERROR(VLOOKUP(B1721,'[1]new sheet'!$A$1:$IV$65536,4,FALSE),0)</f>
        <v>0</v>
      </c>
      <c r="G1721" s="4">
        <f>IFERROR(VLOOKUP(B1721,'[2]new sheet'!$A$1:$IV$65536,2,0),0)</f>
        <v>9</v>
      </c>
      <c r="H1721" s="5">
        <f>IFERROR(VLOOKUP(B1721,'[3]new sheet'!$A$1:$IV$65536,2,0),0)</f>
        <v>0</v>
      </c>
    </row>
    <row r="1722" spans="1:8" ht="24" customHeight="1">
      <c r="A1722" s="7"/>
      <c r="B1722" s="7">
        <v>857</v>
      </c>
      <c r="C1722" s="8" t="s">
        <v>1415</v>
      </c>
      <c r="D1722" s="8" t="s">
        <v>1935</v>
      </c>
      <c r="E1722" s="2">
        <f>IFERROR(VLOOKUP(B1722,'[1]new sheet'!$A$1:$IV$65536,5,FALSE),0)</f>
        <v>0.01</v>
      </c>
      <c r="F1722" s="3">
        <f>IFERROR(VLOOKUP(B1722,'[1]new sheet'!$A$1:$IV$65536,4,FALSE),0)</f>
        <v>0</v>
      </c>
      <c r="G1722" s="4">
        <f>IFERROR(VLOOKUP(B1722,'[2]new sheet'!$A$1:$IV$65536,2,0),0)</f>
        <v>0</v>
      </c>
      <c r="H1722" s="5">
        <f>IFERROR(VLOOKUP(B1722,'[3]new sheet'!$A$1:$IV$65536,2,0),0)</f>
        <v>0</v>
      </c>
    </row>
    <row r="1723" spans="1:8" ht="24" customHeight="1">
      <c r="A1723" s="7"/>
      <c r="B1723" s="7">
        <v>729</v>
      </c>
      <c r="C1723" s="8" t="s">
        <v>1416</v>
      </c>
      <c r="D1723" s="8" t="s">
        <v>1934</v>
      </c>
      <c r="E1723" s="2">
        <f>IFERROR(VLOOKUP(B1723,'[1]new sheet'!$A$1:$IV$65536,5,FALSE),0)</f>
        <v>324</v>
      </c>
      <c r="F1723" s="3">
        <f>IFERROR(VLOOKUP(B1723,'[1]new sheet'!$A$1:$IV$65536,4,FALSE),0)</f>
        <v>4</v>
      </c>
      <c r="G1723" s="4">
        <f>IFERROR(VLOOKUP(B1723,'[2]new sheet'!$A$1:$IV$65536,2,0),0)</f>
        <v>0</v>
      </c>
      <c r="H1723" s="5">
        <f>IFERROR(VLOOKUP(B1723,'[3]new sheet'!$A$1:$IV$65536,2,0),0)</f>
        <v>22</v>
      </c>
    </row>
    <row r="1724" spans="1:8" ht="24" customHeight="1">
      <c r="A1724" s="7">
        <v>13973</v>
      </c>
      <c r="B1724" s="7">
        <v>3786</v>
      </c>
      <c r="C1724" s="8" t="s">
        <v>1541</v>
      </c>
      <c r="D1724" s="8" t="s">
        <v>1934</v>
      </c>
      <c r="E1724" s="2">
        <f>IFERROR(VLOOKUP(B1724,'[1]new sheet'!$A$1:$IV$65536,5,FALSE),0)</f>
        <v>0</v>
      </c>
      <c r="F1724" s="3">
        <f>IFERROR(VLOOKUP(B1724,'[1]new sheet'!$A$1:$IV$65536,4,FALSE),0)</f>
        <v>0</v>
      </c>
      <c r="G1724" s="4">
        <f>IFERROR(VLOOKUP(B1724,'[2]new sheet'!$A$1:$IV$65536,2,0),0)</f>
        <v>0</v>
      </c>
      <c r="H1724" s="5">
        <f>IFERROR(VLOOKUP(B1724,'[3]new sheet'!$A$1:$IV$65536,2,0),0)</f>
        <v>0</v>
      </c>
    </row>
    <row r="1725" spans="1:8" ht="24" customHeight="1">
      <c r="A1725" s="7">
        <v>13973</v>
      </c>
      <c r="B1725" s="7">
        <v>4118</v>
      </c>
      <c r="C1725" s="8" t="s">
        <v>1745</v>
      </c>
      <c r="D1725" s="8" t="s">
        <v>1934</v>
      </c>
      <c r="E1725" s="2">
        <f>IFERROR(VLOOKUP(B1725,'[1]new sheet'!$A$1:$IV$65536,5,FALSE),0)</f>
        <v>0</v>
      </c>
      <c r="F1725" s="3">
        <f>IFERROR(VLOOKUP(B1725,'[1]new sheet'!$A$1:$IV$65536,4,FALSE),0)</f>
        <v>0</v>
      </c>
      <c r="G1725" s="4">
        <f>IFERROR(VLOOKUP(B1725,'[2]new sheet'!$A$1:$IV$65536,2,0),0)</f>
        <v>0</v>
      </c>
      <c r="H1725" s="5">
        <f>IFERROR(VLOOKUP(B1725,'[3]new sheet'!$A$1:$IV$65536,2,0),0)</f>
        <v>0</v>
      </c>
    </row>
    <row r="1726" spans="1:8" ht="24" customHeight="1">
      <c r="A1726" s="7">
        <v>13820</v>
      </c>
      <c r="B1726" s="7">
        <v>2892</v>
      </c>
      <c r="C1726" s="8" t="s">
        <v>1417</v>
      </c>
      <c r="D1726" s="8" t="s">
        <v>1934</v>
      </c>
      <c r="E1726" s="2">
        <f>IFERROR(VLOOKUP(B1726,'[1]new sheet'!$A$1:$IV$65536,5,FALSE),0)</f>
        <v>15</v>
      </c>
      <c r="F1726" s="3">
        <f>IFERROR(VLOOKUP(B1726,'[1]new sheet'!$A$1:$IV$65536,4,FALSE),0)</f>
        <v>0</v>
      </c>
      <c r="G1726" s="4">
        <f>IFERROR(VLOOKUP(B1726,'[2]new sheet'!$A$1:$IV$65536,2,0),0)</f>
        <v>79</v>
      </c>
      <c r="H1726" s="5">
        <f>IFERROR(VLOOKUP(B1726,'[3]new sheet'!$A$1:$IV$65536,2,0),0)</f>
        <v>10</v>
      </c>
    </row>
    <row r="1727" spans="1:8" ht="24" customHeight="1">
      <c r="A1727" s="7">
        <v>1000120</v>
      </c>
      <c r="B1727" s="7">
        <v>730</v>
      </c>
      <c r="C1727" s="8" t="s">
        <v>1418</v>
      </c>
      <c r="D1727" s="8" t="s">
        <v>1934</v>
      </c>
      <c r="E1727" s="2">
        <f>IFERROR(VLOOKUP(B1727,'[1]new sheet'!$A$1:$IV$65536,5,FALSE),0)</f>
        <v>1</v>
      </c>
      <c r="F1727" s="3">
        <f>IFERROR(VLOOKUP(B1727,'[1]new sheet'!$A$1:$IV$65536,4,FALSE),0)</f>
        <v>0</v>
      </c>
      <c r="G1727" s="4">
        <f>IFERROR(VLOOKUP(B1727,'[2]new sheet'!$A$1:$IV$65536,2,0),0)</f>
        <v>48</v>
      </c>
      <c r="H1727" s="5">
        <f>IFERROR(VLOOKUP(B1727,'[3]new sheet'!$A$1:$IV$65536,2,0),0)</f>
        <v>6</v>
      </c>
    </row>
    <row r="1728" spans="1:8" ht="24" customHeight="1">
      <c r="A1728" s="7">
        <v>13188</v>
      </c>
      <c r="B1728" s="7">
        <v>858</v>
      </c>
      <c r="C1728" s="8" t="s">
        <v>1419</v>
      </c>
      <c r="D1728" s="8" t="s">
        <v>1934</v>
      </c>
      <c r="E1728" s="2">
        <f>IFERROR(VLOOKUP(B1728,'[1]new sheet'!$A$1:$IV$65536,5,FALSE),0)</f>
        <v>68</v>
      </c>
      <c r="F1728" s="3">
        <f>IFERROR(VLOOKUP(B1728,'[1]new sheet'!$A$1:$IV$65536,4,FALSE),0)</f>
        <v>6</v>
      </c>
      <c r="G1728" s="4">
        <f>IFERROR(VLOOKUP(B1728,'[2]new sheet'!$A$1:$IV$65536,2,0),0)</f>
        <v>13</v>
      </c>
      <c r="H1728" s="5">
        <f>IFERROR(VLOOKUP(B1728,'[3]new sheet'!$A$1:$IV$65536,2,0),0)</f>
        <v>14</v>
      </c>
    </row>
    <row r="1729" spans="1:8" ht="24" customHeight="1">
      <c r="A1729" s="7">
        <v>197718</v>
      </c>
      <c r="B1729" s="7">
        <v>1410</v>
      </c>
      <c r="C1729" s="8" t="s">
        <v>1420</v>
      </c>
      <c r="D1729" s="8" t="s">
        <v>1934</v>
      </c>
      <c r="E1729" s="2">
        <f>IFERROR(VLOOKUP(B1729,'[1]new sheet'!$A$1:$IV$65536,5,FALSE),0)</f>
        <v>43</v>
      </c>
      <c r="F1729" s="3">
        <f>IFERROR(VLOOKUP(B1729,'[1]new sheet'!$A$1:$IV$65536,4,FALSE),0)</f>
        <v>1</v>
      </c>
      <c r="G1729" s="4">
        <f>IFERROR(VLOOKUP(B1729,'[2]new sheet'!$A$1:$IV$65536,2,0),0)</f>
        <v>30</v>
      </c>
      <c r="H1729" s="5">
        <f>IFERROR(VLOOKUP(B1729,'[3]new sheet'!$A$1:$IV$65536,2,0),0)</f>
        <v>27</v>
      </c>
    </row>
    <row r="1730" spans="1:8" ht="24" customHeight="1">
      <c r="A1730" s="7">
        <v>60614</v>
      </c>
      <c r="B1730" s="7">
        <v>2056</v>
      </c>
      <c r="C1730" s="8" t="s">
        <v>1421</v>
      </c>
      <c r="D1730" s="8" t="s">
        <v>1934</v>
      </c>
      <c r="E1730" s="2">
        <f>IFERROR(VLOOKUP(B1730,'[1]new sheet'!$A$1:$IV$65536,5,FALSE),0)</f>
        <v>0</v>
      </c>
      <c r="F1730" s="3">
        <f>IFERROR(VLOOKUP(B1730,'[1]new sheet'!$A$1:$IV$65536,4,FALSE),0)</f>
        <v>0</v>
      </c>
      <c r="G1730" s="4">
        <f>IFERROR(VLOOKUP(B1730,'[2]new sheet'!$A$1:$IV$65536,2,0),0)</f>
        <v>0</v>
      </c>
      <c r="H1730" s="5">
        <f>IFERROR(VLOOKUP(B1730,'[3]new sheet'!$A$1:$IV$65536,2,0),0)</f>
        <v>0</v>
      </c>
    </row>
    <row r="1731" spans="1:8" ht="24" customHeight="1">
      <c r="A1731" s="7"/>
      <c r="B1731" s="7">
        <v>859</v>
      </c>
      <c r="C1731" s="8" t="s">
        <v>1422</v>
      </c>
      <c r="D1731" s="8" t="s">
        <v>1934</v>
      </c>
      <c r="E1731" s="2">
        <f>IFERROR(VLOOKUP(B1731,'[1]new sheet'!$A$1:$IV$65536,5,FALSE),0)</f>
        <v>0</v>
      </c>
      <c r="F1731" s="3">
        <f>IFERROR(VLOOKUP(B1731,'[1]new sheet'!$A$1:$IV$65536,4,FALSE),0)</f>
        <v>0</v>
      </c>
      <c r="G1731" s="4">
        <f>IFERROR(VLOOKUP(B1731,'[2]new sheet'!$A$1:$IV$65536,2,0),0)</f>
        <v>0</v>
      </c>
      <c r="H1731" s="5">
        <f>IFERROR(VLOOKUP(B1731,'[3]new sheet'!$A$1:$IV$65536,2,0),0)</f>
        <v>0</v>
      </c>
    </row>
    <row r="1732" spans="1:8" ht="24" customHeight="1">
      <c r="A1732" s="7"/>
      <c r="B1732" s="7">
        <v>1938</v>
      </c>
      <c r="C1732" s="8" t="s">
        <v>1423</v>
      </c>
      <c r="D1732" s="8" t="s">
        <v>1934</v>
      </c>
      <c r="E1732" s="2">
        <f>IFERROR(VLOOKUP(B1732,'[1]new sheet'!$A$1:$IV$65536,5,FALSE),0)</f>
        <v>0</v>
      </c>
      <c r="F1732" s="3">
        <f>IFERROR(VLOOKUP(B1732,'[1]new sheet'!$A$1:$IV$65536,4,FALSE),0)</f>
        <v>0</v>
      </c>
      <c r="G1732" s="4">
        <f>IFERROR(VLOOKUP(B1732,'[2]new sheet'!$A$1:$IV$65536,2,0),0)</f>
        <v>0</v>
      </c>
      <c r="H1732" s="5">
        <f>IFERROR(VLOOKUP(B1732,'[3]new sheet'!$A$1:$IV$65536,2,0),0)</f>
        <v>0</v>
      </c>
    </row>
    <row r="1733" spans="1:8" ht="24" customHeight="1">
      <c r="A1733" s="7">
        <v>13668</v>
      </c>
      <c r="B1733" s="7">
        <v>731</v>
      </c>
      <c r="C1733" s="8" t="s">
        <v>1424</v>
      </c>
      <c r="D1733" s="8" t="s">
        <v>1934</v>
      </c>
      <c r="E1733" s="2">
        <f>IFERROR(VLOOKUP(B1733,'[1]new sheet'!$A$1:$IV$65536,5,FALSE),0)</f>
        <v>123</v>
      </c>
      <c r="F1733" s="3">
        <f>IFERROR(VLOOKUP(B1733,'[1]new sheet'!$A$1:$IV$65536,4,FALSE),0)</f>
        <v>2</v>
      </c>
      <c r="G1733" s="4">
        <f>IFERROR(VLOOKUP(B1733,'[2]new sheet'!$A$1:$IV$65536,2,0),0)</f>
        <v>213</v>
      </c>
      <c r="H1733" s="5">
        <f>IFERROR(VLOOKUP(B1733,'[3]new sheet'!$A$1:$IV$65536,2,0),0)</f>
        <v>63</v>
      </c>
    </row>
    <row r="1734" spans="1:8" ht="24" customHeight="1">
      <c r="A1734" s="7">
        <v>14356</v>
      </c>
      <c r="B1734" s="7">
        <v>324</v>
      </c>
      <c r="C1734" s="8" t="s">
        <v>1425</v>
      </c>
      <c r="D1734" s="8" t="s">
        <v>1934</v>
      </c>
      <c r="E1734" s="2">
        <f>IFERROR(VLOOKUP(B1734,'[1]new sheet'!$A$1:$IV$65536,5,FALSE),0)</f>
        <v>60</v>
      </c>
      <c r="F1734" s="3">
        <f>IFERROR(VLOOKUP(B1734,'[1]new sheet'!$A$1:$IV$65536,4,FALSE),0)</f>
        <v>1</v>
      </c>
      <c r="G1734" s="4">
        <f>IFERROR(VLOOKUP(B1734,'[2]new sheet'!$A$1:$IV$65536,2,0),0)</f>
        <v>92</v>
      </c>
      <c r="H1734" s="5">
        <f>IFERROR(VLOOKUP(B1734,'[3]new sheet'!$A$1:$IV$65536,2,0),0)</f>
        <v>33</v>
      </c>
    </row>
    <row r="1735" spans="1:8" ht="24" customHeight="1">
      <c r="A1735" s="7"/>
      <c r="B1735" s="7">
        <v>860</v>
      </c>
      <c r="C1735" s="8" t="s">
        <v>1426</v>
      </c>
      <c r="D1735" s="8" t="s">
        <v>1935</v>
      </c>
      <c r="E1735" s="2">
        <f>IFERROR(VLOOKUP(B1735,'[1]new sheet'!$A$1:$IV$65536,5,FALSE),0)</f>
        <v>0</v>
      </c>
      <c r="F1735" s="3">
        <f>IFERROR(VLOOKUP(B1735,'[1]new sheet'!$A$1:$IV$65536,4,FALSE),0)</f>
        <v>0</v>
      </c>
      <c r="G1735" s="4">
        <f>IFERROR(VLOOKUP(B1735,'[2]new sheet'!$A$1:$IV$65536,2,0),0)</f>
        <v>0</v>
      </c>
      <c r="H1735" s="5">
        <f>IFERROR(VLOOKUP(B1735,'[3]new sheet'!$A$1:$IV$65536,2,0),0)</f>
        <v>0</v>
      </c>
    </row>
    <row r="1736" spans="1:8" ht="24" customHeight="1">
      <c r="A1736" s="7">
        <v>11151</v>
      </c>
      <c r="B1736" s="7">
        <v>861</v>
      </c>
      <c r="C1736" s="8" t="s">
        <v>1427</v>
      </c>
      <c r="D1736" s="8" t="s">
        <v>1934</v>
      </c>
      <c r="E1736" s="2">
        <f>IFERROR(VLOOKUP(B1736,'[1]new sheet'!$A$1:$IV$65536,5,FALSE),0)</f>
        <v>0</v>
      </c>
      <c r="F1736" s="3">
        <f>IFERROR(VLOOKUP(B1736,'[1]new sheet'!$A$1:$IV$65536,4,FALSE),0)</f>
        <v>0</v>
      </c>
      <c r="G1736" s="4">
        <f>IFERROR(VLOOKUP(B1736,'[2]new sheet'!$A$1:$IV$65536,2,0),0)</f>
        <v>0</v>
      </c>
      <c r="H1736" s="5">
        <f>IFERROR(VLOOKUP(B1736,'[3]new sheet'!$A$1:$IV$65536,2,0),0)</f>
        <v>0</v>
      </c>
    </row>
    <row r="1737" spans="1:8" ht="24" customHeight="1">
      <c r="A1737" s="7">
        <v>852274</v>
      </c>
      <c r="B1737" s="7">
        <v>4128</v>
      </c>
      <c r="C1737" s="8" t="s">
        <v>1746</v>
      </c>
      <c r="D1737" s="8" t="s">
        <v>1934</v>
      </c>
      <c r="E1737" s="2">
        <f>IFERROR(VLOOKUP(B1737,'[1]new sheet'!$A$1:$IV$65536,5,FALSE),0)</f>
        <v>0</v>
      </c>
      <c r="F1737" s="3">
        <f>IFERROR(VLOOKUP(B1737,'[1]new sheet'!$A$1:$IV$65536,4,FALSE),0)</f>
        <v>0</v>
      </c>
      <c r="G1737" s="4">
        <f>IFERROR(VLOOKUP(B1737,'[2]new sheet'!$A$1:$IV$65536,2,0),0)</f>
        <v>60</v>
      </c>
      <c r="H1737" s="5">
        <f>IFERROR(VLOOKUP(B1737,'[3]new sheet'!$A$1:$IV$65536,2,0),0)</f>
        <v>0</v>
      </c>
    </row>
    <row r="1738" spans="1:8" ht="24" customHeight="1">
      <c r="A1738" s="7">
        <v>27277</v>
      </c>
      <c r="B1738" s="7">
        <v>253</v>
      </c>
      <c r="C1738" s="8" t="s">
        <v>1428</v>
      </c>
      <c r="D1738" s="8" t="s">
        <v>1934</v>
      </c>
      <c r="E1738" s="2">
        <f>IFERROR(VLOOKUP(B1738,'[1]new sheet'!$A$1:$IV$65536,5,FALSE),0)</f>
        <v>2</v>
      </c>
      <c r="F1738" s="3">
        <f>IFERROR(VLOOKUP(B1738,'[1]new sheet'!$A$1:$IV$65536,4,FALSE),0)</f>
        <v>1</v>
      </c>
      <c r="G1738" s="4">
        <f>IFERROR(VLOOKUP(B1738,'[2]new sheet'!$A$1:$IV$65536,2,0),0)</f>
        <v>2</v>
      </c>
      <c r="H1738" s="5">
        <f>IFERROR(VLOOKUP(B1738,'[3]new sheet'!$A$1:$IV$65536,2,0),0)</f>
        <v>0</v>
      </c>
    </row>
    <row r="1739" spans="1:8" ht="24" customHeight="1">
      <c r="A1739" s="7">
        <v>992385</v>
      </c>
      <c r="B1739" s="7">
        <v>1472</v>
      </c>
      <c r="C1739" s="8" t="s">
        <v>1429</v>
      </c>
      <c r="D1739" s="8" t="s">
        <v>1934</v>
      </c>
      <c r="E1739" s="2">
        <f>IFERROR(VLOOKUP(B1739,'[1]new sheet'!$A$1:$IV$65536,5,FALSE),0)</f>
        <v>0</v>
      </c>
      <c r="F1739" s="3">
        <f>IFERROR(VLOOKUP(B1739,'[1]new sheet'!$A$1:$IV$65536,4,FALSE),0)</f>
        <v>0</v>
      </c>
      <c r="G1739" s="4">
        <f>IFERROR(VLOOKUP(B1739,'[2]new sheet'!$A$1:$IV$65536,2,0),0)</f>
        <v>0</v>
      </c>
      <c r="H1739" s="5">
        <f>IFERROR(VLOOKUP(B1739,'[3]new sheet'!$A$1:$IV$65536,2,0),0)</f>
        <v>0</v>
      </c>
    </row>
    <row r="1740" spans="1:8" ht="24" customHeight="1">
      <c r="A1740" s="7">
        <v>13737</v>
      </c>
      <c r="B1740" s="7">
        <v>3099</v>
      </c>
      <c r="C1740" s="8" t="s">
        <v>1430</v>
      </c>
      <c r="D1740" s="8" t="s">
        <v>1934</v>
      </c>
      <c r="E1740" s="2">
        <f>IFERROR(VLOOKUP(B1740,'[1]new sheet'!$A$1:$IV$65536,5,FALSE),0)</f>
        <v>0</v>
      </c>
      <c r="F1740" s="3">
        <f>IFERROR(VLOOKUP(B1740,'[1]new sheet'!$A$1:$IV$65536,4,FALSE),0)</f>
        <v>0</v>
      </c>
      <c r="G1740" s="4">
        <f>IFERROR(VLOOKUP(B1740,'[2]new sheet'!$A$1:$IV$65536,2,0),0)</f>
        <v>125</v>
      </c>
      <c r="H1740" s="5">
        <f>IFERROR(VLOOKUP(B1740,'[3]new sheet'!$A$1:$IV$65536,2,0),0)</f>
        <v>32</v>
      </c>
    </row>
    <row r="1741" spans="1:8" ht="24" customHeight="1">
      <c r="A1741" s="7">
        <v>993203</v>
      </c>
      <c r="B1741" s="7">
        <v>1608</v>
      </c>
      <c r="C1741" s="8" t="s">
        <v>1431</v>
      </c>
      <c r="D1741" s="8" t="s">
        <v>1934</v>
      </c>
      <c r="E1741" s="2">
        <f>IFERROR(VLOOKUP(B1741,'[1]new sheet'!$A$1:$IV$65536,5,FALSE),0)</f>
        <v>27</v>
      </c>
      <c r="F1741" s="3">
        <f>IFERROR(VLOOKUP(B1741,'[1]new sheet'!$A$1:$IV$65536,4,FALSE),0)</f>
        <v>2</v>
      </c>
      <c r="G1741" s="4">
        <f>IFERROR(VLOOKUP(B1741,'[2]new sheet'!$A$1:$IV$65536,2,0),0)</f>
        <v>33</v>
      </c>
      <c r="H1741" s="5">
        <f>IFERROR(VLOOKUP(B1741,'[3]new sheet'!$A$1:$IV$65536,2,0),0)</f>
        <v>17</v>
      </c>
    </row>
    <row r="1742" spans="1:8" ht="24" customHeight="1">
      <c r="A1742" s="7">
        <v>997322</v>
      </c>
      <c r="B1742" s="7">
        <v>735</v>
      </c>
      <c r="C1742" s="8" t="s">
        <v>1432</v>
      </c>
      <c r="D1742" s="8" t="s">
        <v>1934</v>
      </c>
      <c r="E1742" s="2">
        <f>IFERROR(VLOOKUP(B1742,'[1]new sheet'!$A$1:$IV$65536,5,FALSE),0)</f>
        <v>43</v>
      </c>
      <c r="F1742" s="3">
        <f>IFERROR(VLOOKUP(B1742,'[1]new sheet'!$A$1:$IV$65536,4,FALSE),0)</f>
        <v>2</v>
      </c>
      <c r="G1742" s="4">
        <f>IFERROR(VLOOKUP(B1742,'[2]new sheet'!$A$1:$IV$65536,2,0),0)</f>
        <v>47</v>
      </c>
      <c r="H1742" s="5">
        <f>IFERROR(VLOOKUP(B1742,'[3]new sheet'!$A$1:$IV$65536,2,0),0)</f>
        <v>11</v>
      </c>
    </row>
    <row r="1743" spans="1:8" ht="24" customHeight="1">
      <c r="A1743" s="7">
        <v>996797</v>
      </c>
      <c r="B1743" s="7">
        <v>251</v>
      </c>
      <c r="C1743" s="8" t="s">
        <v>1433</v>
      </c>
      <c r="D1743" s="8" t="s">
        <v>1934</v>
      </c>
      <c r="E1743" s="2">
        <f>IFERROR(VLOOKUP(B1743,'[1]new sheet'!$A$1:$IV$65536,5,FALSE),0)</f>
        <v>82</v>
      </c>
      <c r="F1743" s="3">
        <f>IFERROR(VLOOKUP(B1743,'[1]new sheet'!$A$1:$IV$65536,4,FALSE),0)</f>
        <v>4</v>
      </c>
      <c r="G1743" s="4">
        <f>IFERROR(VLOOKUP(B1743,'[2]new sheet'!$A$1:$IV$65536,2,0),0)</f>
        <v>192</v>
      </c>
      <c r="H1743" s="5">
        <f>IFERROR(VLOOKUP(B1743,'[3]new sheet'!$A$1:$IV$65536,2,0),0)</f>
        <v>68</v>
      </c>
    </row>
    <row r="1744" spans="1:8" ht="24" customHeight="1">
      <c r="A1744" s="7">
        <v>958166</v>
      </c>
      <c r="B1744" s="7">
        <v>734</v>
      </c>
      <c r="C1744" s="8" t="s">
        <v>1434</v>
      </c>
      <c r="D1744" s="8" t="s">
        <v>1934</v>
      </c>
      <c r="E1744" s="2">
        <f>IFERROR(VLOOKUP(B1744,'[1]new sheet'!$A$1:$IV$65536,5,FALSE),0)</f>
        <v>0</v>
      </c>
      <c r="F1744" s="3">
        <f>IFERROR(VLOOKUP(B1744,'[1]new sheet'!$A$1:$IV$65536,4,FALSE),0)</f>
        <v>1</v>
      </c>
      <c r="G1744" s="4">
        <f>IFERROR(VLOOKUP(B1744,'[2]new sheet'!$A$1:$IV$65536,2,0),0)</f>
        <v>30</v>
      </c>
      <c r="H1744" s="5">
        <f>IFERROR(VLOOKUP(B1744,'[3]new sheet'!$A$1:$IV$65536,2,0),0)</f>
        <v>9</v>
      </c>
    </row>
    <row r="1745" spans="1:8" ht="24" customHeight="1">
      <c r="A1745" s="7">
        <v>44168</v>
      </c>
      <c r="B1745" s="7">
        <v>732</v>
      </c>
      <c r="C1745" s="8" t="s">
        <v>1435</v>
      </c>
      <c r="D1745" s="8" t="s">
        <v>1934</v>
      </c>
      <c r="E1745" s="2">
        <f>IFERROR(VLOOKUP(B1745,'[1]new sheet'!$A$1:$IV$65536,5,FALSE),0)</f>
        <v>14</v>
      </c>
      <c r="F1745" s="3">
        <f>IFERROR(VLOOKUP(B1745,'[1]new sheet'!$A$1:$IV$65536,4,FALSE),0)</f>
        <v>0</v>
      </c>
      <c r="G1745" s="4">
        <f>IFERROR(VLOOKUP(B1745,'[2]new sheet'!$A$1:$IV$65536,2,0),0)</f>
        <v>430</v>
      </c>
      <c r="H1745" s="5">
        <f>IFERROR(VLOOKUP(B1745,'[3]new sheet'!$A$1:$IV$65536,2,0),0)</f>
        <v>6</v>
      </c>
    </row>
    <row r="1746" spans="1:8" ht="24" customHeight="1">
      <c r="A1746" s="7">
        <v>577871</v>
      </c>
      <c r="B1746" s="7">
        <v>733</v>
      </c>
      <c r="C1746" s="8" t="s">
        <v>1436</v>
      </c>
      <c r="D1746" s="8" t="s">
        <v>1934</v>
      </c>
      <c r="E1746" s="2">
        <f>IFERROR(VLOOKUP(B1746,'[1]new sheet'!$A$1:$IV$65536,5,FALSE),0)</f>
        <v>113</v>
      </c>
      <c r="F1746" s="3">
        <f>IFERROR(VLOOKUP(B1746,'[1]new sheet'!$A$1:$IV$65536,4,FALSE),0)</f>
        <v>1</v>
      </c>
      <c r="G1746" s="4">
        <f>IFERROR(VLOOKUP(B1746,'[2]new sheet'!$A$1:$IV$65536,2,0),0)</f>
        <v>30</v>
      </c>
      <c r="H1746" s="5">
        <f>IFERROR(VLOOKUP(B1746,'[3]new sheet'!$A$1:$IV$65536,2,0),0)</f>
        <v>51</v>
      </c>
    </row>
    <row r="1747" spans="1:8" ht="24" customHeight="1">
      <c r="A1747" s="7">
        <v>928500</v>
      </c>
      <c r="B1747" s="7">
        <v>252</v>
      </c>
      <c r="C1747" s="8" t="s">
        <v>1437</v>
      </c>
      <c r="D1747" s="8" t="s">
        <v>1934</v>
      </c>
      <c r="E1747" s="2">
        <f>IFERROR(VLOOKUP(B1747,'[1]new sheet'!$A$1:$IV$65536,5,FALSE),0)</f>
        <v>1155</v>
      </c>
      <c r="F1747" s="3">
        <f>IFERROR(VLOOKUP(B1747,'[1]new sheet'!$A$1:$IV$65536,4,FALSE),0)</f>
        <v>10</v>
      </c>
      <c r="G1747" s="4">
        <f>IFERROR(VLOOKUP(B1747,'[2]new sheet'!$A$1:$IV$65536,2,0),0)</f>
        <v>481</v>
      </c>
      <c r="H1747" s="5">
        <f>IFERROR(VLOOKUP(B1747,'[3]new sheet'!$A$1:$IV$65536,2,0),0)</f>
        <v>211</v>
      </c>
    </row>
    <row r="1748" spans="1:8" ht="24" customHeight="1">
      <c r="A1748" s="7">
        <v>989295</v>
      </c>
      <c r="B1748" s="7">
        <v>1101</v>
      </c>
      <c r="C1748" s="8" t="s">
        <v>1755</v>
      </c>
      <c r="D1748" s="8" t="s">
        <v>1934</v>
      </c>
      <c r="E1748" s="2">
        <f>IFERROR(VLOOKUP(B1748,'[1]new sheet'!$A$1:$IV$65536,5,FALSE),0)</f>
        <v>0</v>
      </c>
      <c r="F1748" s="3">
        <f>IFERROR(VLOOKUP(B1748,'[1]new sheet'!$A$1:$IV$65536,4,FALSE),0)</f>
        <v>0</v>
      </c>
      <c r="G1748" s="4">
        <f>IFERROR(VLOOKUP(B1748,'[2]new sheet'!$A$1:$IV$65536,2,0),0)</f>
        <v>0</v>
      </c>
      <c r="H1748" s="5">
        <f>IFERROR(VLOOKUP(B1748,'[3]new sheet'!$A$1:$IV$65536,2,0),0)</f>
        <v>0</v>
      </c>
    </row>
    <row r="1749" spans="1:8" ht="24" customHeight="1">
      <c r="A1749" s="7">
        <v>989588</v>
      </c>
      <c r="B1749" s="7">
        <v>3454</v>
      </c>
      <c r="C1749" s="8" t="s">
        <v>1438</v>
      </c>
      <c r="D1749" s="8" t="s">
        <v>1934</v>
      </c>
      <c r="E1749" s="2">
        <f>IFERROR(VLOOKUP(B1749,'[1]new sheet'!$A$1:$IV$65536,5,FALSE),0)</f>
        <v>0</v>
      </c>
      <c r="F1749" s="3">
        <f>IFERROR(VLOOKUP(B1749,'[1]new sheet'!$A$1:$IV$65536,4,FALSE),0)</f>
        <v>0</v>
      </c>
      <c r="G1749" s="4">
        <f>IFERROR(VLOOKUP(B1749,'[2]new sheet'!$A$1:$IV$65536,2,0),0)</f>
        <v>5</v>
      </c>
      <c r="H1749" s="5">
        <f>IFERROR(VLOOKUP(B1749,'[3]new sheet'!$A$1:$IV$65536,2,0),0)</f>
        <v>0</v>
      </c>
    </row>
    <row r="1750" spans="1:8" ht="24" customHeight="1">
      <c r="A1750" s="7">
        <v>989590</v>
      </c>
      <c r="B1750" s="7">
        <v>3456</v>
      </c>
      <c r="C1750" s="8" t="s">
        <v>1439</v>
      </c>
      <c r="D1750" s="8" t="s">
        <v>1934</v>
      </c>
      <c r="E1750" s="2">
        <f>IFERROR(VLOOKUP(B1750,'[1]new sheet'!$A$1:$IV$65536,5,FALSE),0)</f>
        <v>0</v>
      </c>
      <c r="F1750" s="3">
        <f>IFERROR(VLOOKUP(B1750,'[1]new sheet'!$A$1:$IV$65536,4,FALSE),0)</f>
        <v>0</v>
      </c>
      <c r="G1750" s="4">
        <f>IFERROR(VLOOKUP(B1750,'[2]new sheet'!$A$1:$IV$65536,2,0),0)</f>
        <v>4</v>
      </c>
      <c r="H1750" s="5">
        <f>IFERROR(VLOOKUP(B1750,'[3]new sheet'!$A$1:$IV$65536,2,0),0)</f>
        <v>0</v>
      </c>
    </row>
    <row r="1751" spans="1:8" ht="24" customHeight="1">
      <c r="A1751" s="7">
        <v>989589</v>
      </c>
      <c r="B1751" s="7">
        <v>3455</v>
      </c>
      <c r="C1751" s="8" t="s">
        <v>1440</v>
      </c>
      <c r="D1751" s="8" t="s">
        <v>1934</v>
      </c>
      <c r="E1751" s="2">
        <f>IFERROR(VLOOKUP(B1751,'[1]new sheet'!$A$1:$IV$65536,5,FALSE),0)</f>
        <v>6</v>
      </c>
      <c r="F1751" s="3">
        <f>IFERROR(VLOOKUP(B1751,'[1]new sheet'!$A$1:$IV$65536,4,FALSE),0)</f>
        <v>0</v>
      </c>
      <c r="G1751" s="4">
        <f>IFERROR(VLOOKUP(B1751,'[2]new sheet'!$A$1:$IV$65536,2,0),0)</f>
        <v>4</v>
      </c>
      <c r="H1751" s="5">
        <f>IFERROR(VLOOKUP(B1751,'[3]new sheet'!$A$1:$IV$65536,2,0),0)</f>
        <v>1</v>
      </c>
    </row>
    <row r="1752" spans="1:8" ht="24" customHeight="1">
      <c r="A1752" s="7"/>
      <c r="B1752" s="7">
        <v>862</v>
      </c>
      <c r="C1752" s="8" t="s">
        <v>1441</v>
      </c>
      <c r="D1752" s="8" t="s">
        <v>1934</v>
      </c>
      <c r="E1752" s="2">
        <f>IFERROR(VLOOKUP(B1752,'[1]new sheet'!$A$1:$IV$65536,5,FALSE),0)</f>
        <v>0</v>
      </c>
      <c r="F1752" s="3">
        <f>IFERROR(VLOOKUP(B1752,'[1]new sheet'!$A$1:$IV$65536,4,FALSE),0)</f>
        <v>0</v>
      </c>
      <c r="G1752" s="4">
        <f>IFERROR(VLOOKUP(B1752,'[2]new sheet'!$A$1:$IV$65536,2,0),0)</f>
        <v>0</v>
      </c>
      <c r="H1752" s="5">
        <f>IFERROR(VLOOKUP(B1752,'[3]new sheet'!$A$1:$IV$65536,2,0),0)</f>
        <v>0</v>
      </c>
    </row>
    <row r="1753" spans="1:8" ht="24" customHeight="1">
      <c r="A1753" s="7">
        <v>3002895</v>
      </c>
      <c r="B1753" s="7">
        <v>316</v>
      </c>
      <c r="C1753" s="8" t="s">
        <v>1442</v>
      </c>
      <c r="D1753" s="8" t="s">
        <v>1934</v>
      </c>
      <c r="E1753" s="2">
        <f>IFERROR(VLOOKUP(B1753,'[1]new sheet'!$A$1:$IV$65536,5,FALSE),0)</f>
        <v>0</v>
      </c>
      <c r="F1753" s="3">
        <f>IFERROR(VLOOKUP(B1753,'[1]new sheet'!$A$1:$IV$65536,4,FALSE),0)</f>
        <v>0</v>
      </c>
      <c r="G1753" s="4">
        <f>IFERROR(VLOOKUP(B1753,'[2]new sheet'!$A$1:$IV$65536,2,0),0)</f>
        <v>0</v>
      </c>
      <c r="H1753" s="5">
        <f>IFERROR(VLOOKUP(B1753,'[3]new sheet'!$A$1:$IV$65536,2,0),0)</f>
        <v>0</v>
      </c>
    </row>
    <row r="1754" spans="1:8" ht="24" customHeight="1">
      <c r="A1754" s="7"/>
      <c r="B1754" s="7">
        <v>736</v>
      </c>
      <c r="C1754" s="8" t="s">
        <v>1443</v>
      </c>
      <c r="D1754" s="8" t="s">
        <v>1934</v>
      </c>
      <c r="E1754" s="2">
        <f>IFERROR(VLOOKUP(B1754,'[1]new sheet'!$A$1:$IV$65536,5,FALSE),0)</f>
        <v>0</v>
      </c>
      <c r="F1754" s="3">
        <f>IFERROR(VLOOKUP(B1754,'[1]new sheet'!$A$1:$IV$65536,4,FALSE),0)</f>
        <v>0</v>
      </c>
      <c r="G1754" s="4">
        <f>IFERROR(VLOOKUP(B1754,'[2]new sheet'!$A$1:$IV$65536,2,0),0)</f>
        <v>0</v>
      </c>
      <c r="H1754" s="5">
        <f>IFERROR(VLOOKUP(B1754,'[3]new sheet'!$A$1:$IV$65536,2,0),0)</f>
        <v>0</v>
      </c>
    </row>
    <row r="1755" spans="1:8" ht="24" customHeight="1">
      <c r="A1755" s="7">
        <v>22710</v>
      </c>
      <c r="B1755" s="7">
        <v>317</v>
      </c>
      <c r="C1755" s="8" t="s">
        <v>1444</v>
      </c>
      <c r="D1755" s="8" t="s">
        <v>1934</v>
      </c>
      <c r="E1755" s="2">
        <f>IFERROR(VLOOKUP(B1755,'[1]new sheet'!$A$1:$IV$65536,5,FALSE),0)</f>
        <v>67</v>
      </c>
      <c r="F1755" s="3">
        <f>IFERROR(VLOOKUP(B1755,'[1]new sheet'!$A$1:$IV$65536,4,FALSE),0)</f>
        <v>2</v>
      </c>
      <c r="G1755" s="4">
        <f>IFERROR(VLOOKUP(B1755,'[2]new sheet'!$A$1:$IV$65536,2,0),0)</f>
        <v>25</v>
      </c>
      <c r="H1755" s="5">
        <f>IFERROR(VLOOKUP(B1755,'[3]new sheet'!$A$1:$IV$65536,2,0),0)</f>
        <v>11</v>
      </c>
    </row>
    <row r="1756" spans="1:8" ht="24" customHeight="1">
      <c r="A1756" s="7">
        <v>22328</v>
      </c>
      <c r="B1756" s="7">
        <v>318</v>
      </c>
      <c r="C1756" s="8" t="s">
        <v>1445</v>
      </c>
      <c r="D1756" s="8" t="s">
        <v>1934</v>
      </c>
      <c r="E1756" s="2">
        <f>IFERROR(VLOOKUP(B1756,'[1]new sheet'!$A$1:$IV$65536,5,FALSE),0)</f>
        <v>27</v>
      </c>
      <c r="F1756" s="3">
        <f>IFERROR(VLOOKUP(B1756,'[1]new sheet'!$A$1:$IV$65536,4,FALSE),0)</f>
        <v>1</v>
      </c>
      <c r="G1756" s="4">
        <f>IFERROR(VLOOKUP(B1756,'[2]new sheet'!$A$1:$IV$65536,2,0),0)</f>
        <v>14</v>
      </c>
      <c r="H1756" s="5">
        <f>IFERROR(VLOOKUP(B1756,'[3]new sheet'!$A$1:$IV$65536,2,0),0)</f>
        <v>5</v>
      </c>
    </row>
    <row r="1757" spans="1:8" ht="24" customHeight="1">
      <c r="A1757" s="7">
        <v>22698</v>
      </c>
      <c r="B1757" s="7">
        <v>737</v>
      </c>
      <c r="C1757" s="8" t="s">
        <v>1446</v>
      </c>
      <c r="D1757" s="8" t="s">
        <v>1934</v>
      </c>
      <c r="E1757" s="2">
        <f>IFERROR(VLOOKUP(B1757,'[1]new sheet'!$A$1:$IV$65536,5,FALSE),0)</f>
        <v>129</v>
      </c>
      <c r="F1757" s="3">
        <f>IFERROR(VLOOKUP(B1757,'[1]new sheet'!$A$1:$IV$65536,4,FALSE),0)</f>
        <v>2</v>
      </c>
      <c r="G1757" s="4">
        <f>IFERROR(VLOOKUP(B1757,'[2]new sheet'!$A$1:$IV$65536,2,0),0)</f>
        <v>91</v>
      </c>
      <c r="H1757" s="5">
        <f>IFERROR(VLOOKUP(B1757,'[3]new sheet'!$A$1:$IV$65536,2,0),0)</f>
        <v>38</v>
      </c>
    </row>
    <row r="1758" spans="1:8" ht="24" customHeight="1">
      <c r="A1758" s="7">
        <v>22922</v>
      </c>
      <c r="B1758" s="7">
        <v>738</v>
      </c>
      <c r="C1758" s="8" t="s">
        <v>1447</v>
      </c>
      <c r="D1758" s="8" t="s">
        <v>1934</v>
      </c>
      <c r="E1758" s="2">
        <f>IFERROR(VLOOKUP(B1758,'[1]new sheet'!$A$1:$IV$65536,5,FALSE),0)</f>
        <v>245</v>
      </c>
      <c r="F1758" s="3">
        <f>IFERROR(VLOOKUP(B1758,'[1]new sheet'!$A$1:$IV$65536,4,FALSE),0)</f>
        <v>6</v>
      </c>
      <c r="G1758" s="4">
        <f>IFERROR(VLOOKUP(B1758,'[2]new sheet'!$A$1:$IV$65536,2,0),0)</f>
        <v>149</v>
      </c>
      <c r="H1758" s="5">
        <f>IFERROR(VLOOKUP(B1758,'[3]new sheet'!$A$1:$IV$65536,2,0),0)</f>
        <v>77</v>
      </c>
    </row>
    <row r="1759" spans="1:8" ht="24" customHeight="1">
      <c r="A1759" s="7">
        <v>3000971</v>
      </c>
      <c r="B1759" s="7">
        <v>1979</v>
      </c>
      <c r="C1759" s="8" t="s">
        <v>1448</v>
      </c>
      <c r="D1759" s="8" t="s">
        <v>1934</v>
      </c>
      <c r="E1759" s="2">
        <f>IFERROR(VLOOKUP(B1759,'[1]new sheet'!$A$1:$IV$65536,5,FALSE),0)</f>
        <v>37</v>
      </c>
      <c r="F1759" s="3">
        <f>IFERROR(VLOOKUP(B1759,'[1]new sheet'!$A$1:$IV$65536,4,FALSE),0)</f>
        <v>1</v>
      </c>
      <c r="G1759" s="4">
        <f>IFERROR(VLOOKUP(B1759,'[2]new sheet'!$A$1:$IV$65536,2,0),0)</f>
        <v>32</v>
      </c>
      <c r="H1759" s="5">
        <f>IFERROR(VLOOKUP(B1759,'[3]new sheet'!$A$1:$IV$65536,2,0),0)</f>
        <v>6</v>
      </c>
    </row>
    <row r="1760" spans="1:8" ht="24" customHeight="1">
      <c r="A1760" s="7">
        <v>22920</v>
      </c>
      <c r="B1760" s="7">
        <v>739</v>
      </c>
      <c r="C1760" s="8" t="s">
        <v>1449</v>
      </c>
      <c r="D1760" s="8" t="s">
        <v>1934</v>
      </c>
      <c r="E1760" s="2">
        <f>IFERROR(VLOOKUP(B1760,'[1]new sheet'!$A$1:$IV$65536,5,FALSE),0)</f>
        <v>157</v>
      </c>
      <c r="F1760" s="3">
        <f>IFERROR(VLOOKUP(B1760,'[1]new sheet'!$A$1:$IV$65536,4,FALSE),0)</f>
        <v>3</v>
      </c>
      <c r="G1760" s="4">
        <f>IFERROR(VLOOKUP(B1760,'[2]new sheet'!$A$1:$IV$65536,2,0),0)</f>
        <v>97</v>
      </c>
      <c r="H1760" s="5">
        <f>IFERROR(VLOOKUP(B1760,'[3]new sheet'!$A$1:$IV$65536,2,0),0)</f>
        <v>22</v>
      </c>
    </row>
    <row r="1761" spans="1:8" ht="24" customHeight="1">
      <c r="A1761" s="7">
        <v>22706</v>
      </c>
      <c r="B1761" s="7">
        <v>740</v>
      </c>
      <c r="C1761" s="8" t="s">
        <v>1450</v>
      </c>
      <c r="D1761" s="8" t="s">
        <v>1934</v>
      </c>
      <c r="E1761" s="2">
        <f>IFERROR(VLOOKUP(B1761,'[1]new sheet'!$A$1:$IV$65536,5,FALSE),0)</f>
        <v>153</v>
      </c>
      <c r="F1761" s="3">
        <f>IFERROR(VLOOKUP(B1761,'[1]new sheet'!$A$1:$IV$65536,4,FALSE),0)</f>
        <v>2</v>
      </c>
      <c r="G1761" s="4">
        <f>IFERROR(VLOOKUP(B1761,'[2]new sheet'!$A$1:$IV$65536,2,0),0)</f>
        <v>28</v>
      </c>
      <c r="H1761" s="5">
        <f>IFERROR(VLOOKUP(B1761,'[3]new sheet'!$A$1:$IV$65536,2,0),0)</f>
        <v>19</v>
      </c>
    </row>
    <row r="1762" spans="1:8" ht="24" customHeight="1">
      <c r="A1762" s="7">
        <v>22692</v>
      </c>
      <c r="B1762" s="7">
        <v>741</v>
      </c>
      <c r="C1762" s="8" t="s">
        <v>1451</v>
      </c>
      <c r="D1762" s="8" t="s">
        <v>1934</v>
      </c>
      <c r="E1762" s="2">
        <f>IFERROR(VLOOKUP(B1762,'[1]new sheet'!$A$1:$IV$65536,5,FALSE),0)</f>
        <v>261</v>
      </c>
      <c r="F1762" s="3">
        <f>IFERROR(VLOOKUP(B1762,'[1]new sheet'!$A$1:$IV$65536,4,FALSE),0)</f>
        <v>1</v>
      </c>
      <c r="G1762" s="4">
        <f>IFERROR(VLOOKUP(B1762,'[2]new sheet'!$A$1:$IV$65536,2,0),0)</f>
        <v>79</v>
      </c>
      <c r="H1762" s="5">
        <f>IFERROR(VLOOKUP(B1762,'[3]new sheet'!$A$1:$IV$65536,2,0),0)</f>
        <v>20</v>
      </c>
    </row>
    <row r="1763" spans="1:8" ht="24" customHeight="1">
      <c r="A1763" s="7"/>
      <c r="B1763" s="7">
        <v>319</v>
      </c>
      <c r="C1763" s="8" t="s">
        <v>1452</v>
      </c>
      <c r="D1763" s="8" t="s">
        <v>1934</v>
      </c>
      <c r="E1763" s="2">
        <f>IFERROR(VLOOKUP(B1763,'[1]new sheet'!$A$1:$IV$65536,5,FALSE),0)</f>
        <v>0</v>
      </c>
      <c r="F1763" s="3">
        <f>IFERROR(VLOOKUP(B1763,'[1]new sheet'!$A$1:$IV$65536,4,FALSE),0)</f>
        <v>0</v>
      </c>
      <c r="G1763" s="4">
        <f>IFERROR(VLOOKUP(B1763,'[2]new sheet'!$A$1:$IV$65536,2,0),0)</f>
        <v>0</v>
      </c>
      <c r="H1763" s="5">
        <f>IFERROR(VLOOKUP(B1763,'[3]new sheet'!$A$1:$IV$65536,2,0),0)</f>
        <v>0</v>
      </c>
    </row>
    <row r="1764" spans="1:8" ht="24" customHeight="1">
      <c r="A1764" s="7">
        <v>22330</v>
      </c>
      <c r="B1764" s="7">
        <v>742</v>
      </c>
      <c r="C1764" s="8" t="s">
        <v>1453</v>
      </c>
      <c r="D1764" s="8" t="s">
        <v>1934</v>
      </c>
      <c r="E1764" s="2">
        <f>IFERROR(VLOOKUP(B1764,'[1]new sheet'!$A$1:$IV$65536,5,FALSE),0)</f>
        <v>91</v>
      </c>
      <c r="F1764" s="3">
        <f>IFERROR(VLOOKUP(B1764,'[1]new sheet'!$A$1:$IV$65536,4,FALSE),0)</f>
        <v>3</v>
      </c>
      <c r="G1764" s="4">
        <f>IFERROR(VLOOKUP(B1764,'[2]new sheet'!$A$1:$IV$65536,2,0),0)</f>
        <v>21</v>
      </c>
      <c r="H1764" s="5">
        <f>IFERROR(VLOOKUP(B1764,'[3]new sheet'!$A$1:$IV$65536,2,0),0)</f>
        <v>15</v>
      </c>
    </row>
    <row r="1765" spans="1:8" ht="24" customHeight="1">
      <c r="A1765" s="7">
        <v>22269</v>
      </c>
      <c r="B1765" s="7">
        <v>743</v>
      </c>
      <c r="C1765" s="8" t="s">
        <v>1454</v>
      </c>
      <c r="D1765" s="8" t="s">
        <v>1934</v>
      </c>
      <c r="E1765" s="2">
        <f>IFERROR(VLOOKUP(B1765,'[1]new sheet'!$A$1:$IV$65536,5,FALSE),0)</f>
        <v>370</v>
      </c>
      <c r="F1765" s="3">
        <f>IFERROR(VLOOKUP(B1765,'[1]new sheet'!$A$1:$IV$65536,4,FALSE),0)</f>
        <v>2</v>
      </c>
      <c r="G1765" s="4">
        <f>IFERROR(VLOOKUP(B1765,'[2]new sheet'!$A$1:$IV$65536,2,0),0)</f>
        <v>83</v>
      </c>
      <c r="H1765" s="5">
        <f>IFERROR(VLOOKUP(B1765,'[3]new sheet'!$A$1:$IV$65536,2,0),0)</f>
        <v>17</v>
      </c>
    </row>
    <row r="1766" spans="1:8" ht="24" customHeight="1">
      <c r="A1766" s="7">
        <v>2837</v>
      </c>
      <c r="B1766" s="7">
        <v>744</v>
      </c>
      <c r="C1766" s="8" t="s">
        <v>1455</v>
      </c>
      <c r="D1766" s="8" t="s">
        <v>1934</v>
      </c>
      <c r="E1766" s="2">
        <f>IFERROR(VLOOKUP(B1766,'[1]new sheet'!$A$1:$IV$65536,5,FALSE),0)</f>
        <v>45</v>
      </c>
      <c r="F1766" s="3">
        <f>IFERROR(VLOOKUP(B1766,'[1]new sheet'!$A$1:$IV$65536,4,FALSE),0)</f>
        <v>2</v>
      </c>
      <c r="G1766" s="4">
        <f>IFERROR(VLOOKUP(B1766,'[2]new sheet'!$A$1:$IV$65536,2,0),0)</f>
        <v>20</v>
      </c>
      <c r="H1766" s="5">
        <f>IFERROR(VLOOKUP(B1766,'[3]new sheet'!$A$1:$IV$65536,2,0),0)</f>
        <v>11</v>
      </c>
    </row>
    <row r="1767" spans="1:8" ht="24" customHeight="1">
      <c r="A1767" s="7">
        <v>22271</v>
      </c>
      <c r="B1767" s="7">
        <v>745</v>
      </c>
      <c r="C1767" s="8" t="s">
        <v>1456</v>
      </c>
      <c r="D1767" s="8" t="s">
        <v>1934</v>
      </c>
      <c r="E1767" s="2">
        <f>IFERROR(VLOOKUP(B1767,'[1]new sheet'!$A$1:$IV$65536,5,FALSE),0)</f>
        <v>165</v>
      </c>
      <c r="F1767" s="3">
        <f>IFERROR(VLOOKUP(B1767,'[1]new sheet'!$A$1:$IV$65536,4,FALSE),0)</f>
        <v>1</v>
      </c>
      <c r="G1767" s="4">
        <f>IFERROR(VLOOKUP(B1767,'[2]new sheet'!$A$1:$IV$65536,2,0),0)</f>
        <v>42</v>
      </c>
      <c r="H1767" s="5">
        <f>IFERROR(VLOOKUP(B1767,'[3]new sheet'!$A$1:$IV$65536,2,0),0)</f>
        <v>11</v>
      </c>
    </row>
    <row r="1768" spans="1:8" ht="24" customHeight="1">
      <c r="A1768" s="7">
        <v>22914</v>
      </c>
      <c r="B1768" s="7">
        <v>746</v>
      </c>
      <c r="C1768" s="8" t="s">
        <v>1457</v>
      </c>
      <c r="D1768" s="8" t="s">
        <v>1934</v>
      </c>
      <c r="E1768" s="2">
        <f>IFERROR(VLOOKUP(B1768,'[1]new sheet'!$A$1:$IV$65536,5,FALSE),0)</f>
        <v>157</v>
      </c>
      <c r="F1768" s="3">
        <f>IFERROR(VLOOKUP(B1768,'[1]new sheet'!$A$1:$IV$65536,4,FALSE),0)</f>
        <v>2</v>
      </c>
      <c r="G1768" s="4">
        <f>IFERROR(VLOOKUP(B1768,'[2]new sheet'!$A$1:$IV$65536,2,0),0)</f>
        <v>107</v>
      </c>
      <c r="H1768" s="5">
        <f>IFERROR(VLOOKUP(B1768,'[3]new sheet'!$A$1:$IV$65536,2,0),0)</f>
        <v>63</v>
      </c>
    </row>
    <row r="1769" spans="1:8" ht="24" customHeight="1">
      <c r="A1769" s="7">
        <v>22916</v>
      </c>
      <c r="B1769" s="7">
        <v>747</v>
      </c>
      <c r="C1769" s="8" t="s">
        <v>1458</v>
      </c>
      <c r="D1769" s="8" t="s">
        <v>1934</v>
      </c>
      <c r="E1769" s="2">
        <f>IFERROR(VLOOKUP(B1769,'[1]new sheet'!$A$1:$IV$65536,5,FALSE),0)</f>
        <v>567</v>
      </c>
      <c r="F1769" s="3">
        <f>IFERROR(VLOOKUP(B1769,'[1]new sheet'!$A$1:$IV$65536,4,FALSE),0)</f>
        <v>9</v>
      </c>
      <c r="G1769" s="4">
        <f>IFERROR(VLOOKUP(B1769,'[2]new sheet'!$A$1:$IV$65536,2,0),0)</f>
        <v>234</v>
      </c>
      <c r="H1769" s="5">
        <f>IFERROR(VLOOKUP(B1769,'[3]new sheet'!$A$1:$IV$65536,2,0),0)</f>
        <v>117</v>
      </c>
    </row>
    <row r="1770" spans="1:8" ht="24" customHeight="1">
      <c r="A1770" s="7">
        <v>22911</v>
      </c>
      <c r="B1770" s="7">
        <v>748</v>
      </c>
      <c r="C1770" s="8" t="s">
        <v>1459</v>
      </c>
      <c r="D1770" s="8" t="s">
        <v>1934</v>
      </c>
      <c r="E1770" s="2">
        <f>IFERROR(VLOOKUP(B1770,'[1]new sheet'!$A$1:$IV$65536,5,FALSE),0)</f>
        <v>110</v>
      </c>
      <c r="F1770" s="3">
        <f>IFERROR(VLOOKUP(B1770,'[1]new sheet'!$A$1:$IV$65536,4,FALSE),0)</f>
        <v>4</v>
      </c>
      <c r="G1770" s="4">
        <f>IFERROR(VLOOKUP(B1770,'[2]new sheet'!$A$1:$IV$65536,2,0),0)</f>
        <v>28</v>
      </c>
      <c r="H1770" s="5">
        <f>IFERROR(VLOOKUP(B1770,'[3]new sheet'!$A$1:$IV$65536,2,0),0)</f>
        <v>12</v>
      </c>
    </row>
    <row r="1771" spans="1:8" ht="24" customHeight="1">
      <c r="A1771" s="7">
        <v>22789</v>
      </c>
      <c r="B1771" s="7">
        <v>320</v>
      </c>
      <c r="C1771" s="8" t="s">
        <v>1460</v>
      </c>
      <c r="D1771" s="8" t="s">
        <v>1934</v>
      </c>
      <c r="E1771" s="2">
        <f>IFERROR(VLOOKUP(B1771,'[1]new sheet'!$A$1:$IV$65536,5,FALSE),0)</f>
        <v>100</v>
      </c>
      <c r="F1771" s="3">
        <f>IFERROR(VLOOKUP(B1771,'[1]new sheet'!$A$1:$IV$65536,4,FALSE),0)</f>
        <v>10</v>
      </c>
      <c r="G1771" s="4">
        <f>IFERROR(VLOOKUP(B1771,'[2]new sheet'!$A$1:$IV$65536,2,0),0)</f>
        <v>46</v>
      </c>
      <c r="H1771" s="5">
        <f>IFERROR(VLOOKUP(B1771,'[3]new sheet'!$A$1:$IV$65536,2,0),0)</f>
        <v>15</v>
      </c>
    </row>
    <row r="1772" spans="1:8" ht="24" customHeight="1">
      <c r="A1772" s="7"/>
      <c r="B1772" s="7">
        <v>1517</v>
      </c>
      <c r="C1772" s="8" t="s">
        <v>1461</v>
      </c>
      <c r="D1772" s="8" t="s">
        <v>1934</v>
      </c>
      <c r="E1772" s="2">
        <f>IFERROR(VLOOKUP(B1772,'[1]new sheet'!$A$1:$IV$65536,5,FALSE),0)</f>
        <v>0</v>
      </c>
      <c r="F1772" s="3">
        <f>IFERROR(VLOOKUP(B1772,'[1]new sheet'!$A$1:$IV$65536,4,FALSE),0)</f>
        <v>0</v>
      </c>
      <c r="G1772" s="4">
        <f>IFERROR(VLOOKUP(B1772,'[2]new sheet'!$A$1:$IV$65536,2,0),0)</f>
        <v>0</v>
      </c>
      <c r="H1772" s="5">
        <f>IFERROR(VLOOKUP(B1772,'[3]new sheet'!$A$1:$IV$65536,2,0),0)</f>
        <v>0</v>
      </c>
    </row>
    <row r="1773" spans="1:8" ht="24" customHeight="1">
      <c r="A1773" s="7"/>
      <c r="B1773" s="7">
        <v>321</v>
      </c>
      <c r="C1773" s="8" t="s">
        <v>1462</v>
      </c>
      <c r="D1773" s="8" t="s">
        <v>1934</v>
      </c>
      <c r="E1773" s="2">
        <f>IFERROR(VLOOKUP(B1773,'[1]new sheet'!$A$1:$IV$65536,5,FALSE),0)</f>
        <v>0</v>
      </c>
      <c r="F1773" s="3">
        <f>IFERROR(VLOOKUP(B1773,'[1]new sheet'!$A$1:$IV$65536,4,FALSE),0)</f>
        <v>0</v>
      </c>
      <c r="G1773" s="4">
        <f>IFERROR(VLOOKUP(B1773,'[2]new sheet'!$A$1:$IV$65536,2,0),0)</f>
        <v>0</v>
      </c>
      <c r="H1773" s="5">
        <f>IFERROR(VLOOKUP(B1773,'[3]new sheet'!$A$1:$IV$65536,2,0),0)</f>
        <v>0</v>
      </c>
    </row>
    <row r="1774" spans="1:8" ht="24" customHeight="1">
      <c r="A1774" s="7"/>
      <c r="B1774" s="7">
        <v>749</v>
      </c>
      <c r="C1774" s="8" t="s">
        <v>1463</v>
      </c>
      <c r="D1774" s="8" t="s">
        <v>1934</v>
      </c>
      <c r="E1774" s="2">
        <f>IFERROR(VLOOKUP(B1774,'[1]new sheet'!$A$1:$IV$65536,5,FALSE),0)</f>
        <v>0</v>
      </c>
      <c r="F1774" s="3">
        <f>IFERROR(VLOOKUP(B1774,'[1]new sheet'!$A$1:$IV$65536,4,FALSE),0)</f>
        <v>0</v>
      </c>
      <c r="G1774" s="4">
        <f>IFERROR(VLOOKUP(B1774,'[2]new sheet'!$A$1:$IV$65536,2,0),0)</f>
        <v>0</v>
      </c>
      <c r="H1774" s="5">
        <f>IFERROR(VLOOKUP(B1774,'[3]new sheet'!$A$1:$IV$65536,2,0),0)</f>
        <v>0</v>
      </c>
    </row>
    <row r="1775" spans="1:8" ht="24" customHeight="1">
      <c r="A1775" s="7"/>
      <c r="B1775" s="7">
        <v>1229</v>
      </c>
      <c r="C1775" s="8" t="s">
        <v>1464</v>
      </c>
      <c r="D1775" s="8" t="s">
        <v>1934</v>
      </c>
      <c r="E1775" s="2">
        <f>IFERROR(VLOOKUP(B1775,'[1]new sheet'!$A$1:$IV$65536,5,FALSE),0)</f>
        <v>0</v>
      </c>
      <c r="F1775" s="3">
        <f>IFERROR(VLOOKUP(B1775,'[1]new sheet'!$A$1:$IV$65536,4,FALSE),0)</f>
        <v>0</v>
      </c>
      <c r="G1775" s="4">
        <f>IFERROR(VLOOKUP(B1775,'[2]new sheet'!$A$1:$IV$65536,2,0),0)</f>
        <v>0</v>
      </c>
      <c r="H1775" s="5">
        <f>IFERROR(VLOOKUP(B1775,'[3]new sheet'!$A$1:$IV$65536,2,0),0)</f>
        <v>0</v>
      </c>
    </row>
    <row r="1776" spans="1:8" ht="24" customHeight="1">
      <c r="A1776" s="7">
        <v>995936</v>
      </c>
      <c r="B1776" s="7">
        <v>750</v>
      </c>
      <c r="C1776" s="8" t="s">
        <v>1465</v>
      </c>
      <c r="D1776" s="8" t="s">
        <v>1934</v>
      </c>
      <c r="E1776" s="2">
        <f>IFERROR(VLOOKUP(B1776,'[1]new sheet'!$A$1:$IV$65536,5,FALSE),0)</f>
        <v>30</v>
      </c>
      <c r="F1776" s="3">
        <f>IFERROR(VLOOKUP(B1776,'[1]new sheet'!$A$1:$IV$65536,4,FALSE),0)</f>
        <v>4</v>
      </c>
      <c r="G1776" s="4">
        <f>IFERROR(VLOOKUP(B1776,'[2]new sheet'!$A$1:$IV$65536,2,0),0)</f>
        <v>51</v>
      </c>
      <c r="H1776" s="5">
        <f>IFERROR(VLOOKUP(B1776,'[3]new sheet'!$A$1:$IV$65536,2,0),0)</f>
        <v>20</v>
      </c>
    </row>
    <row r="1777" spans="1:8" ht="24" customHeight="1">
      <c r="A1777" s="7">
        <v>995937</v>
      </c>
      <c r="B1777" s="7">
        <v>250</v>
      </c>
      <c r="C1777" s="8" t="s">
        <v>1466</v>
      </c>
      <c r="D1777" s="8" t="s">
        <v>1934</v>
      </c>
      <c r="E1777" s="2">
        <f>IFERROR(VLOOKUP(B1777,'[1]new sheet'!$A$1:$IV$65536,5,FALSE),0)</f>
        <v>36</v>
      </c>
      <c r="F1777" s="3">
        <f>IFERROR(VLOOKUP(B1777,'[1]new sheet'!$A$1:$IV$65536,4,FALSE),0)</f>
        <v>1</v>
      </c>
      <c r="G1777" s="4">
        <f>IFERROR(VLOOKUP(B1777,'[2]new sheet'!$A$1:$IV$65536,2,0),0)</f>
        <v>67</v>
      </c>
      <c r="H1777" s="5">
        <f>IFERROR(VLOOKUP(B1777,'[3]new sheet'!$A$1:$IV$65536,2,0),0)</f>
        <v>16</v>
      </c>
    </row>
    <row r="1778" spans="1:8" ht="24" customHeight="1">
      <c r="A1778" s="7">
        <v>989925</v>
      </c>
      <c r="B1778" s="7">
        <v>3941</v>
      </c>
      <c r="C1778" s="8" t="s">
        <v>1630</v>
      </c>
      <c r="D1778" s="8" t="s">
        <v>1934</v>
      </c>
      <c r="E1778" s="2">
        <f>IFERROR(VLOOKUP(B1778,'[1]new sheet'!$A$1:$IV$65536,5,FALSE),0)</f>
        <v>39</v>
      </c>
      <c r="F1778" s="3">
        <f>IFERROR(VLOOKUP(B1778,'[1]new sheet'!$A$1:$IV$65536,4,FALSE),0)</f>
        <v>1</v>
      </c>
      <c r="G1778" s="4">
        <f>IFERROR(VLOOKUP(B1778,'[2]new sheet'!$A$1:$IV$65536,2,0),0)</f>
        <v>5</v>
      </c>
      <c r="H1778" s="5">
        <f>IFERROR(VLOOKUP(B1778,'[3]new sheet'!$A$1:$IV$65536,2,0),0)</f>
        <v>6</v>
      </c>
    </row>
    <row r="1779" spans="1:8" ht="24" customHeight="1">
      <c r="A1779" s="7">
        <v>500114</v>
      </c>
      <c r="B1779" s="7">
        <v>249</v>
      </c>
      <c r="C1779" s="8" t="s">
        <v>1467</v>
      </c>
      <c r="D1779" s="8" t="s">
        <v>1934</v>
      </c>
      <c r="E1779" s="2">
        <f>IFERROR(VLOOKUP(B1779,'[1]new sheet'!$A$1:$IV$65536,5,FALSE),0)</f>
        <v>146</v>
      </c>
      <c r="F1779" s="3">
        <f>IFERROR(VLOOKUP(B1779,'[1]new sheet'!$A$1:$IV$65536,4,FALSE),0)</f>
        <v>2</v>
      </c>
      <c r="G1779" s="4">
        <f>IFERROR(VLOOKUP(B1779,'[2]new sheet'!$A$1:$IV$65536,2,0),0)</f>
        <v>270</v>
      </c>
      <c r="H1779" s="5">
        <f>IFERROR(VLOOKUP(B1779,'[3]new sheet'!$A$1:$IV$65536,2,0),0)</f>
        <v>109</v>
      </c>
    </row>
    <row r="1780" spans="1:8" ht="24" customHeight="1">
      <c r="A1780" s="7">
        <v>208909</v>
      </c>
      <c r="B1780" s="7">
        <v>751</v>
      </c>
      <c r="C1780" s="8" t="s">
        <v>1468</v>
      </c>
      <c r="D1780" s="8" t="s">
        <v>1934</v>
      </c>
      <c r="E1780" s="2">
        <f>IFERROR(VLOOKUP(B1780,'[1]new sheet'!$A$1:$IV$65536,5,FALSE),0)</f>
        <v>47</v>
      </c>
      <c r="F1780" s="3">
        <f>IFERROR(VLOOKUP(B1780,'[1]new sheet'!$A$1:$IV$65536,4,FALSE),0)</f>
        <v>1</v>
      </c>
      <c r="G1780" s="4">
        <f>IFERROR(VLOOKUP(B1780,'[2]new sheet'!$A$1:$IV$65536,2,0),0)</f>
        <v>44</v>
      </c>
      <c r="H1780" s="5">
        <f>IFERROR(VLOOKUP(B1780,'[3]new sheet'!$A$1:$IV$65536,2,0),0)</f>
        <v>17</v>
      </c>
    </row>
    <row r="1781" spans="1:8" ht="24" customHeight="1">
      <c r="A1781" s="7">
        <v>691003</v>
      </c>
      <c r="B1781" s="7">
        <v>246</v>
      </c>
      <c r="C1781" s="8" t="s">
        <v>1469</v>
      </c>
      <c r="D1781" s="8" t="s">
        <v>1934</v>
      </c>
      <c r="E1781" s="2">
        <f>IFERROR(VLOOKUP(B1781,'[1]new sheet'!$A$1:$IV$65536,5,FALSE),0)</f>
        <v>141</v>
      </c>
      <c r="F1781" s="3">
        <f>IFERROR(VLOOKUP(B1781,'[1]new sheet'!$A$1:$IV$65536,4,FALSE),0)</f>
        <v>9</v>
      </c>
      <c r="G1781" s="4">
        <f>IFERROR(VLOOKUP(B1781,'[2]new sheet'!$A$1:$IV$65536,2,0),0)</f>
        <v>438</v>
      </c>
      <c r="H1781" s="5">
        <f>IFERROR(VLOOKUP(B1781,'[3]new sheet'!$A$1:$IV$65536,2,0),0)</f>
        <v>155</v>
      </c>
    </row>
    <row r="1782" spans="1:8" ht="24" customHeight="1">
      <c r="A1782" s="7">
        <v>999599</v>
      </c>
      <c r="B1782" s="7">
        <v>752</v>
      </c>
      <c r="C1782" s="8" t="s">
        <v>1470</v>
      </c>
      <c r="D1782" s="8" t="s">
        <v>1934</v>
      </c>
      <c r="E1782" s="2">
        <f>IFERROR(VLOOKUP(B1782,'[1]new sheet'!$A$1:$IV$65536,5,FALSE),0)</f>
        <v>6</v>
      </c>
      <c r="F1782" s="3">
        <f>IFERROR(VLOOKUP(B1782,'[1]new sheet'!$A$1:$IV$65536,4,FALSE),0)</f>
        <v>3</v>
      </c>
      <c r="G1782" s="4">
        <f>IFERROR(VLOOKUP(B1782,'[2]new sheet'!$A$1:$IV$65536,2,0),0)</f>
        <v>43</v>
      </c>
      <c r="H1782" s="5">
        <f>IFERROR(VLOOKUP(B1782,'[3]new sheet'!$A$1:$IV$65536,2,0),0)</f>
        <v>21</v>
      </c>
    </row>
    <row r="1783" spans="1:8" ht="24" customHeight="1">
      <c r="A1783" s="7">
        <v>577898</v>
      </c>
      <c r="B1783" s="7">
        <v>753</v>
      </c>
      <c r="C1783" s="8" t="s">
        <v>1471</v>
      </c>
      <c r="D1783" s="8" t="s">
        <v>1934</v>
      </c>
      <c r="E1783" s="2">
        <f>IFERROR(VLOOKUP(B1783,'[1]new sheet'!$A$1:$IV$65536,5,FALSE),0)</f>
        <v>16</v>
      </c>
      <c r="F1783" s="3">
        <f>IFERROR(VLOOKUP(B1783,'[1]new sheet'!$A$1:$IV$65536,4,FALSE),0)</f>
        <v>1</v>
      </c>
      <c r="G1783" s="4">
        <f>IFERROR(VLOOKUP(B1783,'[2]new sheet'!$A$1:$IV$65536,2,0),0)</f>
        <v>33</v>
      </c>
      <c r="H1783" s="5">
        <f>IFERROR(VLOOKUP(B1783,'[3]new sheet'!$A$1:$IV$65536,2,0),0)</f>
        <v>4</v>
      </c>
    </row>
    <row r="1784" spans="1:8" ht="24" customHeight="1">
      <c r="A1784" s="7">
        <v>688681</v>
      </c>
      <c r="B1784" s="7">
        <v>1898</v>
      </c>
      <c r="C1784" s="8" t="s">
        <v>1472</v>
      </c>
      <c r="D1784" s="8" t="s">
        <v>1935</v>
      </c>
      <c r="E1784" s="2">
        <f>IFERROR(VLOOKUP(B1784,'[1]new sheet'!$A$1:$IV$65536,5,FALSE),0)</f>
        <v>0</v>
      </c>
      <c r="F1784" s="3">
        <f>IFERROR(VLOOKUP(B1784,'[1]new sheet'!$A$1:$IV$65536,4,FALSE),0)</f>
        <v>0</v>
      </c>
      <c r="G1784" s="4">
        <f>IFERROR(VLOOKUP(B1784,'[2]new sheet'!$A$1:$IV$65536,2,0),0)</f>
        <v>0</v>
      </c>
      <c r="H1784" s="5">
        <f>IFERROR(VLOOKUP(B1784,'[3]new sheet'!$A$1:$IV$65536,2,0),0)</f>
        <v>0</v>
      </c>
    </row>
    <row r="1785" spans="1:8" ht="24" customHeight="1">
      <c r="A1785" s="7">
        <v>60355</v>
      </c>
      <c r="B1785" s="7">
        <v>2057</v>
      </c>
      <c r="C1785" s="8" t="s">
        <v>1473</v>
      </c>
      <c r="D1785" s="8" t="s">
        <v>1934</v>
      </c>
      <c r="E1785" s="2">
        <f>IFERROR(VLOOKUP(B1785,'[1]new sheet'!$A$1:$IV$65536,5,FALSE),0)</f>
        <v>0</v>
      </c>
      <c r="F1785" s="3">
        <f>IFERROR(VLOOKUP(B1785,'[1]new sheet'!$A$1:$IV$65536,4,FALSE),0)</f>
        <v>0</v>
      </c>
      <c r="G1785" s="4">
        <f>IFERROR(VLOOKUP(B1785,'[2]new sheet'!$A$1:$IV$65536,2,0),0)</f>
        <v>0</v>
      </c>
      <c r="H1785" s="5">
        <f>IFERROR(VLOOKUP(B1785,'[3]new sheet'!$A$1:$IV$65536,2,0),0)</f>
        <v>0</v>
      </c>
    </row>
    <row r="1786" spans="1:8" ht="24" customHeight="1">
      <c r="A1786" s="7">
        <v>7374</v>
      </c>
      <c r="B1786" s="7">
        <v>247</v>
      </c>
      <c r="C1786" s="8" t="s">
        <v>1474</v>
      </c>
      <c r="D1786" s="8" t="s">
        <v>1935</v>
      </c>
      <c r="E1786" s="2">
        <f>IFERROR(VLOOKUP(B1786,'[1]new sheet'!$A$1:$IV$65536,5,FALSE),0)</f>
        <v>0</v>
      </c>
      <c r="F1786" s="3">
        <f>IFERROR(VLOOKUP(B1786,'[1]new sheet'!$A$1:$IV$65536,4,FALSE),0)</f>
        <v>0</v>
      </c>
      <c r="G1786" s="4">
        <f>IFERROR(VLOOKUP(B1786,'[2]new sheet'!$A$1:$IV$65536,2,0),0)</f>
        <v>0</v>
      </c>
      <c r="H1786" s="5">
        <f>IFERROR(VLOOKUP(B1786,'[3]new sheet'!$A$1:$IV$65536,2,0),0)</f>
        <v>0</v>
      </c>
    </row>
    <row r="1787" spans="1:8" ht="24" customHeight="1">
      <c r="A1787" s="7">
        <v>1093566</v>
      </c>
      <c r="B1787" s="7">
        <v>4179</v>
      </c>
      <c r="C1787" s="8" t="s">
        <v>1827</v>
      </c>
      <c r="D1787" s="8" t="s">
        <v>1934</v>
      </c>
      <c r="E1787" s="2">
        <f>IFERROR(VLOOKUP(B1787,'[1]new sheet'!$A$1:$IV$65536,5,FALSE),0)</f>
        <v>0</v>
      </c>
      <c r="F1787" s="3">
        <f>IFERROR(VLOOKUP(B1787,'[1]new sheet'!$A$1:$IV$65536,4,FALSE),0)</f>
        <v>0</v>
      </c>
      <c r="G1787" s="4">
        <f>IFERROR(VLOOKUP(B1787,'[2]new sheet'!$A$1:$IV$65536,2,0),0)</f>
        <v>26</v>
      </c>
      <c r="H1787" s="5">
        <f>IFERROR(VLOOKUP(B1787,'[3]new sheet'!$A$1:$IV$65536,2,0),0)</f>
        <v>6</v>
      </c>
    </row>
    <row r="1788" spans="1:8" ht="24" customHeight="1">
      <c r="A1788" s="7">
        <v>11064</v>
      </c>
      <c r="B1788" s="7">
        <v>754</v>
      </c>
      <c r="C1788" s="8" t="s">
        <v>1475</v>
      </c>
      <c r="D1788" s="8" t="s">
        <v>1934</v>
      </c>
      <c r="E1788" s="2">
        <f>IFERROR(VLOOKUP(B1788,'[1]new sheet'!$A$1:$IV$65536,5,FALSE),0)</f>
        <v>105</v>
      </c>
      <c r="F1788" s="3">
        <f>IFERROR(VLOOKUP(B1788,'[1]new sheet'!$A$1:$IV$65536,4,FALSE),0)</f>
        <v>0</v>
      </c>
      <c r="G1788" s="4">
        <f>IFERROR(VLOOKUP(B1788,'[2]new sheet'!$A$1:$IV$65536,2,0),0)</f>
        <v>113</v>
      </c>
      <c r="H1788" s="5">
        <f>IFERROR(VLOOKUP(B1788,'[3]new sheet'!$A$1:$IV$65536,2,0),0)</f>
        <v>39</v>
      </c>
    </row>
    <row r="1789" spans="1:8" ht="24" customHeight="1">
      <c r="A1789" s="7">
        <v>134873</v>
      </c>
      <c r="B1789" s="7">
        <v>4126</v>
      </c>
      <c r="C1789" s="8" t="s">
        <v>1747</v>
      </c>
      <c r="D1789" s="8" t="s">
        <v>1934</v>
      </c>
      <c r="E1789" s="2">
        <f>IFERROR(VLOOKUP(B1789,'[1]new sheet'!$A$1:$IV$65536,5,FALSE),0)</f>
        <v>25</v>
      </c>
      <c r="F1789" s="3">
        <f>IFERROR(VLOOKUP(B1789,'[1]new sheet'!$A$1:$IV$65536,4,FALSE),0)</f>
        <v>1</v>
      </c>
      <c r="G1789" s="4">
        <f>IFERROR(VLOOKUP(B1789,'[2]new sheet'!$A$1:$IV$65536,2,0),0)</f>
        <v>25</v>
      </c>
      <c r="H1789" s="5">
        <f>IFERROR(VLOOKUP(B1789,'[3]new sheet'!$A$1:$IV$65536,2,0),0)</f>
        <v>2</v>
      </c>
    </row>
    <row r="1790" spans="1:8" ht="24" customHeight="1">
      <c r="A1790" s="7"/>
      <c r="B1790" s="7">
        <v>2058</v>
      </c>
      <c r="C1790" s="8" t="s">
        <v>1476</v>
      </c>
      <c r="D1790" s="8" t="s">
        <v>1934</v>
      </c>
      <c r="E1790" s="2">
        <f>IFERROR(VLOOKUP(B1790,'[1]new sheet'!$A$1:$IV$65536,5,FALSE),0)</f>
        <v>0</v>
      </c>
      <c r="F1790" s="3">
        <f>IFERROR(VLOOKUP(B1790,'[1]new sheet'!$A$1:$IV$65536,4,FALSE),0)</f>
        <v>0</v>
      </c>
      <c r="G1790" s="4">
        <f>IFERROR(VLOOKUP(B1790,'[2]new sheet'!$A$1:$IV$65536,2,0),0)</f>
        <v>0</v>
      </c>
      <c r="H1790" s="5">
        <f>IFERROR(VLOOKUP(B1790,'[3]new sheet'!$A$1:$IV$65536,2,0),0)</f>
        <v>0</v>
      </c>
    </row>
    <row r="1791" spans="1:8" ht="24" customHeight="1">
      <c r="A1791" s="7">
        <v>996671</v>
      </c>
      <c r="B1791" s="7">
        <v>1900</v>
      </c>
      <c r="C1791" s="8" t="s">
        <v>1477</v>
      </c>
      <c r="D1791" s="8" t="s">
        <v>1935</v>
      </c>
      <c r="E1791" s="2">
        <f>IFERROR(VLOOKUP(B1791,'[1]new sheet'!$A$1:$IV$65536,5,FALSE),0)</f>
        <v>0</v>
      </c>
      <c r="F1791" s="3">
        <f>IFERROR(VLOOKUP(B1791,'[1]new sheet'!$A$1:$IV$65536,4,FALSE),0)</f>
        <v>0</v>
      </c>
      <c r="G1791" s="4">
        <f>IFERROR(VLOOKUP(B1791,'[2]new sheet'!$A$1:$IV$65536,2,0),0)</f>
        <v>0</v>
      </c>
      <c r="H1791" s="5">
        <f>IFERROR(VLOOKUP(B1791,'[3]new sheet'!$A$1:$IV$65536,2,0),0)</f>
        <v>0</v>
      </c>
    </row>
    <row r="1792" spans="1:8" ht="24" customHeight="1">
      <c r="A1792" s="7" t="s">
        <v>1611</v>
      </c>
      <c r="B1792" s="7">
        <v>3924</v>
      </c>
      <c r="C1792" s="8" t="s">
        <v>1612</v>
      </c>
      <c r="D1792" s="8" t="s">
        <v>1934</v>
      </c>
      <c r="E1792" s="2">
        <f>IFERROR(VLOOKUP(B1792,'[1]new sheet'!$A$1:$IV$65536,5,FALSE),0)</f>
        <v>47</v>
      </c>
      <c r="F1792" s="3">
        <f>IFERROR(VLOOKUP(B1792,'[1]new sheet'!$A$1:$IV$65536,4,FALSE),0)</f>
        <v>1</v>
      </c>
      <c r="G1792" s="4">
        <f>IFERROR(VLOOKUP(B1792,'[2]new sheet'!$A$1:$IV$65536,2,0),0)</f>
        <v>5</v>
      </c>
      <c r="H1792" s="5">
        <f>IFERROR(VLOOKUP(B1792,'[3]new sheet'!$A$1:$IV$65536,2,0),0)</f>
        <v>58</v>
      </c>
    </row>
    <row r="1793" spans="1:8" ht="24" customHeight="1">
      <c r="A1793" s="7">
        <v>200</v>
      </c>
      <c r="B1793" s="7">
        <v>755</v>
      </c>
      <c r="C1793" s="8" t="s">
        <v>1478</v>
      </c>
      <c r="D1793" s="8" t="s">
        <v>1938</v>
      </c>
      <c r="E1793" s="2">
        <f>IFERROR(VLOOKUP(B1793,'[1]new sheet'!$A$1:$IV$65536,5,FALSE),0)</f>
        <v>0</v>
      </c>
      <c r="F1793" s="3">
        <f>IFERROR(VLOOKUP(B1793,'[1]new sheet'!$A$1:$IV$65536,4,FALSE),0)</f>
        <v>0</v>
      </c>
      <c r="G1793" s="4">
        <f>IFERROR(VLOOKUP(B1793,'[2]new sheet'!$A$1:$IV$65536,2,0),0)</f>
        <v>0</v>
      </c>
      <c r="H1793" s="5">
        <f>IFERROR(VLOOKUP(B1793,'[3]new sheet'!$A$1:$IV$65536,2,0),0)</f>
        <v>0</v>
      </c>
    </row>
    <row r="1794" spans="1:8" ht="24" customHeight="1">
      <c r="A1794" s="7">
        <v>14</v>
      </c>
      <c r="B1794" s="7">
        <v>756</v>
      </c>
      <c r="C1794" s="8" t="s">
        <v>1479</v>
      </c>
      <c r="D1794" s="8" t="s">
        <v>1934</v>
      </c>
      <c r="E1794" s="2">
        <f>IFERROR(VLOOKUP(B1794,'[1]new sheet'!$A$1:$IV$65536,5,FALSE),0)</f>
        <v>0</v>
      </c>
      <c r="F1794" s="3">
        <f>IFERROR(VLOOKUP(B1794,'[1]new sheet'!$A$1:$IV$65536,4,FALSE),0)</f>
        <v>0</v>
      </c>
      <c r="G1794" s="4">
        <f>IFERROR(VLOOKUP(B1794,'[2]new sheet'!$A$1:$IV$65536,2,0),0)</f>
        <v>20</v>
      </c>
      <c r="H1794" s="5">
        <f>IFERROR(VLOOKUP(B1794,'[3]new sheet'!$A$1:$IV$65536,2,0),0)</f>
        <v>5</v>
      </c>
    </row>
    <row r="1795" spans="1:8" ht="24" customHeight="1">
      <c r="A1795" s="7">
        <v>12</v>
      </c>
      <c r="B1795" s="7">
        <v>757</v>
      </c>
      <c r="C1795" s="8" t="s">
        <v>1480</v>
      </c>
      <c r="D1795" s="8" t="s">
        <v>1938</v>
      </c>
      <c r="E1795" s="2">
        <f>IFERROR(VLOOKUP(B1795,'[1]new sheet'!$A$1:$IV$65536,5,FALSE),0)</f>
        <v>0</v>
      </c>
      <c r="F1795" s="3">
        <f>IFERROR(VLOOKUP(B1795,'[1]new sheet'!$A$1:$IV$65536,4,FALSE),0)</f>
        <v>0</v>
      </c>
      <c r="G1795" s="4">
        <f>IFERROR(VLOOKUP(B1795,'[2]new sheet'!$A$1:$IV$65536,2,0),0)</f>
        <v>181</v>
      </c>
      <c r="H1795" s="5">
        <f>IFERROR(VLOOKUP(B1795,'[3]new sheet'!$A$1:$IV$65536,2,0),0)</f>
        <v>14</v>
      </c>
    </row>
    <row r="1796" spans="1:8" ht="24" customHeight="1">
      <c r="A1796" s="7" t="s">
        <v>1481</v>
      </c>
      <c r="B1796" s="7">
        <v>2002</v>
      </c>
      <c r="C1796" s="8" t="s">
        <v>1482</v>
      </c>
      <c r="D1796" s="8" t="s">
        <v>1935</v>
      </c>
      <c r="E1796" s="2">
        <f>IFERROR(VLOOKUP(B1796,'[1]new sheet'!$A$1:$IV$65536,5,FALSE),0)</f>
        <v>0</v>
      </c>
      <c r="F1796" s="3">
        <f>IFERROR(VLOOKUP(B1796,'[1]new sheet'!$A$1:$IV$65536,4,FALSE),0)</f>
        <v>0</v>
      </c>
      <c r="G1796" s="4">
        <f>IFERROR(VLOOKUP(B1796,'[2]new sheet'!$A$1:$IV$65536,2,0),0)</f>
        <v>0</v>
      </c>
      <c r="H1796" s="5">
        <f>IFERROR(VLOOKUP(B1796,'[3]new sheet'!$A$1:$IV$65536,2,0),0)</f>
        <v>0</v>
      </c>
    </row>
    <row r="1797" spans="1:8" ht="24" customHeight="1">
      <c r="A1797" s="7">
        <v>40400910</v>
      </c>
      <c r="B1797" s="7">
        <v>3118</v>
      </c>
      <c r="C1797" s="8" t="s">
        <v>1483</v>
      </c>
      <c r="D1797" s="8" t="s">
        <v>1935</v>
      </c>
      <c r="E1797" s="2">
        <f>IFERROR(VLOOKUP(B1797,'[1]new sheet'!$A$1:$IV$65536,5,FALSE),0)</f>
        <v>2444.89</v>
      </c>
      <c r="F1797" s="3">
        <f>IFERROR(VLOOKUP(B1797,'[1]new sheet'!$A$1:$IV$65536,4,FALSE),0)</f>
        <v>0</v>
      </c>
      <c r="G1797" s="4">
        <f>IFERROR(VLOOKUP(B1797,'[2]new sheet'!$A$1:$IV$65536,2,0),0)</f>
        <v>170.45</v>
      </c>
      <c r="H1797" s="5">
        <f>IFERROR(VLOOKUP(B1797,'[3]new sheet'!$A$1:$IV$65536,2,0),0)</f>
        <v>21.67</v>
      </c>
    </row>
    <row r="1798" spans="1:8" ht="24" customHeight="1">
      <c r="A1798" s="7">
        <v>15</v>
      </c>
      <c r="B1798" s="7">
        <v>3213</v>
      </c>
      <c r="C1798" s="8" t="s">
        <v>1484</v>
      </c>
      <c r="D1798" s="8" t="s">
        <v>1935</v>
      </c>
      <c r="E1798" s="2">
        <f>IFERROR(VLOOKUP(B1798,'[1]new sheet'!$A$1:$IV$65536,5,FALSE),0)</f>
        <v>0</v>
      </c>
      <c r="F1798" s="3">
        <f>IFERROR(VLOOKUP(B1798,'[1]new sheet'!$A$1:$IV$65536,4,FALSE),0)</f>
        <v>0</v>
      </c>
      <c r="G1798" s="4">
        <f>IFERROR(VLOOKUP(B1798,'[2]new sheet'!$A$1:$IV$65536,2,0),0)</f>
        <v>0</v>
      </c>
      <c r="H1798" s="5">
        <f>IFERROR(VLOOKUP(B1798,'[3]new sheet'!$A$1:$IV$65536,2,0),0)</f>
        <v>0</v>
      </c>
    </row>
    <row r="1799" spans="1:8" ht="24" customHeight="1">
      <c r="A1799" s="7">
        <v>3192015</v>
      </c>
      <c r="B1799" s="7">
        <v>2054</v>
      </c>
      <c r="C1799" s="8" t="s">
        <v>1485</v>
      </c>
      <c r="D1799" s="32" t="s">
        <v>1935</v>
      </c>
      <c r="E1799" s="23">
        <f>IFERROR(VLOOKUP(B1799,'[1]new sheet'!$A$1:$IV$65536,5,FALSE),0)</f>
        <v>0</v>
      </c>
      <c r="F1799" s="3">
        <f>IFERROR(VLOOKUP(B1799,'[1]new sheet'!$A$1:$IV$65536,4,FALSE),0)</f>
        <v>0</v>
      </c>
      <c r="G1799" s="4">
        <f>IFERROR(VLOOKUP(B1799,'[2]new sheet'!$A$1:$IV$65536,2,0),0)</f>
        <v>0</v>
      </c>
      <c r="H1799" s="5">
        <f>IFERROR(VLOOKUP(B1799,'[3]new sheet'!$A$1:$IV$65536,2,0),0)</f>
        <v>0</v>
      </c>
    </row>
    <row r="1800" spans="1:8" ht="24" customHeight="1">
      <c r="A1800" s="24"/>
      <c r="B1800" s="24">
        <v>112</v>
      </c>
      <c r="C1800" s="25" t="s">
        <v>1486</v>
      </c>
      <c r="D1800" s="25" t="s">
        <v>1935</v>
      </c>
      <c r="E1800" s="2">
        <f>IFERROR(VLOOKUP(B1800,'[1]new sheet'!$A$1:$IV$65536,5,FALSE),0)</f>
        <v>0</v>
      </c>
      <c r="F1800" s="3">
        <f>IFERROR(VLOOKUP(B1800,'[1]new sheet'!$A$1:$IV$65536,4,FALSE),0)</f>
        <v>0</v>
      </c>
      <c r="G1800" s="4">
        <f>IFERROR(VLOOKUP(B1800,'[2]new sheet'!$A$1:$IV$65536,2,0),0)</f>
        <v>0</v>
      </c>
      <c r="H1800" s="5">
        <f>IFERROR(VLOOKUP(B1800,'[3]new sheet'!$A$1:$IV$65536,2,0),0)</f>
        <v>0</v>
      </c>
    </row>
    <row r="1801" spans="1:8" ht="24" customHeight="1">
      <c r="A1801" s="7">
        <v>33124</v>
      </c>
      <c r="B1801" s="7">
        <v>3615</v>
      </c>
      <c r="C1801" s="8" t="s">
        <v>1487</v>
      </c>
      <c r="D1801" s="8" t="s">
        <v>1935</v>
      </c>
      <c r="E1801" s="2">
        <f>IFERROR(VLOOKUP(B1801,'[1]new sheet'!$A$1:$IV$65536,5,FALSE),0)</f>
        <v>0</v>
      </c>
      <c r="F1801" s="3">
        <f>IFERROR(VLOOKUP(B1801,'[1]new sheet'!$A$1:$IV$65536,4,FALSE),0)</f>
        <v>0</v>
      </c>
      <c r="G1801" s="4">
        <f>IFERROR(VLOOKUP(B1801,'[2]new sheet'!$A$1:$IV$65536,2,0),0)</f>
        <v>0</v>
      </c>
      <c r="H1801" s="5">
        <f>IFERROR(VLOOKUP(B1801,'[3]new sheet'!$A$1:$IV$65536,2,0),0)</f>
        <v>0</v>
      </c>
    </row>
    <row r="1802" spans="1:8" ht="24" customHeight="1">
      <c r="A1802" s="7">
        <v>221110200</v>
      </c>
      <c r="B1802" s="7">
        <v>4183</v>
      </c>
      <c r="C1802" s="8" t="s">
        <v>1852</v>
      </c>
      <c r="D1802" s="8" t="s">
        <v>1935</v>
      </c>
      <c r="E1802" s="2">
        <f>IFERROR(VLOOKUP(B1802,'[1]new sheet'!$A$1:$IV$65536,5,FALSE),0)</f>
        <v>2890.39</v>
      </c>
      <c r="F1802" s="3">
        <f>IFERROR(VLOOKUP(B1802,'[1]new sheet'!$A$1:$IV$65536,4,FALSE),0)</f>
        <v>20</v>
      </c>
      <c r="G1802" s="4">
        <f>IFERROR(VLOOKUP(B1802,'[2]new sheet'!$A$1:$IV$65536,2,0),0)</f>
        <v>3539.78</v>
      </c>
      <c r="H1802" s="5">
        <f>IFERROR(VLOOKUP(B1802,'[3]new sheet'!$A$1:$IV$65536,2,0),0)</f>
        <v>996.22</v>
      </c>
    </row>
    <row r="1803" spans="1:8" ht="24" customHeight="1">
      <c r="A1803" s="7">
        <v>16</v>
      </c>
      <c r="B1803" s="7">
        <v>910</v>
      </c>
      <c r="C1803" s="8" t="s">
        <v>1488</v>
      </c>
      <c r="D1803" s="8" t="s">
        <v>1935</v>
      </c>
      <c r="E1803" s="2">
        <f>IFERROR(VLOOKUP(B1803,'[1]new sheet'!$A$1:$IV$65536,5,FALSE),0)</f>
        <v>2</v>
      </c>
      <c r="F1803" s="3">
        <f>IFERROR(VLOOKUP(B1803,'[1]new sheet'!$A$1:$IV$65536,4,FALSE),0)</f>
        <v>0</v>
      </c>
      <c r="G1803" s="4">
        <f>IFERROR(VLOOKUP(B1803,'[2]new sheet'!$A$1:$IV$65536,2,0),0)</f>
        <v>0</v>
      </c>
      <c r="H1803" s="5">
        <f>IFERROR(VLOOKUP(B1803,'[3]new sheet'!$A$1:$IV$65536,2,0),0)</f>
        <v>0</v>
      </c>
    </row>
    <row r="1804" spans="1:8" ht="24" customHeight="1">
      <c r="A1804" s="7">
        <v>200042</v>
      </c>
      <c r="B1804" s="7">
        <v>1233</v>
      </c>
      <c r="C1804" s="8" t="s">
        <v>1489</v>
      </c>
      <c r="D1804" s="8" t="s">
        <v>1935</v>
      </c>
      <c r="E1804" s="2">
        <f>IFERROR(VLOOKUP(B1804,'[1]new sheet'!$A$1:$IV$65536,5,FALSE),0)</f>
        <v>0</v>
      </c>
      <c r="F1804" s="3">
        <f>IFERROR(VLOOKUP(B1804,'[1]new sheet'!$A$1:$IV$65536,4,FALSE),0)</f>
        <v>0</v>
      </c>
      <c r="G1804" s="4">
        <f>IFERROR(VLOOKUP(B1804,'[2]new sheet'!$A$1:$IV$65536,2,0),0)</f>
        <v>0</v>
      </c>
      <c r="H1804" s="5">
        <f>IFERROR(VLOOKUP(B1804,'[3]new sheet'!$A$1:$IV$65536,2,0),0)</f>
        <v>0</v>
      </c>
    </row>
    <row r="1805" spans="1:8" ht="24" customHeight="1">
      <c r="A1805" s="7">
        <v>224</v>
      </c>
      <c r="B1805" s="7">
        <v>969</v>
      </c>
      <c r="C1805" s="8" t="s">
        <v>1490</v>
      </c>
      <c r="D1805" s="8" t="s">
        <v>1935</v>
      </c>
      <c r="E1805" s="2">
        <f>IFERROR(VLOOKUP(B1805,'[1]new sheet'!$A$1:$IV$65536,5,FALSE),0)</f>
        <v>0</v>
      </c>
      <c r="F1805" s="3">
        <f>IFERROR(VLOOKUP(B1805,'[1]new sheet'!$A$1:$IV$65536,4,FALSE),0)</f>
        <v>0</v>
      </c>
      <c r="G1805" s="4">
        <f>IFERROR(VLOOKUP(B1805,'[2]new sheet'!$A$1:$IV$65536,2,0),0)</f>
        <v>0</v>
      </c>
      <c r="H1805" s="5">
        <f>IFERROR(VLOOKUP(B1805,'[3]new sheet'!$A$1:$IV$65536,2,0),0)</f>
        <v>0</v>
      </c>
    </row>
    <row r="1806" spans="1:8" ht="24" customHeight="1">
      <c r="A1806" s="7">
        <v>40400910</v>
      </c>
      <c r="B1806" s="7">
        <v>3119</v>
      </c>
      <c r="C1806" s="8" t="s">
        <v>1491</v>
      </c>
      <c r="D1806" s="8" t="s">
        <v>1934</v>
      </c>
      <c r="E1806" s="2">
        <f>IFERROR(VLOOKUP(B1806,'[1]new sheet'!$A$1:$IV$65536,5,FALSE),0)</f>
        <v>14</v>
      </c>
      <c r="F1806" s="3">
        <f>IFERROR(VLOOKUP(B1806,'[1]new sheet'!$A$1:$IV$65536,4,FALSE),0)</f>
        <v>0</v>
      </c>
      <c r="G1806" s="4">
        <f>IFERROR(VLOOKUP(B1806,'[2]new sheet'!$A$1:$IV$65536,2,0),0)</f>
        <v>68</v>
      </c>
      <c r="H1806" s="5">
        <f>IFERROR(VLOOKUP(B1806,'[3]new sheet'!$A$1:$IV$65536,2,0),0)</f>
        <v>19</v>
      </c>
    </row>
    <row r="1807" spans="1:8" ht="24" customHeight="1">
      <c r="A1807" s="7" t="s">
        <v>1492</v>
      </c>
      <c r="B1807" s="7">
        <v>2408</v>
      </c>
      <c r="C1807" s="8" t="s">
        <v>1493</v>
      </c>
      <c r="D1807" s="32" t="s">
        <v>1935</v>
      </c>
      <c r="E1807" s="23">
        <f>IFERROR(VLOOKUP(B1807,'[1]new sheet'!$A$1:$IV$65536,5,FALSE),0)</f>
        <v>0</v>
      </c>
      <c r="F1807" s="3">
        <f>IFERROR(VLOOKUP(B1807,'[1]new sheet'!$A$1:$IV$65536,4,FALSE),0)</f>
        <v>0</v>
      </c>
      <c r="G1807" s="4">
        <f>IFERROR(VLOOKUP(B1807,'[2]new sheet'!$A$1:$IV$65536,2,0),0)</f>
        <v>0</v>
      </c>
      <c r="H1807" s="5">
        <f>IFERROR(VLOOKUP(B1807,'[3]new sheet'!$A$1:$IV$65536,2,0),0)</f>
        <v>0</v>
      </c>
    </row>
    <row r="1808" spans="1:8" ht="24" customHeight="1">
      <c r="A1808" s="24">
        <v>150</v>
      </c>
      <c r="B1808" s="24">
        <v>111</v>
      </c>
      <c r="C1808" s="25" t="s">
        <v>1494</v>
      </c>
      <c r="D1808" s="25" t="s">
        <v>1934</v>
      </c>
      <c r="E1808" s="2">
        <f>IFERROR(VLOOKUP(B1808,'[1]new sheet'!$A$1:$IV$65536,5,FALSE),0)</f>
        <v>0</v>
      </c>
      <c r="F1808" s="3">
        <f>IFERROR(VLOOKUP(B1808,'[1]new sheet'!$A$1:$IV$65536,4,FALSE),0)</f>
        <v>0</v>
      </c>
      <c r="G1808" s="4">
        <f>IFERROR(VLOOKUP(B1808,'[2]new sheet'!$A$1:$IV$65536,2,0),0)</f>
        <v>18</v>
      </c>
      <c r="H1808" s="5">
        <f>IFERROR(VLOOKUP(B1808,'[3]new sheet'!$A$1:$IV$65536,2,0),0)</f>
        <v>0</v>
      </c>
    </row>
    <row r="1809" spans="1:8" ht="24" customHeight="1">
      <c r="A1809" s="7" t="s">
        <v>1495</v>
      </c>
      <c r="B1809" s="7">
        <v>1492</v>
      </c>
      <c r="C1809" s="8" t="s">
        <v>1496</v>
      </c>
      <c r="D1809" s="8" t="s">
        <v>1934</v>
      </c>
      <c r="E1809" s="2">
        <f>IFERROR(VLOOKUP(B1809,'[1]new sheet'!$A$1:$IV$65536,5,FALSE),0)</f>
        <v>0</v>
      </c>
      <c r="F1809" s="3">
        <f>IFERROR(VLOOKUP(B1809,'[1]new sheet'!$A$1:$IV$65536,4,FALSE),0)</f>
        <v>0</v>
      </c>
      <c r="G1809" s="4">
        <f>IFERROR(VLOOKUP(B1809,'[2]new sheet'!$A$1:$IV$65536,2,0),0)</f>
        <v>0</v>
      </c>
      <c r="H1809" s="5">
        <f>IFERROR(VLOOKUP(B1809,'[3]new sheet'!$A$1:$IV$65536,2,0),0)</f>
        <v>0</v>
      </c>
    </row>
    <row r="1810" spans="1:8" ht="24" customHeight="1">
      <c r="A1810" s="7" t="s">
        <v>1497</v>
      </c>
      <c r="B1810" s="7">
        <v>874</v>
      </c>
      <c r="C1810" s="8" t="s">
        <v>1498</v>
      </c>
      <c r="D1810" s="8" t="s">
        <v>1934</v>
      </c>
      <c r="E1810" s="2">
        <f>IFERROR(VLOOKUP(B1810,'[1]new sheet'!$A$1:$IV$65536,5,FALSE),0)</f>
        <v>0</v>
      </c>
      <c r="F1810" s="3">
        <f>IFERROR(VLOOKUP(B1810,'[1]new sheet'!$A$1:$IV$65536,4,FALSE),0)</f>
        <v>0</v>
      </c>
      <c r="G1810" s="4">
        <f>IFERROR(VLOOKUP(B1810,'[2]new sheet'!$A$1:$IV$65536,2,0),0)</f>
        <v>0</v>
      </c>
      <c r="H1810" s="5">
        <f>IFERROR(VLOOKUP(B1810,'[3]new sheet'!$A$1:$IV$65536,2,0),0)</f>
        <v>0</v>
      </c>
    </row>
    <row r="1811" spans="1:8" ht="24" customHeight="1">
      <c r="A1811" s="7">
        <v>174</v>
      </c>
      <c r="B1811" s="7">
        <v>758</v>
      </c>
      <c r="C1811" s="8" t="s">
        <v>1499</v>
      </c>
      <c r="D1811" s="8" t="s">
        <v>1934</v>
      </c>
      <c r="E1811" s="2">
        <f>IFERROR(VLOOKUP(B1811,'[1]new sheet'!$A$1:$IV$65536,5,FALSE),0)</f>
        <v>0</v>
      </c>
      <c r="F1811" s="3">
        <f>IFERROR(VLOOKUP(B1811,'[1]new sheet'!$A$1:$IV$65536,4,FALSE),0)</f>
        <v>0</v>
      </c>
      <c r="G1811" s="4">
        <f>IFERROR(VLOOKUP(B1811,'[2]new sheet'!$A$1:$IV$65536,2,0),0)</f>
        <v>0</v>
      </c>
      <c r="H1811" s="5">
        <f>IFERROR(VLOOKUP(B1811,'[3]new sheet'!$A$1:$IV$65536,2,0),0)</f>
        <v>0</v>
      </c>
    </row>
    <row r="1812" spans="1:8" ht="24" customHeight="1">
      <c r="A1812" s="7">
        <v>0</v>
      </c>
      <c r="B1812" s="7">
        <v>221</v>
      </c>
      <c r="C1812" s="8" t="s">
        <v>1500</v>
      </c>
      <c r="D1812" s="8" t="s">
        <v>1934</v>
      </c>
      <c r="E1812" s="2">
        <f>IFERROR(VLOOKUP(B1812,'[1]new sheet'!$A$1:$IV$65536,5,FALSE),0)</f>
        <v>0</v>
      </c>
      <c r="F1812" s="3">
        <f>IFERROR(VLOOKUP(B1812,'[1]new sheet'!$A$1:$IV$65536,4,FALSE),0)</f>
        <v>0</v>
      </c>
      <c r="G1812" s="4">
        <f>IFERROR(VLOOKUP(B1812,'[2]new sheet'!$A$1:$IV$65536,2,0),0)</f>
        <v>0</v>
      </c>
      <c r="H1812" s="5">
        <f>IFERROR(VLOOKUP(B1812,'[3]new sheet'!$A$1:$IV$65536,2,0),0)</f>
        <v>0</v>
      </c>
    </row>
    <row r="1813" spans="1:8" ht="24" customHeight="1">
      <c r="A1813" s="7">
        <v>48334</v>
      </c>
      <c r="B1813" s="7">
        <v>3641</v>
      </c>
      <c r="C1813" s="8" t="s">
        <v>1501</v>
      </c>
      <c r="D1813" s="8" t="s">
        <v>1934</v>
      </c>
      <c r="E1813" s="2">
        <f>IFERROR(VLOOKUP(B1813,'[1]new sheet'!$A$1:$IV$65536,5,FALSE),0)</f>
        <v>5</v>
      </c>
      <c r="F1813" s="3">
        <f>IFERROR(VLOOKUP(B1813,'[1]new sheet'!$A$1:$IV$65536,4,FALSE),0)</f>
        <v>0</v>
      </c>
      <c r="G1813" s="4">
        <f>IFERROR(VLOOKUP(B1813,'[2]new sheet'!$A$1:$IV$65536,2,0),0)</f>
        <v>3</v>
      </c>
      <c r="H1813" s="5">
        <f>IFERROR(VLOOKUP(B1813,'[3]new sheet'!$A$1:$IV$65536,2,0),0)</f>
        <v>1</v>
      </c>
    </row>
    <row r="1814" spans="1:8" ht="24" customHeight="1">
      <c r="A1814" s="7">
        <v>48335</v>
      </c>
      <c r="B1814" s="7">
        <v>759</v>
      </c>
      <c r="C1814" s="8" t="s">
        <v>1502</v>
      </c>
      <c r="D1814" s="8" t="s">
        <v>1934</v>
      </c>
      <c r="E1814" s="2">
        <f>IFERROR(VLOOKUP(B1814,'[1]new sheet'!$A$1:$IV$65536,5,FALSE),0)</f>
        <v>41</v>
      </c>
      <c r="F1814" s="3">
        <f>IFERROR(VLOOKUP(B1814,'[1]new sheet'!$A$1:$IV$65536,4,FALSE),0)</f>
        <v>0</v>
      </c>
      <c r="G1814" s="4">
        <f>IFERROR(VLOOKUP(B1814,'[2]new sheet'!$A$1:$IV$65536,2,0),0)</f>
        <v>42</v>
      </c>
      <c r="H1814" s="5">
        <f>IFERROR(VLOOKUP(B1814,'[3]new sheet'!$A$1:$IV$65536,2,0),0)</f>
        <v>13</v>
      </c>
    </row>
    <row r="1815" spans="1:8" ht="24" customHeight="1">
      <c r="A1815" s="7">
        <v>51915</v>
      </c>
      <c r="B1815" s="7">
        <v>223</v>
      </c>
      <c r="C1815" s="8" t="s">
        <v>1503</v>
      </c>
      <c r="D1815" s="8" t="s">
        <v>1934</v>
      </c>
      <c r="E1815" s="2">
        <f>IFERROR(VLOOKUP(B1815,'[1]new sheet'!$A$1:$IV$65536,5,FALSE),0)</f>
        <v>67</v>
      </c>
      <c r="F1815" s="3">
        <f>IFERROR(VLOOKUP(B1815,'[1]new sheet'!$A$1:$IV$65536,4,FALSE),0)</f>
        <v>3</v>
      </c>
      <c r="G1815" s="4">
        <f>IFERROR(VLOOKUP(B1815,'[2]new sheet'!$A$1:$IV$65536,2,0),0)</f>
        <v>57</v>
      </c>
      <c r="H1815" s="5">
        <f>IFERROR(VLOOKUP(B1815,'[3]new sheet'!$A$1:$IV$65536,2,0),0)</f>
        <v>18</v>
      </c>
    </row>
    <row r="1816" spans="1:8" ht="24" customHeight="1">
      <c r="A1816" s="7">
        <v>49495</v>
      </c>
      <c r="B1816" s="7">
        <v>222</v>
      </c>
      <c r="C1816" s="8" t="s">
        <v>1504</v>
      </c>
      <c r="D1816" s="8" t="s">
        <v>1934</v>
      </c>
      <c r="E1816" s="2">
        <f>IFERROR(VLOOKUP(B1816,'[1]new sheet'!$A$1:$IV$65536,5,FALSE),0)</f>
        <v>53</v>
      </c>
      <c r="F1816" s="3">
        <f>IFERROR(VLOOKUP(B1816,'[1]new sheet'!$A$1:$IV$65536,4,FALSE),0)</f>
        <v>0</v>
      </c>
      <c r="G1816" s="4">
        <f>IFERROR(VLOOKUP(B1816,'[2]new sheet'!$A$1:$IV$65536,2,0),0)</f>
        <v>39</v>
      </c>
      <c r="H1816" s="5">
        <f>IFERROR(VLOOKUP(B1816,'[3]new sheet'!$A$1:$IV$65536,2,0),0)</f>
        <v>9</v>
      </c>
    </row>
    <row r="1817" spans="1:8" ht="24" customHeight="1">
      <c r="A1817" s="7"/>
      <c r="B1817" s="7">
        <v>163</v>
      </c>
      <c r="C1817" s="8" t="s">
        <v>1505</v>
      </c>
      <c r="D1817" s="8" t="s">
        <v>1934</v>
      </c>
      <c r="E1817" s="2">
        <f>IFERROR(VLOOKUP(B1817,'[1]new sheet'!$A$1:$IV$65536,5,FALSE),0)</f>
        <v>0</v>
      </c>
      <c r="F1817" s="3">
        <f>IFERROR(VLOOKUP(B1817,'[1]new sheet'!$A$1:$IV$65536,4,FALSE),0)</f>
        <v>0</v>
      </c>
      <c r="G1817" s="4">
        <f>IFERROR(VLOOKUP(B1817,'[2]new sheet'!$A$1:$IV$65536,2,0),0)</f>
        <v>0</v>
      </c>
      <c r="H1817" s="5">
        <f>IFERROR(VLOOKUP(B1817,'[3]new sheet'!$A$1:$IV$65536,2,0),0)</f>
        <v>0</v>
      </c>
    </row>
    <row r="1818" spans="1:8" ht="24" customHeight="1">
      <c r="A1818" s="7"/>
      <c r="B1818" s="7">
        <v>760</v>
      </c>
      <c r="C1818" s="8" t="s">
        <v>1506</v>
      </c>
      <c r="D1818" s="8" t="s">
        <v>1934</v>
      </c>
      <c r="E1818" s="2">
        <f>IFERROR(VLOOKUP(B1818,'[1]new sheet'!$A$1:$IV$65536,5,FALSE),0)</f>
        <v>0</v>
      </c>
      <c r="F1818" s="3">
        <f>IFERROR(VLOOKUP(B1818,'[1]new sheet'!$A$1:$IV$65536,4,FALSE),0)</f>
        <v>0</v>
      </c>
      <c r="G1818" s="4">
        <f>IFERROR(VLOOKUP(B1818,'[2]new sheet'!$A$1:$IV$65536,2,0),0)</f>
        <v>0</v>
      </c>
      <c r="H1818" s="5">
        <f>IFERROR(VLOOKUP(B1818,'[3]new sheet'!$A$1:$IV$65536,2,0),0)</f>
        <v>0</v>
      </c>
    </row>
    <row r="1819" spans="1:8" ht="24" customHeight="1">
      <c r="A1819" s="7"/>
      <c r="B1819" s="7">
        <v>164</v>
      </c>
      <c r="C1819" s="8" t="s">
        <v>1507</v>
      </c>
      <c r="D1819" s="8" t="s">
        <v>1934</v>
      </c>
      <c r="E1819" s="2">
        <f>IFERROR(VLOOKUP(B1819,'[1]new sheet'!$A$1:$IV$65536,5,FALSE),0)</f>
        <v>0</v>
      </c>
      <c r="F1819" s="3">
        <f>IFERROR(VLOOKUP(B1819,'[1]new sheet'!$A$1:$IV$65536,4,FALSE),0)</f>
        <v>0</v>
      </c>
      <c r="G1819" s="4">
        <f>IFERROR(VLOOKUP(B1819,'[2]new sheet'!$A$1:$IV$65536,2,0),0)</f>
        <v>0</v>
      </c>
      <c r="H1819" s="5">
        <f>IFERROR(VLOOKUP(B1819,'[3]new sheet'!$A$1:$IV$65536,2,0),0)</f>
        <v>0</v>
      </c>
    </row>
    <row r="1820" spans="1:8" ht="24" customHeight="1">
      <c r="A1820" s="7"/>
      <c r="B1820" s="7">
        <v>761</v>
      </c>
      <c r="C1820" s="8" t="s">
        <v>1508</v>
      </c>
      <c r="D1820" s="8" t="s">
        <v>1934</v>
      </c>
      <c r="E1820" s="2">
        <f>IFERROR(VLOOKUP(B1820,'[1]new sheet'!$A$1:$IV$65536,5,FALSE),0)</f>
        <v>0</v>
      </c>
      <c r="F1820" s="3">
        <f>IFERROR(VLOOKUP(B1820,'[1]new sheet'!$A$1:$IV$65536,4,FALSE),0)</f>
        <v>0</v>
      </c>
      <c r="G1820" s="4">
        <f>IFERROR(VLOOKUP(B1820,'[2]new sheet'!$A$1:$IV$65536,2,0),0)</f>
        <v>0</v>
      </c>
      <c r="H1820" s="5">
        <f>IFERROR(VLOOKUP(B1820,'[3]new sheet'!$A$1:$IV$65536,2,0),0)</f>
        <v>0</v>
      </c>
    </row>
    <row r="1821" spans="1:8" ht="24" customHeight="1">
      <c r="A1821" s="7"/>
      <c r="B1821" s="7">
        <v>762</v>
      </c>
      <c r="C1821" s="8" t="s">
        <v>1509</v>
      </c>
      <c r="D1821" s="8" t="s">
        <v>1934</v>
      </c>
      <c r="E1821" s="2">
        <f>IFERROR(VLOOKUP(B1821,'[1]new sheet'!$A$1:$IV$65536,5,FALSE),0)</f>
        <v>0</v>
      </c>
      <c r="F1821" s="3">
        <f>IFERROR(VLOOKUP(B1821,'[1]new sheet'!$A$1:$IV$65536,4,FALSE),0)</f>
        <v>0</v>
      </c>
      <c r="G1821" s="4">
        <f>IFERROR(VLOOKUP(B1821,'[2]new sheet'!$A$1:$IV$65536,2,0),0)</f>
        <v>0</v>
      </c>
      <c r="H1821" s="5">
        <f>IFERROR(VLOOKUP(B1821,'[3]new sheet'!$A$1:$IV$65536,2,0),0)</f>
        <v>0</v>
      </c>
    </row>
    <row r="1822" spans="1:8" ht="24" customHeight="1">
      <c r="A1822" s="7"/>
      <c r="B1822" s="7">
        <v>1565</v>
      </c>
      <c r="C1822" s="8" t="s">
        <v>1510</v>
      </c>
      <c r="D1822" s="8" t="s">
        <v>1934</v>
      </c>
      <c r="E1822" s="2">
        <f>IFERROR(VLOOKUP(B1822,'[1]new sheet'!$A$1:$IV$65536,5,FALSE),0)</f>
        <v>0</v>
      </c>
      <c r="F1822" s="3">
        <f>IFERROR(VLOOKUP(B1822,'[1]new sheet'!$A$1:$IV$65536,4,FALSE),0)</f>
        <v>0</v>
      </c>
      <c r="G1822" s="4">
        <f>IFERROR(VLOOKUP(B1822,'[2]new sheet'!$A$1:$IV$65536,2,0),0)</f>
        <v>0</v>
      </c>
      <c r="H1822" s="5">
        <f>IFERROR(VLOOKUP(B1822,'[3]new sheet'!$A$1:$IV$65536,2,0),0)</f>
        <v>0</v>
      </c>
    </row>
    <row r="1823" spans="1:8" ht="24" customHeight="1">
      <c r="A1823" s="7"/>
      <c r="B1823" s="7">
        <v>1566</v>
      </c>
      <c r="C1823" s="8" t="s">
        <v>1511</v>
      </c>
      <c r="D1823" s="8" t="s">
        <v>1934</v>
      </c>
      <c r="E1823" s="2">
        <f>IFERROR(VLOOKUP(B1823,'[1]new sheet'!$A$1:$IV$65536,5,FALSE),0)</f>
        <v>0</v>
      </c>
      <c r="F1823" s="3">
        <f>IFERROR(VLOOKUP(B1823,'[1]new sheet'!$A$1:$IV$65536,4,FALSE),0)</f>
        <v>0</v>
      </c>
      <c r="G1823" s="4">
        <f>IFERROR(VLOOKUP(B1823,'[2]new sheet'!$A$1:$IV$65536,2,0),0)</f>
        <v>0</v>
      </c>
      <c r="H1823" s="5">
        <f>IFERROR(VLOOKUP(B1823,'[3]new sheet'!$A$1:$IV$65536,2,0),0)</f>
        <v>0</v>
      </c>
    </row>
    <row r="1824" spans="1:8" ht="24" customHeight="1">
      <c r="A1824" s="7"/>
      <c r="B1824" s="7">
        <v>1122</v>
      </c>
      <c r="C1824" s="8" t="s">
        <v>1512</v>
      </c>
      <c r="D1824" s="8" t="s">
        <v>1934</v>
      </c>
      <c r="E1824" s="2">
        <f>IFERROR(VLOOKUP(B1824,'[1]new sheet'!$A$1:$IV$65536,5,FALSE),0)</f>
        <v>0</v>
      </c>
      <c r="F1824" s="3">
        <f>IFERROR(VLOOKUP(B1824,'[1]new sheet'!$A$1:$IV$65536,4,FALSE),0)</f>
        <v>0</v>
      </c>
      <c r="G1824" s="4">
        <f>IFERROR(VLOOKUP(B1824,'[2]new sheet'!$A$1:$IV$65536,2,0),0)</f>
        <v>0</v>
      </c>
      <c r="H1824" s="5">
        <f>IFERROR(VLOOKUP(B1824,'[3]new sheet'!$A$1:$IV$65536,2,0),0)</f>
        <v>0</v>
      </c>
    </row>
    <row r="1825" spans="1:8" ht="24" customHeight="1">
      <c r="A1825" s="7"/>
      <c r="B1825" s="7">
        <v>763</v>
      </c>
      <c r="C1825" s="8" t="s">
        <v>1513</v>
      </c>
      <c r="D1825" s="8" t="s">
        <v>1934</v>
      </c>
      <c r="E1825" s="2">
        <f>IFERROR(VLOOKUP(B1825,'[1]new sheet'!$A$1:$IV$65536,5,FALSE),0)</f>
        <v>0</v>
      </c>
      <c r="F1825" s="3">
        <f>IFERROR(VLOOKUP(B1825,'[1]new sheet'!$A$1:$IV$65536,4,FALSE),0)</f>
        <v>0</v>
      </c>
      <c r="G1825" s="4">
        <f>IFERROR(VLOOKUP(B1825,'[2]new sheet'!$A$1:$IV$65536,2,0),0)</f>
        <v>0</v>
      </c>
      <c r="H1825" s="5">
        <f>IFERROR(VLOOKUP(B1825,'[3]new sheet'!$A$1:$IV$65536,2,0),0)</f>
        <v>0</v>
      </c>
    </row>
    <row r="1826" spans="1:8" ht="24" customHeight="1">
      <c r="A1826" s="7"/>
      <c r="B1826" s="7">
        <v>764</v>
      </c>
      <c r="C1826" s="8" t="s">
        <v>1514</v>
      </c>
      <c r="D1826" s="8" t="s">
        <v>1934</v>
      </c>
      <c r="E1826" s="2">
        <f>IFERROR(VLOOKUP(B1826,'[1]new sheet'!$A$1:$IV$65536,5,FALSE),0)</f>
        <v>0</v>
      </c>
      <c r="F1826" s="3">
        <f>IFERROR(VLOOKUP(B1826,'[1]new sheet'!$A$1:$IV$65536,4,FALSE),0)</f>
        <v>0</v>
      </c>
      <c r="G1826" s="4">
        <f>IFERROR(VLOOKUP(B1826,'[2]new sheet'!$A$1:$IV$65536,2,0),0)</f>
        <v>0</v>
      </c>
      <c r="H1826" s="5">
        <f>IFERROR(VLOOKUP(B1826,'[3]new sheet'!$A$1:$IV$65536,2,0),0)</f>
        <v>0</v>
      </c>
    </row>
    <row r="1827" spans="1:8" ht="24" customHeight="1">
      <c r="A1827" s="7"/>
      <c r="B1827" s="7">
        <v>863</v>
      </c>
      <c r="C1827" s="8" t="s">
        <v>1515</v>
      </c>
      <c r="D1827" s="8" t="s">
        <v>1934</v>
      </c>
      <c r="E1827" s="2">
        <f>IFERROR(VLOOKUP(B1827,'[1]new sheet'!$A$1:$IV$65536,5,FALSE),0)</f>
        <v>0</v>
      </c>
      <c r="F1827" s="3">
        <f>IFERROR(VLOOKUP(B1827,'[1]new sheet'!$A$1:$IV$65536,4,FALSE),0)</f>
        <v>0</v>
      </c>
      <c r="G1827" s="4">
        <f>IFERROR(VLOOKUP(B1827,'[2]new sheet'!$A$1:$IV$65536,2,0),0)</f>
        <v>0</v>
      </c>
      <c r="H1827" s="5">
        <f>IFERROR(VLOOKUP(B1827,'[3]new sheet'!$A$1:$IV$65536,2,0),0)</f>
        <v>0</v>
      </c>
    </row>
    <row r="1828" spans="1:8" ht="24" customHeight="1">
      <c r="A1828" s="7">
        <v>807411920</v>
      </c>
      <c r="B1828" s="7">
        <v>1975</v>
      </c>
      <c r="C1828" s="8" t="s">
        <v>1516</v>
      </c>
      <c r="D1828" s="8" t="s">
        <v>1934</v>
      </c>
      <c r="E1828" s="2">
        <f>IFERROR(VLOOKUP(B1828,'[1]new sheet'!$A$1:$IV$65536,5,FALSE),0)</f>
        <v>0</v>
      </c>
      <c r="F1828" s="3">
        <f>IFERROR(VLOOKUP(B1828,'[1]new sheet'!$A$1:$IV$65536,4,FALSE),0)</f>
        <v>0</v>
      </c>
      <c r="G1828" s="4">
        <f>IFERROR(VLOOKUP(B1828,'[2]new sheet'!$A$1:$IV$65536,2,0),0)</f>
        <v>0</v>
      </c>
      <c r="H1828" s="5">
        <f>IFERROR(VLOOKUP(B1828,'[3]new sheet'!$A$1:$IV$65536,2,0),0)</f>
        <v>0</v>
      </c>
    </row>
    <row r="1829" spans="1:8" ht="24" customHeight="1">
      <c r="A1829" s="7">
        <v>807411935</v>
      </c>
      <c r="B1829" s="7">
        <v>1972</v>
      </c>
      <c r="C1829" s="8" t="s">
        <v>1517</v>
      </c>
      <c r="D1829" s="8" t="s">
        <v>1934</v>
      </c>
      <c r="E1829" s="2">
        <f>IFERROR(VLOOKUP(B1829,'[1]new sheet'!$A$1:$IV$65536,5,FALSE),0)</f>
        <v>0</v>
      </c>
      <c r="F1829" s="3">
        <f>IFERROR(VLOOKUP(B1829,'[1]new sheet'!$A$1:$IV$65536,4,FALSE),0)</f>
        <v>0</v>
      </c>
      <c r="G1829" s="4">
        <f>IFERROR(VLOOKUP(B1829,'[2]new sheet'!$A$1:$IV$65536,2,0),0)</f>
        <v>0</v>
      </c>
      <c r="H1829" s="5">
        <f>IFERROR(VLOOKUP(B1829,'[3]new sheet'!$A$1:$IV$65536,2,0),0)</f>
        <v>0</v>
      </c>
    </row>
    <row r="1830" spans="1:8" ht="24" customHeight="1">
      <c r="A1830" s="7">
        <v>15020012</v>
      </c>
      <c r="B1830" s="7">
        <v>322</v>
      </c>
      <c r="C1830" s="8" t="s">
        <v>1518</v>
      </c>
      <c r="D1830" s="8" t="s">
        <v>1934</v>
      </c>
      <c r="E1830" s="2">
        <f>IFERROR(VLOOKUP(B1830,'[1]new sheet'!$A$1:$IV$65536,5,FALSE),0)</f>
        <v>259</v>
      </c>
      <c r="F1830" s="3">
        <f>IFERROR(VLOOKUP(B1830,'[1]new sheet'!$A$1:$IV$65536,4,FALSE),0)</f>
        <v>5</v>
      </c>
      <c r="G1830" s="4">
        <f>IFERROR(VLOOKUP(B1830,'[2]new sheet'!$A$1:$IV$65536,2,0),0)</f>
        <v>496</v>
      </c>
      <c r="H1830" s="5">
        <f>IFERROR(VLOOKUP(B1830,'[3]new sheet'!$A$1:$IV$65536,2,0),0)</f>
        <v>170</v>
      </c>
    </row>
    <row r="1831" spans="1:8" ht="24" customHeight="1">
      <c r="A1831" s="7">
        <v>15020003</v>
      </c>
      <c r="B1831" s="7">
        <v>765</v>
      </c>
      <c r="C1831" s="8" t="s">
        <v>1519</v>
      </c>
      <c r="D1831" s="8" t="s">
        <v>1934</v>
      </c>
      <c r="E1831" s="2">
        <f>IFERROR(VLOOKUP(B1831,'[1]new sheet'!$A$1:$IV$65536,5,FALSE),0)</f>
        <v>180</v>
      </c>
      <c r="F1831" s="3">
        <f>IFERROR(VLOOKUP(B1831,'[1]new sheet'!$A$1:$IV$65536,4,FALSE),0)</f>
        <v>6</v>
      </c>
      <c r="G1831" s="4">
        <f>IFERROR(VLOOKUP(B1831,'[2]new sheet'!$A$1:$IV$65536,2,0),0)</f>
        <v>472</v>
      </c>
      <c r="H1831" s="5">
        <f>IFERROR(VLOOKUP(B1831,'[3]new sheet'!$A$1:$IV$65536,2,0),0)</f>
        <v>171</v>
      </c>
    </row>
    <row r="1832" spans="1:8" ht="24" customHeight="1">
      <c r="A1832" s="7">
        <v>5050068</v>
      </c>
      <c r="B1832" s="7">
        <v>3757</v>
      </c>
      <c r="C1832" s="8" t="s">
        <v>1734</v>
      </c>
      <c r="D1832" s="8" t="s">
        <v>1934</v>
      </c>
      <c r="E1832" s="2">
        <f>IFERROR(VLOOKUP(B1832,'[1]new sheet'!$A$1:$IV$65536,5,FALSE),0)</f>
        <v>842</v>
      </c>
      <c r="F1832" s="3">
        <f>IFERROR(VLOOKUP(B1832,'[1]new sheet'!$A$1:$IV$65536,4,FALSE),0)</f>
        <v>8</v>
      </c>
      <c r="G1832" s="4">
        <f>IFERROR(VLOOKUP(B1832,'[2]new sheet'!$A$1:$IV$65536,2,0),0)</f>
        <v>412</v>
      </c>
      <c r="H1832" s="5">
        <f>IFERROR(VLOOKUP(B1832,'[3]new sheet'!$A$1:$IV$65536,2,0),0)</f>
        <v>101</v>
      </c>
    </row>
    <row r="1833" spans="1:8" ht="24" customHeight="1">
      <c r="A1833" s="7">
        <v>20040007</v>
      </c>
      <c r="B1833" s="7">
        <v>864</v>
      </c>
      <c r="C1833" s="8" t="s">
        <v>1520</v>
      </c>
      <c r="D1833" s="8" t="s">
        <v>1934</v>
      </c>
      <c r="E1833" s="2">
        <f>IFERROR(VLOOKUP(B1833,'[1]new sheet'!$A$1:$IV$65536,5,FALSE),0)</f>
        <v>29</v>
      </c>
      <c r="F1833" s="3">
        <f>IFERROR(VLOOKUP(B1833,'[1]new sheet'!$A$1:$IV$65536,4,FALSE),0)</f>
        <v>0</v>
      </c>
      <c r="G1833" s="4">
        <f>IFERROR(VLOOKUP(B1833,'[2]new sheet'!$A$1:$IV$65536,2,0),0)</f>
        <v>33</v>
      </c>
      <c r="H1833" s="5">
        <f>IFERROR(VLOOKUP(B1833,'[3]new sheet'!$A$1:$IV$65536,2,0),0)</f>
        <v>12</v>
      </c>
    </row>
    <row r="1834" spans="1:8" ht="24" customHeight="1">
      <c r="A1834" s="7">
        <v>20040003</v>
      </c>
      <c r="B1834" s="7">
        <v>865</v>
      </c>
      <c r="C1834" s="8" t="s">
        <v>1521</v>
      </c>
      <c r="D1834" s="8" t="s">
        <v>1934</v>
      </c>
      <c r="E1834" s="2">
        <f>IFERROR(VLOOKUP(B1834,'[1]new sheet'!$A$1:$IV$65536,5,FALSE),0)</f>
        <v>884</v>
      </c>
      <c r="F1834" s="3">
        <f>IFERROR(VLOOKUP(B1834,'[1]new sheet'!$A$1:$IV$65536,4,FALSE),0)</f>
        <v>12</v>
      </c>
      <c r="G1834" s="4">
        <f>IFERROR(VLOOKUP(B1834,'[2]new sheet'!$A$1:$IV$65536,2,0),0)</f>
        <v>546</v>
      </c>
      <c r="H1834" s="5">
        <f>IFERROR(VLOOKUP(B1834,'[3]new sheet'!$A$1:$IV$65536,2,0),0)</f>
        <v>167</v>
      </c>
    </row>
    <row r="1835" spans="1:8" ht="24" customHeight="1">
      <c r="A1835" s="7">
        <v>8923</v>
      </c>
      <c r="B1835" s="7">
        <v>3458</v>
      </c>
      <c r="C1835" s="8" t="s">
        <v>1522</v>
      </c>
      <c r="D1835" s="8" t="s">
        <v>1934</v>
      </c>
      <c r="E1835" s="2">
        <f>IFERROR(VLOOKUP(B1835,'[1]new sheet'!$A$1:$IV$65536,5,FALSE),0)</f>
        <v>663</v>
      </c>
      <c r="F1835" s="3">
        <f>IFERROR(VLOOKUP(B1835,'[1]new sheet'!$A$1:$IV$65536,4,FALSE),0)</f>
        <v>8</v>
      </c>
      <c r="G1835" s="4">
        <f>IFERROR(VLOOKUP(B1835,'[2]new sheet'!$A$1:$IV$65536,2,0),0)</f>
        <v>1151</v>
      </c>
      <c r="H1835" s="5">
        <f>IFERROR(VLOOKUP(B1835,'[3]new sheet'!$A$1:$IV$65536,2,0),0)</f>
        <v>416</v>
      </c>
    </row>
    <row r="1836" spans="1:8" ht="24" customHeight="1">
      <c r="A1836" s="7">
        <v>8922</v>
      </c>
      <c r="B1836" s="7">
        <v>323</v>
      </c>
      <c r="C1836" s="8" t="s">
        <v>1523</v>
      </c>
      <c r="D1836" s="8" t="s">
        <v>1934</v>
      </c>
      <c r="E1836" s="2">
        <f>IFERROR(VLOOKUP(B1836,'[1]new sheet'!$A$1:$IV$65536,5,FALSE),0)</f>
        <v>0</v>
      </c>
      <c r="F1836" s="3">
        <f>IFERROR(VLOOKUP(B1836,'[1]new sheet'!$A$1:$IV$65536,4,FALSE),0)</f>
        <v>0</v>
      </c>
      <c r="G1836" s="4">
        <f>IFERROR(VLOOKUP(B1836,'[2]new sheet'!$A$1:$IV$65536,2,0),0)</f>
        <v>0</v>
      </c>
      <c r="H1836" s="5">
        <f>IFERROR(VLOOKUP(B1836,'[3]new sheet'!$A$1:$IV$65536,2,0),0)</f>
        <v>0</v>
      </c>
    </row>
    <row r="1837" spans="1:8" ht="24" customHeight="1">
      <c r="A1837" s="7">
        <v>575860</v>
      </c>
      <c r="B1837" s="7">
        <v>245</v>
      </c>
      <c r="C1837" s="8" t="s">
        <v>1524</v>
      </c>
      <c r="D1837" s="8" t="s">
        <v>1934</v>
      </c>
      <c r="E1837" s="2">
        <f>IFERROR(VLOOKUP(B1837,'[1]new sheet'!$A$1:$IV$65536,5,FALSE),0)</f>
        <v>0</v>
      </c>
      <c r="F1837" s="3">
        <f>IFERROR(VLOOKUP(B1837,'[1]new sheet'!$A$1:$IV$65536,4,FALSE),0)</f>
        <v>3</v>
      </c>
      <c r="G1837" s="4">
        <f>IFERROR(VLOOKUP(B1837,'[2]new sheet'!$A$1:$IV$65536,2,0),0)</f>
        <v>6</v>
      </c>
      <c r="H1837" s="5">
        <f>IFERROR(VLOOKUP(B1837,'[3]new sheet'!$A$1:$IV$65536,2,0),0)</f>
        <v>8</v>
      </c>
    </row>
    <row r="1838" spans="1:8" ht="24" customHeight="1">
      <c r="A1838" s="7"/>
      <c r="B1838" s="7"/>
      <c r="C1838" s="8"/>
      <c r="D1838" s="8"/>
      <c r="E1838" s="2">
        <f>IFERROR(VLOOKUP(B1838,'[1]new sheet'!$A$1:$IV$65536,5,FALSE),0)</f>
        <v>0</v>
      </c>
      <c r="F1838" s="3">
        <f>IFERROR(VLOOKUP(B1838,'[1]new sheet'!$A$1:$IV$65536,4,FALSE),0)</f>
        <v>0</v>
      </c>
      <c r="G1838" s="4">
        <f>IFERROR(VLOOKUP(B1838,'[2]new sheet'!$A$1:$IV$65536,2,0),0)</f>
        <v>0</v>
      </c>
      <c r="H1838" s="5">
        <f>IFERROR(VLOOKUP(B1838,'[3]new sheet'!$A$1:$IV$65536,2,0),0)</f>
        <v>0</v>
      </c>
    </row>
    <row r="1839" spans="1:8" ht="24" customHeight="1">
      <c r="A1839" s="7"/>
      <c r="B1839" s="7"/>
      <c r="C1839" s="8"/>
      <c r="D1839" s="8"/>
      <c r="E1839" s="2">
        <f>IFERROR(VLOOKUP(B1839,'[1]new sheet'!$A$1:$IV$65536,5,FALSE),0)</f>
        <v>0</v>
      </c>
      <c r="F1839" s="3">
        <f>IFERROR(VLOOKUP(B1839,'[1]new sheet'!$A$1:$IV$65536,4,FALSE),0)</f>
        <v>0</v>
      </c>
      <c r="G1839" s="4">
        <f>IFERROR(VLOOKUP(B1839,'[2]new sheet'!$A$1:$IV$65536,2,0),0)</f>
        <v>0</v>
      </c>
      <c r="H1839" s="5">
        <f>IFERROR(VLOOKUP(B1839,'[3]new sheet'!$A$1:$IV$65536,2,0),0)</f>
        <v>0</v>
      </c>
    </row>
    <row r="1840" spans="1:8" ht="24" customHeight="1">
      <c r="A1840" s="7"/>
      <c r="B1840" s="7"/>
      <c r="C1840" s="8"/>
      <c r="D1840" s="8"/>
      <c r="E1840" s="2">
        <f>IFERROR(VLOOKUP(B1840,'[1]new sheet'!$A$1:$IV$65536,5,FALSE),0)</f>
        <v>0</v>
      </c>
      <c r="F1840" s="3">
        <f>IFERROR(VLOOKUP(B1840,'[1]new sheet'!$A$1:$IV$65536,4,FALSE),0)</f>
        <v>0</v>
      </c>
      <c r="G1840" s="4">
        <f>IFERROR(VLOOKUP(B1840,'[2]new sheet'!$A$1:$IV$65536,2,0),0)</f>
        <v>0</v>
      </c>
      <c r="H1840" s="5">
        <f>IFERROR(VLOOKUP(B1840,'[3]new sheet'!$A$1:$IV$65536,2,0),0)</f>
        <v>0</v>
      </c>
    </row>
    <row r="1841" spans="1:8" ht="24" customHeight="1">
      <c r="A1841" s="7"/>
      <c r="B1841" s="7"/>
      <c r="C1841" s="8"/>
      <c r="D1841" s="8"/>
      <c r="E1841" s="2">
        <f>IFERROR(VLOOKUP(B1841,'[1]new sheet'!$A$1:$IV$65536,5,FALSE),0)</f>
        <v>0</v>
      </c>
      <c r="F1841" s="3">
        <f>IFERROR(VLOOKUP(B1841,'[1]new sheet'!$A$1:$IV$65536,4,FALSE),0)</f>
        <v>0</v>
      </c>
      <c r="G1841" s="4">
        <f>IFERROR(VLOOKUP(B1841,'[2]new sheet'!$A$1:$IV$65536,2,0),0)</f>
        <v>0</v>
      </c>
      <c r="H1841" s="5">
        <f>IFERROR(VLOOKUP(B1841,'[3]new sheet'!$A$1:$IV$65536,2,0),0)</f>
        <v>0</v>
      </c>
    </row>
    <row r="1842" spans="1:8" ht="24" customHeight="1">
      <c r="A1842" s="7"/>
      <c r="B1842" s="7"/>
      <c r="C1842" s="8"/>
      <c r="D1842" s="8"/>
      <c r="E1842" s="2">
        <f>IFERROR(VLOOKUP(B1842,'[1]new sheet'!$A$1:$IV$65536,5,FALSE),0)</f>
        <v>0</v>
      </c>
      <c r="F1842" s="3">
        <f>IFERROR(VLOOKUP(B1842,'[1]new sheet'!$A$1:$IV$65536,4,FALSE),0)</f>
        <v>0</v>
      </c>
      <c r="G1842" s="4">
        <f>IFERROR(VLOOKUP(B1842,'[2]new sheet'!$A$1:$IV$65536,2,0),0)</f>
        <v>0</v>
      </c>
      <c r="H1842" s="5">
        <f>IFERROR(VLOOKUP(B1842,'[3]new sheet'!$A$1:$IV$65536,2,0),0)</f>
        <v>0</v>
      </c>
    </row>
    <row r="1843" spans="1:8" ht="24" customHeight="1">
      <c r="A1843" s="7"/>
      <c r="B1843" s="7"/>
      <c r="C1843" s="8"/>
      <c r="D1843" s="8"/>
      <c r="E1843" s="2">
        <f>IFERROR(VLOOKUP(B1843,'[1]new sheet'!$A$1:$IV$65536,5,FALSE),0)</f>
        <v>0</v>
      </c>
      <c r="F1843" s="3">
        <f>IFERROR(VLOOKUP(B1843,'[1]new sheet'!$A$1:$IV$65536,4,FALSE),0)</f>
        <v>0</v>
      </c>
      <c r="G1843" s="4">
        <f>IFERROR(VLOOKUP(B1843,'[2]new sheet'!$A$1:$IV$65536,2,0),0)</f>
        <v>0</v>
      </c>
      <c r="H1843" s="5">
        <f>IFERROR(VLOOKUP(B1843,'[3]new sheet'!$A$1:$IV$65536,2,0),0)</f>
        <v>0</v>
      </c>
    </row>
    <row r="1844" spans="1:8" ht="24" customHeight="1">
      <c r="A1844" s="7"/>
      <c r="B1844" s="7"/>
      <c r="C1844" s="8"/>
      <c r="D1844" s="8"/>
      <c r="E1844" s="2">
        <f>IFERROR(VLOOKUP(B1844,'[1]new sheet'!$A$1:$IV$65536,5,FALSE),0)</f>
        <v>0</v>
      </c>
      <c r="F1844" s="3">
        <f>IFERROR(VLOOKUP(B1844,'[1]new sheet'!$A$1:$IV$65536,4,FALSE),0)</f>
        <v>0</v>
      </c>
      <c r="G1844" s="4">
        <f>IFERROR(VLOOKUP(B1844,'[2]new sheet'!$A$1:$IV$65536,2,0),0)</f>
        <v>0</v>
      </c>
      <c r="H1844" s="5">
        <f>IFERROR(VLOOKUP(B1844,'[3]new sheet'!$A$1:$IV$65536,2,0),0)</f>
        <v>0</v>
      </c>
    </row>
    <row r="1845" spans="1:8" ht="24" customHeight="1">
      <c r="A1845" s="7"/>
      <c r="B1845" s="7"/>
      <c r="C1845" s="8"/>
      <c r="D1845" s="8"/>
      <c r="E1845" s="2">
        <f>IFERROR(VLOOKUP(B1845,'[1]new sheet'!$A$1:$IV$65536,5,FALSE),0)</f>
        <v>0</v>
      </c>
      <c r="F1845" s="3">
        <f>IFERROR(VLOOKUP(B1845,'[1]new sheet'!$A$1:$IV$65536,4,FALSE),0)</f>
        <v>0</v>
      </c>
      <c r="G1845" s="4">
        <f>IFERROR(VLOOKUP(B1845,'[2]new sheet'!$A$1:$IV$65536,2,0),0)</f>
        <v>0</v>
      </c>
      <c r="H1845" s="5">
        <f>IFERROR(VLOOKUP(B1845,'[3]new sheet'!$A$1:$IV$65536,2,0),0)</f>
        <v>0</v>
      </c>
    </row>
    <row r="1846" spans="1:8" ht="24" customHeight="1">
      <c r="A1846" s="7"/>
      <c r="B1846" s="7"/>
      <c r="C1846" s="8"/>
      <c r="D1846" s="8"/>
      <c r="E1846" s="2">
        <f>IFERROR(VLOOKUP(B1846,'[1]new sheet'!$A$1:$IV$65536,5,FALSE),0)</f>
        <v>0</v>
      </c>
      <c r="F1846" s="3">
        <f>IFERROR(VLOOKUP(B1846,'[1]new sheet'!$A$1:$IV$65536,4,FALSE),0)</f>
        <v>0</v>
      </c>
      <c r="G1846" s="4">
        <f>IFERROR(VLOOKUP(B1846,'[2]new sheet'!$A$1:$IV$65536,2,0),0)</f>
        <v>0</v>
      </c>
      <c r="H1846" s="5">
        <f>IFERROR(VLOOKUP(B1846,'[3]new sheet'!$A$1:$IV$65536,2,0),0)</f>
        <v>0</v>
      </c>
    </row>
    <row r="1847" spans="1:8" ht="24" customHeight="1">
      <c r="A1847" s="7"/>
      <c r="B1847" s="7"/>
      <c r="C1847" s="8"/>
      <c r="D1847" s="8"/>
      <c r="E1847" s="2">
        <f>IFERROR(VLOOKUP(B1847,'[1]new sheet'!$A$1:$IV$65536,5,FALSE),0)</f>
        <v>0</v>
      </c>
      <c r="F1847" s="3">
        <f>IFERROR(VLOOKUP(B1847,'[1]new sheet'!$A$1:$IV$65536,4,FALSE),0)</f>
        <v>0</v>
      </c>
      <c r="G1847" s="4">
        <f>IFERROR(VLOOKUP(B1847,'[2]new sheet'!$A$1:$IV$65536,2,0),0)</f>
        <v>0</v>
      </c>
      <c r="H1847" s="5">
        <f>IFERROR(VLOOKUP(B1847,'[3]new sheet'!$A$1:$IV$65536,2,0),0)</f>
        <v>0</v>
      </c>
    </row>
    <row r="1848" spans="1:8" ht="24" customHeight="1">
      <c r="A1848" s="7"/>
      <c r="B1848" s="7"/>
      <c r="C1848" s="8"/>
      <c r="D1848" s="8"/>
      <c r="E1848" s="2">
        <f>IFERROR(VLOOKUP(B1848,'[1]new sheet'!$A$1:$IV$65536,5,FALSE),0)</f>
        <v>0</v>
      </c>
      <c r="F1848" s="3">
        <f>IFERROR(VLOOKUP(B1848,'[1]new sheet'!$A$1:$IV$65536,4,FALSE),0)</f>
        <v>0</v>
      </c>
      <c r="G1848" s="4">
        <f>IFERROR(VLOOKUP(B1848,'[2]new sheet'!$A$1:$IV$65536,2,0),0)</f>
        <v>0</v>
      </c>
      <c r="H1848" s="5">
        <f>IFERROR(VLOOKUP(B1848,'[3]new sheet'!$A$1:$IV$65536,2,0),0)</f>
        <v>0</v>
      </c>
    </row>
    <row r="1849" spans="1:8" ht="24" customHeight="1">
      <c r="A1849" s="7"/>
      <c r="B1849" s="7"/>
      <c r="C1849" s="8"/>
      <c r="D1849" s="8"/>
      <c r="E1849" s="2">
        <f>IFERROR(VLOOKUP(B1849,'[1]new sheet'!$A$1:$IV$65536,5,FALSE),0)</f>
        <v>0</v>
      </c>
      <c r="F1849" s="3">
        <f>IFERROR(VLOOKUP(B1849,'[1]new sheet'!$A$1:$IV$65536,4,FALSE),0)</f>
        <v>0</v>
      </c>
      <c r="G1849" s="4">
        <f>IFERROR(VLOOKUP(B1849,'[2]new sheet'!$A$1:$IV$65536,2,0),0)</f>
        <v>0</v>
      </c>
      <c r="H1849" s="5">
        <f>IFERROR(VLOOKUP(B1849,'[3]new sheet'!$A$1:$IV$65536,2,0),0)</f>
        <v>0</v>
      </c>
    </row>
    <row r="1850" spans="1:8" ht="24" customHeight="1">
      <c r="A1850" s="7"/>
      <c r="B1850" s="7"/>
      <c r="C1850" s="8"/>
      <c r="D1850" s="8"/>
      <c r="E1850" s="2">
        <f>IFERROR(VLOOKUP(B1850,'[1]new sheet'!$A$1:$IV$65536,5,FALSE),0)</f>
        <v>0</v>
      </c>
      <c r="F1850" s="3">
        <f>IFERROR(VLOOKUP(B1850,'[1]new sheet'!$A$1:$IV$65536,4,FALSE),0)</f>
        <v>0</v>
      </c>
      <c r="G1850" s="4">
        <f>IFERROR(VLOOKUP(B1850,'[2]new sheet'!$A$1:$IV$65536,2,0),0)</f>
        <v>0</v>
      </c>
      <c r="H1850" s="5">
        <f>IFERROR(VLOOKUP(B1850,'[3]new sheet'!$A$1:$IV$65536,2,0),0)</f>
        <v>0</v>
      </c>
    </row>
    <row r="1851" spans="1:8" ht="24" customHeight="1">
      <c r="A1851" s="7"/>
      <c r="B1851" s="7"/>
      <c r="C1851" s="8"/>
      <c r="D1851" s="8"/>
      <c r="E1851" s="2">
        <f>IFERROR(VLOOKUP(B1851,'[1]new sheet'!$A$1:$IV$65536,5,FALSE),0)</f>
        <v>0</v>
      </c>
      <c r="F1851" s="3">
        <f>IFERROR(VLOOKUP(B1851,'[1]new sheet'!$A$1:$IV$65536,4,FALSE),0)</f>
        <v>0</v>
      </c>
      <c r="G1851" s="4">
        <f>IFERROR(VLOOKUP(B1851,'[2]new sheet'!$A$1:$IV$65536,2,0),0)</f>
        <v>0</v>
      </c>
      <c r="H1851" s="5">
        <f>IFERROR(VLOOKUP(B1851,'[3]new sheet'!$A$1:$IV$65536,2,0),0)</f>
        <v>0</v>
      </c>
    </row>
    <row r="1852" spans="1:8" ht="24" customHeight="1">
      <c r="A1852" s="7"/>
      <c r="B1852" s="7"/>
      <c r="C1852" s="8"/>
      <c r="D1852" s="33"/>
      <c r="E1852" s="27">
        <f>IFERROR(VLOOKUP(B1852,'[1]new sheet'!$A$1:$IV$65536,5,FALSE),0)</f>
        <v>0</v>
      </c>
      <c r="F1852" s="28">
        <f>IFERROR(VLOOKUP(B1852,'[1]new sheet'!$A$1:$IV$65536,4,FALSE),0)</f>
        <v>0</v>
      </c>
      <c r="G1852" s="29">
        <f>IFERROR(VLOOKUP(B1852,'[2]new sheet'!$A$1:$IV$65536,2,0),0)</f>
        <v>0</v>
      </c>
      <c r="H1852" s="30">
        <f>IFERROR(VLOOKUP(B1852,'[3]new sheet'!$A$1:$IV$65536,2,0),0)</f>
        <v>0</v>
      </c>
    </row>
    <row r="1853" spans="1:8" ht="24" customHeight="1">
      <c r="A1853" s="7"/>
      <c r="B1853" s="7"/>
      <c r="C1853" s="8"/>
      <c r="D1853" s="33"/>
    </row>
  </sheetData>
  <autoFilter ref="A1:H1" xr:uid="{00000000-0001-0000-0000-000000000000}">
    <sortState xmlns:xlrd2="http://schemas.microsoft.com/office/spreadsheetml/2017/richdata2" ref="A2:H1852">
      <sortCondition ref="C1"/>
    </sortState>
  </autoFilter>
  <sortState xmlns:xlrd2="http://schemas.microsoft.com/office/spreadsheetml/2017/richdata2" ref="A2:E208">
    <sortCondition ref="C2:C208"/>
  </sortState>
  <printOptions gridLines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AMORIM</dc:creator>
  <cp:lastModifiedBy>Compras</cp:lastModifiedBy>
  <cp:lastPrinted>2026-06-01T16:51:46Z</cp:lastPrinted>
  <dcterms:created xsi:type="dcterms:W3CDTF">2025-04-26T12:51:00Z</dcterms:created>
  <dcterms:modified xsi:type="dcterms:W3CDTF">2026-08-11T20:09:06Z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ACED835E313544A2B1A5655A0148A681_12</vt:lpwstr>
  </property>
  <property fmtid="{D5CDD505-2E9C-101B-9397-08002B2CF9AE}" pid="3" name="KSOProductBuildVer">
    <vt:lpwstr>1046-12.2.0.23155</vt:lpwstr>
  </property>
</Properties>
</file>